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filterPrivacy="1"/>
  <xr:revisionPtr revIDLastSave="0" documentId="8_{4775B387-673C-924E-B097-C800C6E5D2D9}" xr6:coauthVersionLast="47" xr6:coauthVersionMax="47" xr10:uidLastSave="{00000000-0000-0000-0000-000000000000}"/>
  <bookViews>
    <workbookView xWindow="0" yWindow="620" windowWidth="76800" windowHeight="19380" xr2:uid="{00000000-000D-0000-FFFF-FFFF00000000}"/>
  </bookViews>
  <sheets>
    <sheet name="Bericht" sheetId="4" r:id="rId1"/>
    <sheet name="Details" sheetId="8" r:id="rId2"/>
    <sheet name="Eingaben" sheetId="1" r:id="rId3"/>
    <sheet name="Berechnungen" sheetId="5" r:id="rId4"/>
    <sheet name="Erläuterungen" sheetId="10" r:id="rId5"/>
    <sheet name="Versionierung" sheetId="11" r:id="rId6"/>
    <sheet name="Listen" sheetId="6" r:id="rId7"/>
    <sheet name="Sheet1" sheetId="12" r:id="rId8"/>
  </sheets>
  <definedNames>
    <definedName name="_Abrechnungstarif_LEG">Eingaben!$C$61</definedName>
    <definedName name="_Abzug_Funktion_GH">Eingaben!$C$90</definedName>
    <definedName name="_Abzug_Funktion_Notstrom">Eingaben!$C$102</definedName>
    <definedName name="_Amortisationszeit">Berechnungen!$BR$53</definedName>
    <definedName name="_Amortisationszeit_Batterie">Berechnungen!$CD$53</definedName>
    <definedName name="_Amortisationszeit_PVA_Batterie">Berechnungen!$BX$53</definedName>
    <definedName name="_Anlagekategorie">Eingaben!$B$16</definedName>
    <definedName name="_Anlagenlebensdauer">Eingaben!$C$20</definedName>
    <definedName name="_Anlagenleistung">Eingaben!$C$17</definedName>
    <definedName name="_Anteil_LEG">Eingaben!$C$58</definedName>
    <definedName name="_Anzahl_Verbraucher">Eingaben!$C$42</definedName>
    <definedName name="_Batterie">Eingaben!$C$26</definedName>
    <definedName name="_Bemerkungen">Eingaben!$B$11</definedName>
    <definedName name="_Berechnungsart_Unterhaltskosten">Eingaben!$B$111</definedName>
    <definedName name="_Betreiber">Eingaben!$B$4</definedName>
    <definedName name="_Dach_angebaut">Listen!$C$5</definedName>
    <definedName name="_Dach_integriert">Listen!$C$4</definedName>
    <definedName name="_Debug_Modus">Eingaben!$O$2</definedName>
    <definedName name="_Degradation">Eingaben!$C$23</definedName>
    <definedName name="_Degradation_Speicher_Jahr">Eingaben!$C$31</definedName>
    <definedName name="_direkteFörderung">Eingaben!$C$81</definedName>
    <definedName name="_durchschnittlich_Energie_eingelagert">Berechnungen!$O$54</definedName>
    <definedName name="_Durchschnittliche_Betriebskosten_LEG">Berechnungen!$AZ$54</definedName>
    <definedName name="_Durchschnittliche_Betriebskosten_ZEV">Berechnungen!$AY$54</definedName>
    <definedName name="_Durchschnittliche_Eigenkapitalkosten">Berechnungen!$BH$54</definedName>
    <definedName name="_Durchschnittliche_Eigenkapitalkosten_Batterie">Berechnungen!$BK$54</definedName>
    <definedName name="_durchschnittliche_Einsparung_Leistung">Berechnungen!$Y$54</definedName>
    <definedName name="_durchschnittliche_Einsparung_Leistung_Batterie">Berechnungen!$AD$54</definedName>
    <definedName name="_Durchschnittliche_Kost_Ersatz_Batterie">Berechnungen!$BA$54</definedName>
    <definedName name="_durchschnittliche_Kosten_Energie_Speicher">Berechnungen!$AE$54</definedName>
    <definedName name="_Durchschnittliche_Umsatzsteuer">Berechnungen!$BB$54</definedName>
    <definedName name="_Durchschnittliche_Unterhaltskosten">Berechnungen!$AX$54</definedName>
    <definedName name="_Durchschnittliche_Unterhaltskosten_Batterie">Berechnungen!$BA$54</definedName>
    <definedName name="_Durchschnittliche_Vergütung_Rücklieferung">Berechnungen!$S$54</definedName>
    <definedName name="_Durchschnittliche_Vorsteuer_Batterieersatz">Berechnungen!$BD$54</definedName>
    <definedName name="_Durchschnittliche_Vorsteuer_Unterhalt">Berechnungen!$BC$54</definedName>
    <definedName name="_Durchschnittlicher_Abrechnungsgebühren_ZEV">Berechnungen!$AB$54</definedName>
    <definedName name="_Durchschnittlicher_Energieertrag">Berechnungen!$K$54</definedName>
    <definedName name="_Durchschnittlicher_Speichermenge">Berechnungen!$Q$54</definedName>
    <definedName name="_Durchschnittlicher_Verkauf_Batteriestrom">Berechnungen!$AC$54</definedName>
    <definedName name="_durchschnittlicher_Verkauf_LEG">Berechnungen!$U$54</definedName>
    <definedName name="_Durchschnittlicher_Verkauf_Solarstrom">Berechnungen!$W$54</definedName>
    <definedName name="_Durchschnittlicher_Zins_FK_Batterie">Berechnungen!$BL$54</definedName>
    <definedName name="_Durchschnittlicher_Zins_FK1">Berechnungen!$BI$54</definedName>
    <definedName name="_Durchschnittlicher_Zins_FK2">Berechnungen!$BJ$54</definedName>
    <definedName name="_Eigenkapital">Eingaben!$C$95</definedName>
    <definedName name="_Eigenkapital_Batterie">Eingaben!$C$107</definedName>
    <definedName name="_Eigenkapitalrendite">Bericht!$B$18</definedName>
    <definedName name="_Eigennutzungsgrad">Eingaben!$C$45</definedName>
    <definedName name="_Eigennutzungsgrad_Batterie">Eingaben!$C$32</definedName>
    <definedName name="_Einmalvergütung">Eingaben!$C$76</definedName>
    <definedName name="_Erhöhung_Eigennutzungsgrad_Speicher">Eingaben!$C$33</definedName>
    <definedName name="_ersetzterBezugstarifZEV">Eingaben!$C$47</definedName>
    <definedName name="_f_Ersatztarif">Eingaben!#REF!</definedName>
    <definedName name="_Fassade_angebaut">Listen!$C$7</definedName>
    <definedName name="_Fassade_integriert">Listen!$C$6</definedName>
    <definedName name="_Fassadenbonus">Eingaben!$C$77</definedName>
    <definedName name="_Förderung_Batterie">Eingaben!$C$83</definedName>
    <definedName name="_freistehend">Listen!$C$9</definedName>
    <definedName name="_Fremdkapital_Batterie">Eingaben!$C$108</definedName>
    <definedName name="_Fremdkapital1">Eingaben!$C$96</definedName>
    <definedName name="_Fremdkapital2">Eingaben!$C$97</definedName>
    <definedName name="_Gesamtenergieertrag">Berechnungen!$K$53</definedName>
    <definedName name="_Gesamtspeichermenge">Berechnungen!$Q$53</definedName>
    <definedName name="_Gesamtverbrauch">Eingaben!$C$37</definedName>
    <definedName name="_Grundkosten_Abrechnung_ZEV">Eingaben!$C$51</definedName>
    <definedName name="_Herkunftsnachweis">Eingaben!$C$72</definedName>
    <definedName name="_Höhenbonus">Eingaben!$C$78</definedName>
    <definedName name="_IBNJahr">Eingaben!$C$19</definedName>
    <definedName name="_Investition_netto">Eingaben!$C$93</definedName>
    <definedName name="_Investition_netto_Batterie">Eingaben!$C$105</definedName>
    <definedName name="_Investition_ZEV">Eingaben!$C$87</definedName>
    <definedName name="_Investitionssumme">Eingaben!$C$86</definedName>
    <definedName name="_Investitionssumme_Batterie">Eingaben!$C$100</definedName>
    <definedName name="_JA">Listen!$E$4</definedName>
    <definedName name="_Jahr_Ersatz_Speicher">Eingaben!$F$130</definedName>
    <definedName name="_Kapitalentwicklung_netto">OFFSET(Berechnungen!$BO$8,COUNT(Berechnungen!$BO$8:$BO$52),0)</definedName>
    <definedName name="_kombiniert">Listen!$C$8</definedName>
    <definedName name="_Kosten_Ersatz_Speicher">Eingaben!$C$130</definedName>
    <definedName name="_Kosten_Funktion_GH">Eingaben!$C$89</definedName>
    <definedName name="_Laufzeit_Fremdkapital_Batterie">Eingaben!$H$108</definedName>
    <definedName name="_Laufzeit_Fremdkapital1">Eingaben!$H$96</definedName>
    <definedName name="_Laufzeit_Fremdkapital2">Eingaben!$H$97</definedName>
    <definedName name="_Lebensdauer_Speicher">Eingaben!$C$30</definedName>
    <definedName name="_LEG">Eingaben!$C$56</definedName>
    <definedName name="_Leistungskosten_ZEV">Eingaben!$C$48</definedName>
    <definedName name="_mit_LEG">Listen!$F$5</definedName>
    <definedName name="_mit_ZEV">Listen!$E$5</definedName>
    <definedName name="_MWStPflicht">Eingaben!$B$5</definedName>
    <definedName name="_MWStpflichtig">Listen!$B$4</definedName>
    <definedName name="_MWStSatz">Eingaben!$F$5</definedName>
    <definedName name="_NEIN">Listen!$E$5</definedName>
    <definedName name="_nichtMWStpflichtig">Listen!$B$5</definedName>
    <definedName name="_NPV">Berechnungen!$BP$53</definedName>
    <definedName name="_NPV_Batterie">Berechnungen!$CB$53</definedName>
    <definedName name="_NPV_PVA_Batterie">Berechnungen!$BV$53</definedName>
    <definedName name="_ohne_LEG">Listen!$F$4</definedName>
    <definedName name="_ohne_ZEV">Listen!$E$4</definedName>
    <definedName name="_Parkflächenbonus">Eingaben!$C$79</definedName>
    <definedName name="_Projektbezeichnung">Eingaben!$B$7</definedName>
    <definedName name="_Projektleiter">Eingaben!$B$9</definedName>
    <definedName name="_Projektnummer">Eingaben!$B$8</definedName>
    <definedName name="_Projektrendite">Bericht!$B$17</definedName>
    <definedName name="_Projektrendite_mit_Batterie">Bericht!$G$17</definedName>
    <definedName name="_Projektrendite_nur_Batterie">Bericht!$H$17</definedName>
    <definedName name="_PV_Fläche">Eingaben!$C$18</definedName>
    <definedName name="_PV_Tarif_LEG">Eingaben!$C$60</definedName>
    <definedName name="_Reduktion_Leistungsspitzen">Eingaben!$C$44</definedName>
    <definedName name="_Reduktion_Leistungsspitzen_Batterie">Eingaben!$C$34</definedName>
    <definedName name="_relevante_Investitionskosten">Eingaben!$C$92</definedName>
    <definedName name="_relevante_Investitionskosten_Batterie">Eingaben!$C$104</definedName>
    <definedName name="_Rückliefertarif">Eingaben!$C$73</definedName>
    <definedName name="_Rückliefertarif_Energie">Eingaben!$C$71</definedName>
    <definedName name="_sonstige_Aufwände">Eingaben!$C$88</definedName>
    <definedName name="_sonstige_Aufwände_Batterie">Eingaben!$C$101</definedName>
    <definedName name="_Speicher_Wirkungsgrad">Eingaben!$C$29</definedName>
    <definedName name="_Speicherkapazität">Eingaben!$C$28</definedName>
    <definedName name="_Speichertechnologie">Eingaben!$B$27</definedName>
    <definedName name="_spez_Jahresenergieertrag">Eingaben!$C$21</definedName>
    <definedName name="_spez_Unterhaltskosten">Eingaben!$C$112</definedName>
    <definedName name="_Standort">Eingaben!$B$6</definedName>
    <definedName name="_Steuereinsparung">Eingaben!$C$82</definedName>
    <definedName name="_Summe_Betrieb_Unterhalt">Berechnungen!$AX$53</definedName>
    <definedName name="_Summe_Betrieb_Unterhalt_Batterie">Berechnungen!$BA$53</definedName>
    <definedName name="_Summe_Eigenkapital">Berechnungen!$BH$53</definedName>
    <definedName name="_Summe_Eigenkapital_Batterie">Berechnungen!$BK$53</definedName>
    <definedName name="_Summe_FK1">Berechnungen!$BI$53</definedName>
    <definedName name="_Summe_FK1_Batterie">Berechnungen!$BL$53</definedName>
    <definedName name="_Summe_FK2">Berechnungen!$BJ$53</definedName>
    <definedName name="_Summe_Leistungsspitzen">Eingaben!$C$38</definedName>
    <definedName name="_Summe_MWSt_Betrieb_Unterhalt">Berechnungen!$BC$53</definedName>
    <definedName name="_Summe_MWSt_Betrieb_Unterhalt_Batterie">Berechnungen!$BD$53</definedName>
    <definedName name="_Summe_MWSt_Umsatz">Berechnungen!$BB$53</definedName>
    <definedName name="_Summe_Vergütung">Berechnungen!$BE$53</definedName>
    <definedName name="_Tarif_Abrechnung_ZEV">Eingaben!$C$50</definedName>
    <definedName name="_Tarif_LEG">Eingaben!$C$60</definedName>
    <definedName name="_Teuerungsrate">Eingaben!$C$12</definedName>
    <definedName name="_Unterhalt_Preis_pro_kWh">Listen!$A$4</definedName>
    <definedName name="_Unterhalt_Wartungstabelle">Listen!$A$5</definedName>
    <definedName name="_Unterhaltskosten_Durchschnittlich">Eingaben!$C$126</definedName>
    <definedName name="_Unterhaltskosten_Durschschnittlich_Batterie">Eingaben!$C$131</definedName>
    <definedName name="_Vergütungsdauer">Eingaben!#REF!</definedName>
    <definedName name="_Version">Versionierung!$C$3</definedName>
    <definedName name="_Vorabzug_Investitionskosten_Batterie">Eingaben!$C$103</definedName>
    <definedName name="_Vorsteuerabzug_Investitionskosten">Eingaben!$C$91</definedName>
    <definedName name="_ZahlungsfristEIVFB">Eingaben!$C$80</definedName>
    <definedName name="_ZEV">Eingaben!$C$41</definedName>
    <definedName name="_Zins_Eigenkapital">Eingaben!$G$95</definedName>
    <definedName name="_Zins_Eigenkapital_Batterie">Eingaben!$E$107</definedName>
    <definedName name="_Zins_Fremdkapital_Batterie">Eingaben!$G$108</definedName>
    <definedName name="_Zins_Fremdkapital1">Eingaben!$G$96</definedName>
    <definedName name="_Zins_Fremdkapital2">Eingaben!$G$97</definedName>
    <definedName name="_xlnm.Print_Area" localSheetId="3">Berechnungen!$A$1:$CD$54</definedName>
    <definedName name="_xlnm.Print_Area" localSheetId="0">Bericht!$A$1:$I$101</definedName>
    <definedName name="_xlnm.Print_Area" localSheetId="1">Details!$A$1:$H$76</definedName>
    <definedName name="_xlnm.Print_Area" localSheetId="2">Eingaben!$A$1:$H$126</definedName>
    <definedName name="_xlnm.Print_Area" localSheetId="4">Erläuterungen!$A$1:$D$38</definedName>
    <definedName name="_xlnm.Print_Area" localSheetId="5">Versionierung!$A$1:$D$37</definedName>
    <definedName name="_xlnm.Print_Titles" localSheetId="0">Bericht!$1:$38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P39" i="12" l="1"/>
  <c r="I21" i="12"/>
  <c r="I20" i="12"/>
  <c r="I19" i="12"/>
  <c r="I18" i="12"/>
  <c r="I17" i="12"/>
  <c r="I16" i="12"/>
  <c r="I15" i="12"/>
  <c r="I14" i="12"/>
  <c r="I13" i="12"/>
  <c r="I12" i="12"/>
  <c r="I11" i="12"/>
  <c r="I10" i="12"/>
  <c r="C76" i="1"/>
  <c r="G17" i="1"/>
  <c r="I17" i="1" s="1"/>
  <c r="E53" i="1"/>
  <c r="E66" i="1"/>
  <c r="F47" i="1"/>
  <c r="A71" i="8"/>
  <c r="A61" i="8"/>
  <c r="A51" i="8"/>
  <c r="A43" i="8"/>
  <c r="A35" i="8"/>
  <c r="E32" i="8"/>
  <c r="E6" i="8"/>
  <c r="P13" i="4"/>
  <c r="O13" i="4"/>
  <c r="N13" i="4"/>
  <c r="N25" i="4"/>
  <c r="N37" i="4"/>
  <c r="N49" i="4"/>
  <c r="N61" i="4"/>
  <c r="N73" i="4"/>
  <c r="N28" i="4"/>
  <c r="N64" i="4"/>
  <c r="N53" i="4"/>
  <c r="N101" i="4"/>
  <c r="N30" i="4"/>
  <c r="N54" i="4"/>
  <c r="N31" i="4"/>
  <c r="N55" i="4"/>
  <c r="N79" i="4"/>
  <c r="N32" i="4"/>
  <c r="N44" i="4"/>
  <c r="N68" i="4"/>
  <c r="N45" i="4"/>
  <c r="N70" i="4"/>
  <c r="N35" i="4"/>
  <c r="N59" i="4"/>
  <c r="N71" i="4"/>
  <c r="N48" i="4"/>
  <c r="N60" i="4"/>
  <c r="N14" i="4"/>
  <c r="N26" i="4"/>
  <c r="N38" i="4"/>
  <c r="N62" i="4"/>
  <c r="N86" i="4"/>
  <c r="N40" i="4"/>
  <c r="N52" i="4"/>
  <c r="N100" i="4"/>
  <c r="N41" i="4"/>
  <c r="N65" i="4"/>
  <c r="N42" i="4"/>
  <c r="N66" i="4"/>
  <c r="N43" i="4"/>
  <c r="N67" i="4"/>
  <c r="N80" i="4"/>
  <c r="N57" i="4"/>
  <c r="N81" i="4"/>
  <c r="N34" i="4"/>
  <c r="N58" i="4"/>
  <c r="N94" i="4"/>
  <c r="N36" i="4"/>
  <c r="N72" i="4"/>
  <c r="N15" i="4"/>
  <c r="N27" i="4"/>
  <c r="N39" i="4"/>
  <c r="N63" i="4"/>
  <c r="N99" i="4"/>
  <c r="N29" i="4"/>
  <c r="N56" i="4"/>
  <c r="N33" i="4"/>
  <c r="N69" i="4"/>
  <c r="N93" i="4"/>
  <c r="N46" i="4"/>
  <c r="N82" i="4"/>
  <c r="N47" i="4"/>
  <c r="N16" i="4"/>
  <c r="N17" i="4"/>
  <c r="N18" i="4"/>
  <c r="N19" i="4"/>
  <c r="N20" i="4"/>
  <c r="N21" i="4"/>
  <c r="N24" i="4"/>
  <c r="N12" i="4"/>
  <c r="K2" i="4"/>
  <c r="K14" i="4"/>
  <c r="K38" i="4"/>
  <c r="K62" i="4"/>
  <c r="K74" i="4"/>
  <c r="K86" i="4"/>
  <c r="K98" i="4"/>
  <c r="K15" i="4"/>
  <c r="K39" i="4"/>
  <c r="K63" i="4"/>
  <c r="K75" i="4"/>
  <c r="K87" i="4"/>
  <c r="K99" i="4"/>
  <c r="K16" i="4"/>
  <c r="K40" i="4"/>
  <c r="K64" i="4"/>
  <c r="K76" i="4"/>
  <c r="K88" i="4"/>
  <c r="K100" i="4"/>
  <c r="K17" i="4"/>
  <c r="K41" i="4"/>
  <c r="K65" i="4"/>
  <c r="K77" i="4"/>
  <c r="K89" i="4"/>
  <c r="K101" i="4"/>
  <c r="K18" i="4"/>
  <c r="K42" i="4"/>
  <c r="K54" i="4"/>
  <c r="K66" i="4"/>
  <c r="K78" i="4"/>
  <c r="K90" i="4"/>
  <c r="K19" i="4"/>
  <c r="K43" i="4"/>
  <c r="K55" i="4"/>
  <c r="K67" i="4"/>
  <c r="K79" i="4"/>
  <c r="K91" i="4"/>
  <c r="K20" i="4"/>
  <c r="K32" i="4"/>
  <c r="K44" i="4"/>
  <c r="K56" i="4"/>
  <c r="K68" i="4"/>
  <c r="K80" i="4"/>
  <c r="K92" i="4"/>
  <c r="K21" i="4"/>
  <c r="K33" i="4"/>
  <c r="K45" i="4"/>
  <c r="K57" i="4"/>
  <c r="K69" i="4"/>
  <c r="K81" i="4"/>
  <c r="K93" i="4"/>
  <c r="K34" i="4"/>
  <c r="K46" i="4"/>
  <c r="K58" i="4"/>
  <c r="K70" i="4"/>
  <c r="K82" i="4"/>
  <c r="K94" i="4"/>
  <c r="K11" i="4"/>
  <c r="K23" i="4"/>
  <c r="K35" i="4"/>
  <c r="K47" i="4"/>
  <c r="K59" i="4"/>
  <c r="K71" i="4"/>
  <c r="K83" i="4"/>
  <c r="K95" i="4"/>
  <c r="K24" i="4"/>
  <c r="K36" i="4"/>
  <c r="K48" i="4"/>
  <c r="K72" i="4"/>
  <c r="K84" i="4"/>
  <c r="K13" i="4"/>
  <c r="K25" i="4"/>
  <c r="K37" i="4"/>
  <c r="K61" i="4"/>
  <c r="K85" i="4"/>
  <c r="K97" i="4"/>
  <c r="K3" i="4"/>
  <c r="K4" i="4"/>
  <c r="K5" i="4"/>
  <c r="K6" i="4"/>
  <c r="K7" i="4"/>
  <c r="K8" i="4"/>
  <c r="K9" i="4"/>
  <c r="K10" i="4"/>
  <c r="K12" i="4"/>
  <c r="K60" i="4"/>
  <c r="K96" i="4"/>
  <c r="K49" i="4"/>
  <c r="K73" i="4"/>
  <c r="K1" i="4"/>
  <c r="C4" i="10"/>
  <c r="C10" i="10"/>
  <c r="C16" i="10"/>
  <c r="C22" i="10"/>
  <c r="C28" i="10"/>
  <c r="C34" i="10"/>
  <c r="D10" i="10"/>
  <c r="D16" i="10"/>
  <c r="D22" i="10"/>
  <c r="D28" i="10"/>
  <c r="D34" i="10"/>
  <c r="C11" i="10"/>
  <c r="C17" i="10"/>
  <c r="C23" i="10"/>
  <c r="C29" i="10"/>
  <c r="C35" i="10"/>
  <c r="D5" i="10"/>
  <c r="D11" i="10"/>
  <c r="D29" i="10"/>
  <c r="D35" i="10"/>
  <c r="C12" i="10"/>
  <c r="C30" i="10"/>
  <c r="D12" i="10"/>
  <c r="D24" i="10"/>
  <c r="C7" i="10"/>
  <c r="C19" i="10"/>
  <c r="D7" i="10"/>
  <c r="D25" i="10"/>
  <c r="D31" i="10"/>
  <c r="D37" i="10"/>
  <c r="C26" i="10"/>
  <c r="C38" i="10"/>
  <c r="D20" i="10"/>
  <c r="C9" i="10"/>
  <c r="C33" i="10"/>
  <c r="D21" i="10"/>
  <c r="D4" i="10"/>
  <c r="D23" i="10"/>
  <c r="C6" i="10"/>
  <c r="C24" i="10"/>
  <c r="D6" i="10"/>
  <c r="D30" i="10"/>
  <c r="C25" i="10"/>
  <c r="C37" i="10"/>
  <c r="D13" i="10"/>
  <c r="C8" i="10"/>
  <c r="C20" i="10"/>
  <c r="D8" i="10"/>
  <c r="D26" i="10"/>
  <c r="D38" i="10"/>
  <c r="C21" i="10"/>
  <c r="D9" i="10"/>
  <c r="D33" i="10"/>
  <c r="C5" i="10"/>
  <c r="D17" i="10"/>
  <c r="C18" i="10"/>
  <c r="C36" i="10"/>
  <c r="D18" i="10"/>
  <c r="D36" i="10"/>
  <c r="C13" i="10"/>
  <c r="C31" i="10"/>
  <c r="D19" i="10"/>
  <c r="C14" i="10"/>
  <c r="C32" i="10"/>
  <c r="D14" i="10"/>
  <c r="D32" i="10"/>
  <c r="C15" i="10"/>
  <c r="C27" i="10"/>
  <c r="D15" i="10"/>
  <c r="D27" i="10"/>
  <c r="D3" i="10"/>
  <c r="C3" i="10"/>
  <c r="E7" i="11"/>
  <c r="E10" i="11"/>
  <c r="E8" i="11"/>
  <c r="E9" i="11"/>
  <c r="E6" i="11"/>
  <c r="BY4" i="5"/>
  <c r="BS4" i="5"/>
  <c r="BM4" i="5"/>
  <c r="D5" i="5"/>
  <c r="P5" i="5"/>
  <c r="AN5" i="5"/>
  <c r="AZ5" i="5"/>
  <c r="BL5" i="5"/>
  <c r="AJ5" i="5"/>
  <c r="O5" i="5"/>
  <c r="BK5" i="5"/>
  <c r="Q5" i="5"/>
  <c r="AO5" i="5"/>
  <c r="BA5" i="5"/>
  <c r="BH5" i="5"/>
  <c r="M5" i="5"/>
  <c r="AA5" i="5"/>
  <c r="F5" i="5"/>
  <c r="R5" i="5"/>
  <c r="AD5" i="5"/>
  <c r="AP5" i="5"/>
  <c r="L5" i="5"/>
  <c r="AL5" i="5"/>
  <c r="AM5" i="5"/>
  <c r="G5" i="5"/>
  <c r="S5" i="5"/>
  <c r="AQ5" i="5"/>
  <c r="H5" i="5"/>
  <c r="T5" i="5"/>
  <c r="AF5" i="5"/>
  <c r="AR5" i="5"/>
  <c r="X5" i="5"/>
  <c r="AK5" i="5"/>
  <c r="BI5" i="5"/>
  <c r="N5" i="5"/>
  <c r="AY5" i="5"/>
  <c r="I5" i="5"/>
  <c r="U5" i="5"/>
  <c r="AG5" i="5"/>
  <c r="AS5" i="5"/>
  <c r="J5" i="5"/>
  <c r="V5" i="5"/>
  <c r="AT5" i="5"/>
  <c r="K5" i="5"/>
  <c r="W5" i="5"/>
  <c r="AI5" i="5"/>
  <c r="AW123" i="1"/>
  <c r="AW110" i="1"/>
  <c r="AW98" i="1"/>
  <c r="AW86" i="1"/>
  <c r="AW74" i="1"/>
  <c r="AW62" i="1"/>
  <c r="AW50" i="1"/>
  <c r="AW38" i="1"/>
  <c r="AW26" i="1"/>
  <c r="AQ127" i="1"/>
  <c r="AQ108" i="1"/>
  <c r="AQ114" i="1"/>
  <c r="AQ100" i="1"/>
  <c r="AQ128" i="1"/>
  <c r="I7" i="1"/>
  <c r="L2" i="1"/>
  <c r="AW122" i="1"/>
  <c r="AW109" i="1"/>
  <c r="AW97" i="1"/>
  <c r="AW85" i="1"/>
  <c r="AW73" i="1"/>
  <c r="AW61" i="1"/>
  <c r="AW49" i="1"/>
  <c r="AW37" i="1"/>
  <c r="AW25" i="1"/>
  <c r="AQ80" i="1"/>
  <c r="AQ112" i="1"/>
  <c r="AQ81" i="1"/>
  <c r="I9" i="1"/>
  <c r="I2" i="1"/>
  <c r="AW121" i="1"/>
  <c r="AW108" i="1"/>
  <c r="AW96" i="1"/>
  <c r="AW84" i="1"/>
  <c r="AW72" i="1"/>
  <c r="AW60" i="1"/>
  <c r="AW48" i="1"/>
  <c r="AW36" i="1"/>
  <c r="AW24" i="1"/>
  <c r="AQ121" i="1"/>
  <c r="AQ104" i="1"/>
  <c r="AQ124" i="1"/>
  <c r="AQ105" i="1"/>
  <c r="I11" i="1"/>
  <c r="AW120" i="1"/>
  <c r="AW107" i="1"/>
  <c r="AW95" i="1"/>
  <c r="AW83" i="1"/>
  <c r="AW71" i="1"/>
  <c r="AW59" i="1"/>
  <c r="AW47" i="1"/>
  <c r="AW35" i="1"/>
  <c r="AW23" i="1"/>
  <c r="AW14" i="1"/>
  <c r="AQ69" i="1"/>
  <c r="AQ75" i="1"/>
  <c r="AQ117" i="1"/>
  <c r="AQ89" i="1"/>
  <c r="AQ94" i="1"/>
  <c r="I5" i="1"/>
  <c r="AW131" i="1"/>
  <c r="AW119" i="1"/>
  <c r="AW106" i="1"/>
  <c r="AW94" i="1"/>
  <c r="AW82" i="1"/>
  <c r="AW70" i="1"/>
  <c r="AW58" i="1"/>
  <c r="AW46" i="1"/>
  <c r="AW34" i="1"/>
  <c r="AW22" i="1"/>
  <c r="AQ74" i="1"/>
  <c r="AQ93" i="1"/>
  <c r="AQ87" i="1"/>
  <c r="AQ70" i="1"/>
  <c r="AQ125" i="1"/>
  <c r="AQ130" i="1"/>
  <c r="I6" i="1"/>
  <c r="AW130" i="1"/>
  <c r="AW118" i="1"/>
  <c r="AW105" i="1"/>
  <c r="AW93" i="1"/>
  <c r="AW81" i="1"/>
  <c r="AW69" i="1"/>
  <c r="AW57" i="1"/>
  <c r="AW45" i="1"/>
  <c r="AW33" i="1"/>
  <c r="AW21" i="1"/>
  <c r="AQ86" i="1"/>
  <c r="AQ129" i="1"/>
  <c r="AQ118" i="1"/>
  <c r="AQ78" i="1"/>
  <c r="AQ107" i="1"/>
  <c r="I8" i="1"/>
  <c r="AW15" i="1"/>
  <c r="AQ88" i="1"/>
  <c r="I4" i="1"/>
  <c r="AW129" i="1"/>
  <c r="AW117" i="1"/>
  <c r="AW104" i="1"/>
  <c r="AW92" i="1"/>
  <c r="AW80" i="1"/>
  <c r="AW68" i="1"/>
  <c r="AW56" i="1"/>
  <c r="AW44" i="1"/>
  <c r="AW32" i="1"/>
  <c r="AW20" i="1"/>
  <c r="AQ98" i="1"/>
  <c r="AQ82" i="1"/>
  <c r="AQ111" i="1"/>
  <c r="AQ83" i="1"/>
  <c r="AQ102" i="1"/>
  <c r="AQ72" i="1"/>
  <c r="I10" i="1"/>
  <c r="AW128" i="1"/>
  <c r="AW116" i="1"/>
  <c r="AW103" i="1"/>
  <c r="AW91" i="1"/>
  <c r="AW79" i="1"/>
  <c r="AW67" i="1"/>
  <c r="AW55" i="1"/>
  <c r="AW43" i="1"/>
  <c r="AW31" i="1"/>
  <c r="AW19" i="1"/>
  <c r="AQ110" i="1"/>
  <c r="AQ106" i="1"/>
  <c r="AQ123" i="1"/>
  <c r="AQ119" i="1"/>
  <c r="AQ126" i="1"/>
  <c r="AQ96" i="1"/>
  <c r="I3" i="1"/>
  <c r="AW127" i="1"/>
  <c r="AW115" i="1"/>
  <c r="AW102" i="1"/>
  <c r="AW90" i="1"/>
  <c r="AW78" i="1"/>
  <c r="AW66" i="1"/>
  <c r="AW54" i="1"/>
  <c r="AW42" i="1"/>
  <c r="AW30" i="1"/>
  <c r="AW18" i="1"/>
  <c r="AQ122" i="1"/>
  <c r="AQ71" i="1"/>
  <c r="AQ77" i="1"/>
  <c r="AQ73" i="1"/>
  <c r="AQ79" i="1"/>
  <c r="AQ120" i="1"/>
  <c r="N4" i="1"/>
  <c r="AW126" i="1"/>
  <c r="AW114" i="1"/>
  <c r="AW101" i="1"/>
  <c r="AW89" i="1"/>
  <c r="AW77" i="1"/>
  <c r="AW65" i="1"/>
  <c r="AW53" i="1"/>
  <c r="AW41" i="1"/>
  <c r="AW29" i="1"/>
  <c r="AW17" i="1"/>
  <c r="AQ101" i="1"/>
  <c r="AQ95" i="1"/>
  <c r="AQ113" i="1"/>
  <c r="AQ109" i="1"/>
  <c r="AQ103" i="1"/>
  <c r="AQ97" i="1"/>
  <c r="O1" i="1"/>
  <c r="AW125" i="1"/>
  <c r="AW113" i="1"/>
  <c r="AW100" i="1"/>
  <c r="AW88" i="1"/>
  <c r="AW76" i="1"/>
  <c r="AW64" i="1"/>
  <c r="AW52" i="1"/>
  <c r="AW40" i="1"/>
  <c r="AW28" i="1"/>
  <c r="AW16" i="1"/>
  <c r="AQ67" i="1"/>
  <c r="AQ131" i="1"/>
  <c r="AQ66" i="1"/>
  <c r="AQ76" i="1"/>
  <c r="AQ115" i="1"/>
  <c r="AQ1" i="1"/>
  <c r="J2" i="1"/>
  <c r="AW124" i="1"/>
  <c r="AW112" i="1"/>
  <c r="AW99" i="1"/>
  <c r="AW87" i="1"/>
  <c r="AW75" i="1"/>
  <c r="AW63" i="1"/>
  <c r="AW51" i="1"/>
  <c r="AW39" i="1"/>
  <c r="AW27" i="1"/>
  <c r="AQ91" i="1"/>
  <c r="AQ84" i="1"/>
  <c r="AQ90" i="1"/>
  <c r="AQ92" i="1"/>
  <c r="K2" i="1"/>
  <c r="AQ32" i="1"/>
  <c r="AQ39" i="1"/>
  <c r="AQ40" i="1"/>
  <c r="AQ51" i="1"/>
  <c r="AQ23" i="1"/>
  <c r="AQ52" i="1"/>
  <c r="AQ5" i="1"/>
  <c r="AQ64" i="1"/>
  <c r="AQ22" i="1"/>
  <c r="AQ9" i="1"/>
  <c r="AQ19" i="1"/>
  <c r="AQ58" i="1"/>
  <c r="AQ49" i="1"/>
  <c r="AQ21" i="1"/>
  <c r="AQ11" i="1"/>
  <c r="AQ33" i="1"/>
  <c r="AQ35" i="1"/>
  <c r="AQ61" i="1"/>
  <c r="AQ63" i="1"/>
  <c r="AQ59" i="1"/>
  <c r="AQ31" i="1"/>
  <c r="AQ6" i="1"/>
  <c r="E68" i="8"/>
  <c r="AQ60" i="1"/>
  <c r="AQ7" i="1"/>
  <c r="E58" i="8"/>
  <c r="AQ43" i="1"/>
  <c r="AQ62" i="1"/>
  <c r="AQ3" i="1"/>
  <c r="AQ42" i="1"/>
  <c r="AQ27" i="1"/>
  <c r="AQ28" i="1"/>
  <c r="AQ53" i="1"/>
  <c r="AQ8" i="1"/>
  <c r="AQ14" i="1"/>
  <c r="AQ65" i="1"/>
  <c r="AQ56" i="1"/>
  <c r="AQ12" i="1"/>
  <c r="AQ26" i="1"/>
  <c r="AQ13" i="1"/>
  <c r="AQ37" i="1"/>
  <c r="AQ38" i="1"/>
  <c r="AQ30" i="1"/>
  <c r="AQ10" i="1"/>
  <c r="AQ20" i="1"/>
  <c r="AQ24" i="1"/>
  <c r="AQ50" i="1"/>
  <c r="AQ4" i="1"/>
  <c r="AQ18" i="1"/>
  <c r="AQ16" i="1"/>
  <c r="AQ54" i="1"/>
  <c r="AQ41" i="1"/>
  <c r="AQ17" i="1"/>
  <c r="AQ15" i="1"/>
  <c r="BJ5" i="5"/>
  <c r="BG5" i="5"/>
  <c r="BF5" i="5"/>
  <c r="BE5" i="5"/>
  <c r="BD5" i="5"/>
  <c r="BC5" i="5"/>
  <c r="BB5" i="5"/>
  <c r="C5" i="5"/>
  <c r="AU5" i="5"/>
  <c r="E5" i="5"/>
  <c r="AX5" i="5"/>
  <c r="AW5" i="5"/>
  <c r="AV5" i="5"/>
  <c r="AQ116" i="1"/>
  <c r="AH5" i="5"/>
  <c r="AE5" i="5"/>
  <c r="AQ34" i="1"/>
  <c r="AB5" i="5"/>
  <c r="Z5" i="5"/>
  <c r="Y5" i="5"/>
  <c r="AQ29" i="1"/>
  <c r="AQ99" i="1"/>
  <c r="AQ85" i="1"/>
  <c r="AQ57" i="1"/>
  <c r="AQ44" i="1"/>
  <c r="AQ68" i="1"/>
  <c r="AQ55" i="1"/>
  <c r="AQ36" i="1"/>
  <c r="AQ25" i="1"/>
  <c r="H15" i="1"/>
  <c r="AC5" i="5"/>
  <c r="A53" i="4" l="1"/>
  <c r="A52" i="4"/>
  <c r="A51" i="4"/>
  <c r="A50" i="4"/>
  <c r="AU111" i="1"/>
  <c r="E111" i="1"/>
  <c r="K51" i="4"/>
  <c r="K52" i="4"/>
  <c r="K53" i="4"/>
  <c r="K50" i="4"/>
  <c r="AW111" i="1"/>
  <c r="I21" i="1" l="1"/>
  <c r="J121" i="1"/>
  <c r="J120" i="1"/>
  <c r="J114" i="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M3" i="5" l="1"/>
  <c r="B4" i="4"/>
  <c r="G3" i="8"/>
  <c r="B4" i="8"/>
  <c r="B3" i="8"/>
  <c r="G4" i="4"/>
  <c r="B5" i="4"/>
  <c r="AU2" i="5"/>
  <c r="C129" i="1"/>
  <c r="Z87" i="1"/>
  <c r="Z53" i="1"/>
  <c r="Z48" i="1"/>
  <c r="Z47" i="1"/>
  <c r="AU3" i="5" l="1"/>
  <c r="B97" i="4"/>
  <c r="AL1" i="1"/>
  <c r="AM2" i="1" s="1"/>
  <c r="AN3" i="1" s="1"/>
  <c r="AI1" i="1"/>
  <c r="AJ2" i="1" s="1"/>
  <c r="AK3" i="1" s="1"/>
  <c r="AF1" i="1"/>
  <c r="AG2" i="1" s="1"/>
  <c r="AH3" i="1" s="1"/>
  <c r="AC1" i="1"/>
  <c r="AD2" i="1" s="1"/>
  <c r="AE3" i="1" s="1"/>
  <c r="Z1" i="1"/>
  <c r="AA2" i="1" s="1"/>
  <c r="AB3" i="1" s="1"/>
  <c r="W1" i="1"/>
  <c r="X2" i="1" s="1"/>
  <c r="Y3" i="1" s="1"/>
  <c r="T1" i="1"/>
  <c r="U2" i="1" s="1"/>
  <c r="V3" i="1" s="1"/>
  <c r="Q1" i="1"/>
  <c r="N23" i="1" s="1"/>
  <c r="C23" i="1" s="1"/>
  <c r="J8" i="5" s="1"/>
  <c r="C57" i="1"/>
  <c r="I19" i="1"/>
  <c r="I26" i="1"/>
  <c r="I31" i="1"/>
  <c r="A2" i="1"/>
  <c r="H60" i="8"/>
  <c r="G60" i="8"/>
  <c r="E60" i="8"/>
  <c r="D60" i="8"/>
  <c r="F60" i="8"/>
  <c r="AQ2" i="1"/>
  <c r="N108" i="1" l="1"/>
  <c r="C108" i="1" s="1"/>
  <c r="N40" i="1"/>
  <c r="N107" i="1"/>
  <c r="N21" i="1"/>
  <c r="C21" i="1" s="1"/>
  <c r="N26" i="1"/>
  <c r="C26" i="1" s="1"/>
  <c r="N127" i="1"/>
  <c r="N105" i="1"/>
  <c r="N104" i="1"/>
  <c r="N103" i="1"/>
  <c r="N71" i="1"/>
  <c r="C71" i="1" s="1"/>
  <c r="N50" i="1"/>
  <c r="N44" i="1"/>
  <c r="C44" i="1" s="1"/>
  <c r="L34" i="1" s="1"/>
  <c r="N41" i="1"/>
  <c r="C41" i="1" s="1"/>
  <c r="A48" i="1" s="1"/>
  <c r="N125" i="1"/>
  <c r="N106" i="1"/>
  <c r="N102" i="1"/>
  <c r="C102" i="1" s="1"/>
  <c r="N96" i="1"/>
  <c r="N90" i="1"/>
  <c r="N91" i="1"/>
  <c r="N72" i="1"/>
  <c r="C72" i="1" s="1"/>
  <c r="N67" i="1"/>
  <c r="N62" i="1"/>
  <c r="N15" i="1"/>
  <c r="N61" i="1"/>
  <c r="N68" i="1"/>
  <c r="N130" i="1"/>
  <c r="N60" i="1"/>
  <c r="N42" i="1"/>
  <c r="N86" i="1"/>
  <c r="N38" i="1"/>
  <c r="N121" i="1"/>
  <c r="N85" i="1"/>
  <c r="N27" i="1"/>
  <c r="N28" i="1"/>
  <c r="N53" i="1"/>
  <c r="N65" i="1"/>
  <c r="N66" i="1"/>
  <c r="N126" i="1"/>
  <c r="N52" i="1"/>
  <c r="N88" i="1"/>
  <c r="C88" i="1" s="1"/>
  <c r="N87" i="1"/>
  <c r="C87" i="1" s="1"/>
  <c r="N84" i="1"/>
  <c r="N114" i="1"/>
  <c r="N78" i="1"/>
  <c r="C78" i="1" s="1"/>
  <c r="N25" i="1"/>
  <c r="N89" i="1"/>
  <c r="C89" i="1" s="1"/>
  <c r="N124" i="1"/>
  <c r="C124" i="1" s="1"/>
  <c r="N123" i="1"/>
  <c r="C123" i="1" s="1"/>
  <c r="N122" i="1"/>
  <c r="N120" i="1"/>
  <c r="N109" i="1"/>
  <c r="N73" i="1"/>
  <c r="N24" i="1"/>
  <c r="N20" i="1"/>
  <c r="C20" i="1" s="1"/>
  <c r="L80" i="1" s="1"/>
  <c r="C80" i="1" s="1"/>
  <c r="N83" i="1"/>
  <c r="C83" i="1" s="1"/>
  <c r="N100" i="1"/>
  <c r="R2" i="1"/>
  <c r="O121" i="1" s="1"/>
  <c r="N117" i="1"/>
  <c r="N99" i="1"/>
  <c r="N81" i="1"/>
  <c r="C81" i="1" s="1"/>
  <c r="N55" i="1"/>
  <c r="N34" i="1"/>
  <c r="N17" i="1"/>
  <c r="N37" i="1"/>
  <c r="N119" i="1"/>
  <c r="N58" i="1"/>
  <c r="N19" i="1"/>
  <c r="C19" i="1" s="1"/>
  <c r="N56" i="1"/>
  <c r="C56" i="1" s="1"/>
  <c r="N116" i="1"/>
  <c r="N98" i="1"/>
  <c r="N80" i="1"/>
  <c r="N54" i="1"/>
  <c r="N33" i="1"/>
  <c r="N16" i="1"/>
  <c r="N101" i="1"/>
  <c r="C101" i="1" s="1"/>
  <c r="N36" i="1"/>
  <c r="N118" i="1"/>
  <c r="N82" i="1"/>
  <c r="C82" i="1" s="1"/>
  <c r="N18" i="1"/>
  <c r="N115" i="1"/>
  <c r="C115" i="1" s="1"/>
  <c r="N97" i="1"/>
  <c r="C97" i="1" s="1"/>
  <c r="N79" i="1"/>
  <c r="C79" i="1" s="1"/>
  <c r="N51" i="1"/>
  <c r="N32" i="1"/>
  <c r="N113" i="1"/>
  <c r="N95" i="1"/>
  <c r="N77" i="1"/>
  <c r="C77" i="1" s="1"/>
  <c r="N49" i="1"/>
  <c r="N31" i="1"/>
  <c r="C31" i="1" s="1"/>
  <c r="N112" i="1"/>
  <c r="N94" i="1"/>
  <c r="N76" i="1"/>
  <c r="N48" i="1"/>
  <c r="N30" i="1"/>
  <c r="N111" i="1"/>
  <c r="N93" i="1"/>
  <c r="N75" i="1"/>
  <c r="N47" i="1"/>
  <c r="N29" i="1"/>
  <c r="C29" i="1" s="1"/>
  <c r="N110" i="1"/>
  <c r="N92" i="1"/>
  <c r="N74" i="1"/>
  <c r="N45" i="1"/>
  <c r="F95" i="4"/>
  <c r="F71" i="1"/>
  <c r="B6" i="11"/>
  <c r="E51" i="1"/>
  <c r="F92" i="4" s="1"/>
  <c r="AQ48" i="1"/>
  <c r="N95" i="4"/>
  <c r="N92" i="4"/>
  <c r="A46" i="1" l="1"/>
  <c r="A45" i="1"/>
  <c r="A22" i="4"/>
  <c r="A26" i="4"/>
  <c r="C34" i="1"/>
  <c r="C50" i="1"/>
  <c r="O90" i="1"/>
  <c r="O127" i="1"/>
  <c r="O26" i="1"/>
  <c r="O32" i="1"/>
  <c r="O36" i="1"/>
  <c r="O82" i="1"/>
  <c r="O47" i="1"/>
  <c r="O100" i="1"/>
  <c r="O58" i="1"/>
  <c r="O71" i="1"/>
  <c r="O24" i="1"/>
  <c r="O89" i="1"/>
  <c r="O84" i="1"/>
  <c r="O23" i="1"/>
  <c r="O49" i="1"/>
  <c r="O102" i="1"/>
  <c r="O61" i="1"/>
  <c r="O16" i="1"/>
  <c r="O18" i="1"/>
  <c r="O86" i="1"/>
  <c r="S3" i="1"/>
  <c r="P19" i="1" s="1"/>
  <c r="O92" i="1"/>
  <c r="O98" i="1"/>
  <c r="O67" i="1"/>
  <c r="O60" i="1"/>
  <c r="O112" i="1"/>
  <c r="O77" i="1"/>
  <c r="O83" i="1"/>
  <c r="O40" i="1"/>
  <c r="O56" i="1"/>
  <c r="O107" i="1"/>
  <c r="O80" i="1"/>
  <c r="O113" i="1"/>
  <c r="O73" i="1"/>
  <c r="O79" i="1"/>
  <c r="O42" i="1"/>
  <c r="O104" i="1"/>
  <c r="O75" i="1"/>
  <c r="O72" i="1"/>
  <c r="O19" i="1"/>
  <c r="O116" i="1"/>
  <c r="O81" i="1"/>
  <c r="O78" i="1"/>
  <c r="O38" i="1"/>
  <c r="O117" i="1"/>
  <c r="O74" i="1"/>
  <c r="O37" i="1"/>
  <c r="O55" i="1"/>
  <c r="O123" i="1"/>
  <c r="O17" i="1"/>
  <c r="O52" i="1"/>
  <c r="O53" i="1"/>
  <c r="O65" i="1"/>
  <c r="O66" i="1"/>
  <c r="O126" i="1"/>
  <c r="O124" i="1"/>
  <c r="O27" i="1"/>
  <c r="O91" i="1"/>
  <c r="O111" i="1"/>
  <c r="O103" i="1"/>
  <c r="O28" i="1"/>
  <c r="O20" i="1"/>
  <c r="O96" i="1"/>
  <c r="G96" i="1" s="1"/>
  <c r="O21" i="1"/>
  <c r="O101" i="1"/>
  <c r="O57" i="1"/>
  <c r="O54" i="1"/>
  <c r="O85" i="1"/>
  <c r="O97" i="1"/>
  <c r="G97" i="1" s="1"/>
  <c r="O110" i="1"/>
  <c r="O122" i="1"/>
  <c r="O87" i="1"/>
  <c r="O109" i="1"/>
  <c r="O115" i="1"/>
  <c r="O48" i="1"/>
  <c r="O33" i="1"/>
  <c r="O108" i="1"/>
  <c r="G108" i="1" s="1"/>
  <c r="O15" i="1"/>
  <c r="O68" i="1"/>
  <c r="O94" i="1"/>
  <c r="O30" i="1"/>
  <c r="C61" i="1"/>
  <c r="O95" i="1"/>
  <c r="G95" i="1" s="1"/>
  <c r="P32" i="1"/>
  <c r="O29" i="1"/>
  <c r="O44" i="1"/>
  <c r="O31" i="1"/>
  <c r="O25" i="1"/>
  <c r="O45" i="1"/>
  <c r="O76" i="1"/>
  <c r="O93" i="1"/>
  <c r="O119" i="1"/>
  <c r="O41" i="1"/>
  <c r="O120" i="1"/>
  <c r="O88" i="1"/>
  <c r="O99" i="1"/>
  <c r="O125" i="1"/>
  <c r="O50" i="1"/>
  <c r="O130" i="1"/>
  <c r="O62" i="1"/>
  <c r="O106" i="1"/>
  <c r="O105" i="1"/>
  <c r="O51" i="1"/>
  <c r="O118" i="1"/>
  <c r="O34" i="1"/>
  <c r="O114" i="1"/>
  <c r="F85" i="4"/>
  <c r="F83" i="4"/>
  <c r="AL2" i="5"/>
  <c r="I60" i="1"/>
  <c r="C60" i="1" s="1"/>
  <c r="I51" i="1"/>
  <c r="C51" i="1" s="1"/>
  <c r="AQ45" i="1"/>
  <c r="N85" i="4"/>
  <c r="AQ46" i="1"/>
  <c r="N83" i="4"/>
  <c r="K22" i="4"/>
  <c r="K26" i="4"/>
  <c r="P81" i="1" l="1"/>
  <c r="H92" i="4"/>
  <c r="P51" i="1"/>
  <c r="P127" i="1"/>
  <c r="P31" i="1"/>
  <c r="P56" i="1"/>
  <c r="P107" i="1"/>
  <c r="P98" i="1"/>
  <c r="P113" i="1"/>
  <c r="P92" i="1"/>
  <c r="P67" i="1"/>
  <c r="P26" i="1"/>
  <c r="P73" i="1"/>
  <c r="P100" i="1"/>
  <c r="P29" i="1"/>
  <c r="P95" i="1"/>
  <c r="P79" i="1"/>
  <c r="P118" i="1"/>
  <c r="P62" i="1"/>
  <c r="P87" i="1"/>
  <c r="P25" i="1"/>
  <c r="P101" i="1"/>
  <c r="P82" i="1"/>
  <c r="P41" i="1"/>
  <c r="P117" i="1"/>
  <c r="P72" i="1"/>
  <c r="P112" i="1"/>
  <c r="P103" i="1"/>
  <c r="P109" i="1"/>
  <c r="P16" i="1"/>
  <c r="P75" i="1"/>
  <c r="P60" i="1"/>
  <c r="P37" i="1"/>
  <c r="P68" i="1"/>
  <c r="P104" i="1"/>
  <c r="P23" i="1"/>
  <c r="P76" i="1"/>
  <c r="P15" i="1"/>
  <c r="P90" i="1"/>
  <c r="P40" i="1"/>
  <c r="P71" i="1"/>
  <c r="P38" i="1"/>
  <c r="P30" i="1"/>
  <c r="P108" i="1"/>
  <c r="P105" i="1"/>
  <c r="P86" i="1"/>
  <c r="P114" i="1"/>
  <c r="P85" i="1"/>
  <c r="P24" i="1"/>
  <c r="P58" i="1"/>
  <c r="P130" i="1"/>
  <c r="P121" i="1"/>
  <c r="P94" i="1"/>
  <c r="P74" i="1"/>
  <c r="P99" i="1"/>
  <c r="P80" i="1"/>
  <c r="P17" i="1"/>
  <c r="P61" i="1"/>
  <c r="P49" i="1"/>
  <c r="P33" i="1"/>
  <c r="P91" i="1"/>
  <c r="P18" i="1"/>
  <c r="P52" i="1"/>
  <c r="P53" i="1"/>
  <c r="P66" i="1"/>
  <c r="P65" i="1"/>
  <c r="P126" i="1"/>
  <c r="P42" i="1"/>
  <c r="P21" i="1"/>
  <c r="P123" i="1"/>
  <c r="P88" i="1"/>
  <c r="P93" i="1"/>
  <c r="P89" i="1"/>
  <c r="P55" i="1"/>
  <c r="P36" i="1"/>
  <c r="P48" i="1"/>
  <c r="P83" i="1"/>
  <c r="P50" i="1"/>
  <c r="P57" i="1"/>
  <c r="P115" i="1"/>
  <c r="P77" i="1"/>
  <c r="P47" i="1"/>
  <c r="P116" i="1"/>
  <c r="P124" i="1"/>
  <c r="P119" i="1"/>
  <c r="P122" i="1"/>
  <c r="P27" i="1"/>
  <c r="P20" i="1"/>
  <c r="P34" i="1"/>
  <c r="P102" i="1"/>
  <c r="P110" i="1"/>
  <c r="P125" i="1"/>
  <c r="P44" i="1"/>
  <c r="P97" i="1"/>
  <c r="P28" i="1"/>
  <c r="P111" i="1"/>
  <c r="P106" i="1"/>
  <c r="P84" i="1"/>
  <c r="P54" i="1"/>
  <c r="P45" i="1"/>
  <c r="P96" i="1"/>
  <c r="P120" i="1"/>
  <c r="P78" i="1"/>
  <c r="J56" i="1"/>
  <c r="I56" i="1"/>
  <c r="J26" i="1"/>
  <c r="J41" i="1"/>
  <c r="I41" i="1"/>
  <c r="B76" i="8" l="1"/>
  <c r="C12" i="1"/>
  <c r="H37" i="4" s="1"/>
  <c r="D31" i="4"/>
  <c r="AP2" i="5"/>
  <c r="B8" i="4"/>
  <c r="F88" i="4"/>
  <c r="F51" i="4"/>
  <c r="F50" i="4"/>
  <c r="H76" i="8"/>
  <c r="G76" i="8"/>
  <c r="F76" i="8"/>
  <c r="E76" i="8"/>
  <c r="D76" i="8"/>
  <c r="H75" i="8"/>
  <c r="G75" i="8"/>
  <c r="F75" i="8"/>
  <c r="E75" i="8"/>
  <c r="D75" i="8"/>
  <c r="H74" i="8"/>
  <c r="G74" i="8"/>
  <c r="F74" i="8"/>
  <c r="E74" i="8"/>
  <c r="D74" i="8"/>
  <c r="H73" i="8"/>
  <c r="G73" i="8"/>
  <c r="F73" i="8"/>
  <c r="E73" i="8"/>
  <c r="D73" i="8"/>
  <c r="H72" i="8"/>
  <c r="G72" i="8"/>
  <c r="F72" i="8"/>
  <c r="E72" i="8"/>
  <c r="D72" i="8"/>
  <c r="H66" i="8"/>
  <c r="G66" i="8"/>
  <c r="F66" i="8"/>
  <c r="E66" i="8"/>
  <c r="D66" i="8"/>
  <c r="H65" i="8"/>
  <c r="G65" i="8"/>
  <c r="F65" i="8"/>
  <c r="E65" i="8"/>
  <c r="D65" i="8"/>
  <c r="H64" i="8"/>
  <c r="G64" i="8"/>
  <c r="F64" i="8"/>
  <c r="E64" i="8"/>
  <c r="D64" i="8"/>
  <c r="H63" i="8"/>
  <c r="G63" i="8"/>
  <c r="F63" i="8"/>
  <c r="E63" i="8"/>
  <c r="D63" i="8"/>
  <c r="H62" i="8"/>
  <c r="G62" i="8"/>
  <c r="F62" i="8"/>
  <c r="E62" i="8"/>
  <c r="D62" i="8"/>
  <c r="H70" i="8"/>
  <c r="G70" i="8"/>
  <c r="F70" i="8"/>
  <c r="E70" i="8"/>
  <c r="D70" i="8"/>
  <c r="B66" i="8"/>
  <c r="B65" i="8"/>
  <c r="B64" i="8"/>
  <c r="B63" i="8"/>
  <c r="B62" i="8"/>
  <c r="B75" i="8"/>
  <c r="B74" i="8"/>
  <c r="B73" i="8"/>
  <c r="B72" i="8"/>
  <c r="H83" i="4"/>
  <c r="AT2" i="5"/>
  <c r="G53" i="4"/>
  <c r="G51" i="4"/>
  <c r="B57" i="4"/>
  <c r="B52" i="4"/>
  <c r="B51" i="4"/>
  <c r="E62" i="1"/>
  <c r="F98" i="4" s="1"/>
  <c r="E61" i="1"/>
  <c r="F97" i="4" s="1"/>
  <c r="E60" i="1"/>
  <c r="F96" i="4" s="1"/>
  <c r="E50" i="1"/>
  <c r="F91" i="4" s="1"/>
  <c r="F78" i="4"/>
  <c r="E107" i="1"/>
  <c r="F77" i="4" s="1"/>
  <c r="G63" i="4"/>
  <c r="G64" i="4" s="1"/>
  <c r="B63" i="4"/>
  <c r="B62" i="4"/>
  <c r="B78" i="4"/>
  <c r="E48" i="1"/>
  <c r="B9" i="5"/>
  <c r="E47" i="1"/>
  <c r="AF2" i="5"/>
  <c r="AG2" i="5"/>
  <c r="AH2" i="5"/>
  <c r="AI2" i="5"/>
  <c r="AJ2" i="5"/>
  <c r="AK2" i="5"/>
  <c r="AM2" i="5"/>
  <c r="AN2" i="5"/>
  <c r="AO2" i="5"/>
  <c r="AQ2" i="5"/>
  <c r="B92" i="4"/>
  <c r="AR2" i="5"/>
  <c r="B93" i="4"/>
  <c r="AS2" i="5"/>
  <c r="B61" i="4"/>
  <c r="B66" i="4"/>
  <c r="B75" i="4"/>
  <c r="B76" i="4"/>
  <c r="M4" i="5"/>
  <c r="B68" i="4"/>
  <c r="B59" i="4"/>
  <c r="B41" i="4"/>
  <c r="H56" i="8"/>
  <c r="G56" i="8"/>
  <c r="F56" i="8"/>
  <c r="E56" i="8"/>
  <c r="D56" i="8"/>
  <c r="H55" i="8"/>
  <c r="G55" i="8"/>
  <c r="F55" i="8"/>
  <c r="E55" i="8"/>
  <c r="D55" i="8"/>
  <c r="H54" i="8"/>
  <c r="G54" i="8"/>
  <c r="F54" i="8"/>
  <c r="E54" i="8"/>
  <c r="D54" i="8"/>
  <c r="H53" i="8"/>
  <c r="G53" i="8"/>
  <c r="F53" i="8"/>
  <c r="E53" i="8"/>
  <c r="D53" i="8"/>
  <c r="H52" i="8"/>
  <c r="G52" i="8"/>
  <c r="F52" i="8"/>
  <c r="E52" i="8"/>
  <c r="D52" i="8"/>
  <c r="H50" i="8"/>
  <c r="G50" i="8"/>
  <c r="F50" i="8"/>
  <c r="E50" i="8"/>
  <c r="D50" i="8"/>
  <c r="H47" i="8"/>
  <c r="G47" i="8"/>
  <c r="F47" i="8"/>
  <c r="E47" i="8"/>
  <c r="D47" i="8"/>
  <c r="B47" i="8"/>
  <c r="H46" i="8"/>
  <c r="G46" i="8"/>
  <c r="F46" i="8"/>
  <c r="E46" i="8"/>
  <c r="D46" i="8"/>
  <c r="B46" i="8"/>
  <c r="H45" i="8"/>
  <c r="G45" i="8"/>
  <c r="F45" i="8"/>
  <c r="E45" i="8"/>
  <c r="D45" i="8"/>
  <c r="B45" i="8"/>
  <c r="H44" i="8"/>
  <c r="G44" i="8"/>
  <c r="F44" i="8"/>
  <c r="E44" i="8"/>
  <c r="D44" i="8"/>
  <c r="B44" i="8"/>
  <c r="H43" i="8"/>
  <c r="G43" i="8"/>
  <c r="F43" i="8"/>
  <c r="E43" i="8"/>
  <c r="D43" i="8"/>
  <c r="H40" i="8"/>
  <c r="G40" i="8"/>
  <c r="F40" i="8"/>
  <c r="E40" i="8"/>
  <c r="D40" i="8"/>
  <c r="B40" i="8"/>
  <c r="H39" i="8"/>
  <c r="G39" i="8"/>
  <c r="F39" i="8"/>
  <c r="E39" i="8"/>
  <c r="D39" i="8"/>
  <c r="B39" i="8"/>
  <c r="H38" i="8"/>
  <c r="G38" i="8"/>
  <c r="F38" i="8"/>
  <c r="E38" i="8"/>
  <c r="D38" i="8"/>
  <c r="B38" i="8"/>
  <c r="H37" i="8"/>
  <c r="G37" i="8"/>
  <c r="F37" i="8"/>
  <c r="E37" i="8"/>
  <c r="D37" i="8"/>
  <c r="B37" i="8"/>
  <c r="H36" i="8"/>
  <c r="G36" i="8"/>
  <c r="F36" i="8"/>
  <c r="E36" i="8"/>
  <c r="D36" i="8"/>
  <c r="B36" i="8"/>
  <c r="H34" i="8"/>
  <c r="G34" i="8"/>
  <c r="F34" i="8"/>
  <c r="E34" i="8"/>
  <c r="D34" i="8"/>
  <c r="G4" i="8"/>
  <c r="B2" i="8"/>
  <c r="F84" i="4"/>
  <c r="F80" i="4"/>
  <c r="F76" i="4"/>
  <c r="F75" i="4"/>
  <c r="F74" i="4"/>
  <c r="B40" i="4"/>
  <c r="B7" i="4"/>
  <c r="G5" i="4"/>
  <c r="B2" i="4"/>
  <c r="B84" i="4"/>
  <c r="N88" i="4"/>
  <c r="N51" i="4"/>
  <c r="N50" i="4"/>
  <c r="N84" i="4"/>
  <c r="N78" i="4"/>
  <c r="N75" i="4"/>
  <c r="N76" i="4"/>
  <c r="N77" i="4"/>
  <c r="N74" i="4"/>
  <c r="N97" i="4"/>
  <c r="N91" i="4"/>
  <c r="N98" i="4"/>
  <c r="N96" i="4"/>
  <c r="C3" i="11" a="1"/>
  <c r="C17" i="1" l="1"/>
  <c r="B43" i="4"/>
  <c r="D49" i="8"/>
  <c r="D69" i="8"/>
  <c r="D59" i="8"/>
  <c r="D30" i="4"/>
  <c r="A30" i="4"/>
  <c r="H97" i="4"/>
  <c r="A29" i="4"/>
  <c r="A31" i="4"/>
  <c r="AA7" i="5"/>
  <c r="B10" i="5"/>
  <c r="J10" i="5" s="1"/>
  <c r="I73" i="1"/>
  <c r="BD42" i="1" s="1"/>
  <c r="BB42" i="1" s="1"/>
  <c r="BF8" i="5"/>
  <c r="AG3" i="5"/>
  <c r="A47" i="1"/>
  <c r="F89" i="4"/>
  <c r="F90" i="4"/>
  <c r="F87" i="4"/>
  <c r="A28" i="4"/>
  <c r="A27" i="4"/>
  <c r="F23" i="4"/>
  <c r="F22" i="4"/>
  <c r="AR3" i="5"/>
  <c r="D29" i="4"/>
  <c r="H84" i="4"/>
  <c r="L125" i="1"/>
  <c r="L123" i="1"/>
  <c r="F123" i="1" s="1"/>
  <c r="L122" i="1"/>
  <c r="F122" i="1" s="1"/>
  <c r="L121" i="1"/>
  <c r="L120" i="1"/>
  <c r="L119" i="1"/>
  <c r="F119" i="1" s="1"/>
  <c r="L117" i="1"/>
  <c r="F117" i="1" s="1"/>
  <c r="L124" i="1"/>
  <c r="F124" i="1" s="1"/>
  <c r="L118" i="1"/>
  <c r="F118" i="1" s="1"/>
  <c r="L116" i="1"/>
  <c r="F116" i="1" s="1"/>
  <c r="L115" i="1"/>
  <c r="F115" i="1" s="1"/>
  <c r="L114" i="1"/>
  <c r="AQ3" i="5"/>
  <c r="F8" i="5"/>
  <c r="F9" i="5"/>
  <c r="H91" i="4"/>
  <c r="D28" i="4"/>
  <c r="G43" i="4"/>
  <c r="J9" i="5"/>
  <c r="B60" i="4"/>
  <c r="B64" i="4" s="1"/>
  <c r="M123" i="1"/>
  <c r="G41" i="4"/>
  <c r="C9" i="5"/>
  <c r="M115" i="1"/>
  <c r="H74" i="4"/>
  <c r="J125" i="1"/>
  <c r="M124" i="1"/>
  <c r="C8" i="5"/>
  <c r="H95" i="1"/>
  <c r="L30" i="1"/>
  <c r="C3" i="11"/>
  <c r="I10" i="4" s="1"/>
  <c r="K30" i="4"/>
  <c r="AQ47" i="1"/>
  <c r="N87" i="4"/>
  <c r="K27" i="4"/>
  <c r="K29" i="4"/>
  <c r="N23" i="4"/>
  <c r="N22" i="4"/>
  <c r="K28" i="4"/>
  <c r="K31" i="4"/>
  <c r="N89" i="4"/>
  <c r="N90" i="4"/>
  <c r="C22" i="1" l="1"/>
  <c r="I125" i="1"/>
  <c r="C125" i="1" s="1"/>
  <c r="I117" i="1"/>
  <c r="M117" i="1" s="1"/>
  <c r="I118" i="1"/>
  <c r="I86" i="1"/>
  <c r="BA45" i="1" s="1"/>
  <c r="C38" i="8" s="1"/>
  <c r="I116" i="1"/>
  <c r="M116" i="1" s="1"/>
  <c r="I37" i="1"/>
  <c r="C37" i="1" s="1"/>
  <c r="I28" i="1" s="1"/>
  <c r="B42" i="4"/>
  <c r="I18" i="1"/>
  <c r="C18" i="1" s="1"/>
  <c r="G42" i="4" s="1"/>
  <c r="J112" i="1"/>
  <c r="C112" i="1" s="1"/>
  <c r="F114" i="1"/>
  <c r="C83" i="4" s="1"/>
  <c r="F120" i="1"/>
  <c r="C89" i="4" s="1"/>
  <c r="F121" i="1"/>
  <c r="C90" i="4" s="1"/>
  <c r="F125" i="1"/>
  <c r="AS4" i="5" s="1"/>
  <c r="C91" i="4"/>
  <c r="C92" i="4"/>
  <c r="C85" i="4"/>
  <c r="C87" i="4"/>
  <c r="AI4" i="5"/>
  <c r="C88" i="4"/>
  <c r="C30" i="1"/>
  <c r="I62" i="1"/>
  <c r="C62" i="1" s="1"/>
  <c r="T7" i="5" s="1"/>
  <c r="T8" i="5" s="1"/>
  <c r="T9" i="5" s="1"/>
  <c r="C73" i="1"/>
  <c r="H85" i="4" s="1"/>
  <c r="AA8" i="5"/>
  <c r="AA9" i="5" s="1"/>
  <c r="BC42" i="1"/>
  <c r="E35" i="8" s="1"/>
  <c r="BE42" i="1"/>
  <c r="BF42" i="1"/>
  <c r="H35" i="8" s="1"/>
  <c r="F35" i="8"/>
  <c r="C10" i="5"/>
  <c r="F10" i="5"/>
  <c r="B11" i="5"/>
  <c r="I47" i="1"/>
  <c r="Z7" i="5"/>
  <c r="Z8" i="5" s="1"/>
  <c r="Z9" i="5" s="1"/>
  <c r="C93" i="4"/>
  <c r="AR4" i="5"/>
  <c r="AG4" i="5"/>
  <c r="C84" i="4"/>
  <c r="G47" i="4"/>
  <c r="D35" i="8"/>
  <c r="K9" i="5"/>
  <c r="AW9" i="5"/>
  <c r="BE9" i="5"/>
  <c r="L97" i="1"/>
  <c r="H97" i="1" s="1"/>
  <c r="L96" i="1"/>
  <c r="H96" i="1" s="1"/>
  <c r="BE8" i="5"/>
  <c r="BG8" i="5"/>
  <c r="BF9" i="5"/>
  <c r="K8" i="5"/>
  <c r="I45" i="1" l="1"/>
  <c r="I42" i="1"/>
  <c r="C42" i="1" s="1"/>
  <c r="C86" i="1"/>
  <c r="M125" i="1"/>
  <c r="AS3" i="5"/>
  <c r="B94" i="4"/>
  <c r="C117" i="1"/>
  <c r="AI3" i="5" s="1"/>
  <c r="AI8" i="5" s="1"/>
  <c r="I121" i="1"/>
  <c r="M121" i="1" s="1"/>
  <c r="C118" i="1"/>
  <c r="M118" i="1"/>
  <c r="C116" i="1"/>
  <c r="AH3" i="5" s="1"/>
  <c r="C90" i="1"/>
  <c r="B53" i="4" s="1"/>
  <c r="AN4" i="5"/>
  <c r="AN8" i="5" s="1"/>
  <c r="C47" i="1"/>
  <c r="BD65" i="1"/>
  <c r="BD56" i="1"/>
  <c r="F61" i="8" s="1"/>
  <c r="BD30" i="1"/>
  <c r="M122" i="1"/>
  <c r="C122" i="1"/>
  <c r="AM4" i="5"/>
  <c r="AQ4" i="5"/>
  <c r="AQ11" i="5" s="1"/>
  <c r="AP4" i="5"/>
  <c r="AO4" i="5"/>
  <c r="AH4" i="5"/>
  <c r="C86" i="4"/>
  <c r="AJ4" i="5"/>
  <c r="AF4" i="5"/>
  <c r="D8" i="5"/>
  <c r="D34" i="5"/>
  <c r="D16" i="5"/>
  <c r="D30" i="5"/>
  <c r="D12" i="5"/>
  <c r="D29" i="5"/>
  <c r="D28" i="5"/>
  <c r="D18" i="5"/>
  <c r="D33" i="5"/>
  <c r="D15" i="5"/>
  <c r="D32" i="5"/>
  <c r="D14" i="5"/>
  <c r="D31" i="5"/>
  <c r="D13" i="5"/>
  <c r="D11" i="5"/>
  <c r="D10" i="5"/>
  <c r="D27" i="5"/>
  <c r="D26" i="5"/>
  <c r="D24" i="5"/>
  <c r="D23" i="5"/>
  <c r="D22" i="5"/>
  <c r="D21" i="5"/>
  <c r="D20" i="5"/>
  <c r="D36" i="5"/>
  <c r="D17" i="5"/>
  <c r="D9" i="5"/>
  <c r="D38" i="5"/>
  <c r="D19" i="5"/>
  <c r="D35" i="5"/>
  <c r="D25" i="5"/>
  <c r="D37" i="5"/>
  <c r="J130" i="1"/>
  <c r="L129" i="1"/>
  <c r="F129" i="1" s="1"/>
  <c r="BA44" i="1"/>
  <c r="C37" i="8" s="1"/>
  <c r="BA46" i="1"/>
  <c r="C39" i="8" s="1"/>
  <c r="BA43" i="1"/>
  <c r="C36" i="8" s="1"/>
  <c r="BA47" i="1"/>
  <c r="C40" i="8" s="1"/>
  <c r="G46" i="4"/>
  <c r="H107" i="1"/>
  <c r="L108" i="1" s="1"/>
  <c r="H108" i="1" s="1"/>
  <c r="L130" i="1"/>
  <c r="H77" i="4"/>
  <c r="G35" i="8"/>
  <c r="R7" i="5"/>
  <c r="R8" i="5" s="1"/>
  <c r="R9" i="5" s="1"/>
  <c r="H96" i="4"/>
  <c r="H98" i="4"/>
  <c r="K10" i="5"/>
  <c r="BE10" i="5"/>
  <c r="AA10" i="5"/>
  <c r="AW10" i="5"/>
  <c r="B12" i="5"/>
  <c r="AR12" i="5" s="1"/>
  <c r="J11" i="5"/>
  <c r="C11" i="5"/>
  <c r="F11" i="5"/>
  <c r="B45" i="4"/>
  <c r="I48" i="1"/>
  <c r="C48" i="1" s="1"/>
  <c r="I38" i="1"/>
  <c r="C38" i="1" s="1"/>
  <c r="AR8" i="5"/>
  <c r="AR11" i="5"/>
  <c r="AR9" i="5"/>
  <c r="AR10" i="5"/>
  <c r="AG8" i="5"/>
  <c r="AG9" i="5"/>
  <c r="AG10" i="5"/>
  <c r="AG11" i="5"/>
  <c r="C94" i="4"/>
  <c r="T10" i="5"/>
  <c r="Z10" i="5"/>
  <c r="AS8" i="5"/>
  <c r="AS11" i="5"/>
  <c r="AS9" i="5"/>
  <c r="AS10" i="5"/>
  <c r="G8" i="5"/>
  <c r="G9" i="5"/>
  <c r="BI9" i="5" s="1"/>
  <c r="G10" i="5"/>
  <c r="BI10" i="5" s="1"/>
  <c r="G11" i="5"/>
  <c r="G12" i="5"/>
  <c r="H75" i="4"/>
  <c r="BG9" i="5"/>
  <c r="BF10" i="5"/>
  <c r="H76" i="4"/>
  <c r="H9" i="5"/>
  <c r="BJ9" i="5" s="1"/>
  <c r="H10" i="5"/>
  <c r="BJ10" i="5" s="1"/>
  <c r="H8" i="5"/>
  <c r="H11" i="5"/>
  <c r="I114" i="1" l="1"/>
  <c r="C114" i="1" s="1"/>
  <c r="B83" i="4" s="1"/>
  <c r="E52" i="1"/>
  <c r="I53" i="1" s="1"/>
  <c r="C53" i="1" s="1"/>
  <c r="I120" i="1"/>
  <c r="C120" i="1" s="1"/>
  <c r="C121" i="1"/>
  <c r="AO3" i="5" s="1"/>
  <c r="AO10" i="5" s="1"/>
  <c r="B50" i="4"/>
  <c r="I119" i="1"/>
  <c r="C119" i="1" s="1"/>
  <c r="AM3" i="5" s="1"/>
  <c r="B86" i="4"/>
  <c r="AI10" i="5"/>
  <c r="AI11" i="5"/>
  <c r="AI9" i="5"/>
  <c r="C91" i="1"/>
  <c r="B54" i="4" s="1"/>
  <c r="B87" i="4"/>
  <c r="AJ3" i="5"/>
  <c r="AJ11" i="5" s="1"/>
  <c r="B85" i="4"/>
  <c r="AH10" i="5"/>
  <c r="C28" i="1"/>
  <c r="F130" i="1"/>
  <c r="B91" i="4"/>
  <c r="AP3" i="5"/>
  <c r="AP10" i="5" s="1"/>
  <c r="C45" i="1"/>
  <c r="BA33" i="1"/>
  <c r="AH8" i="5"/>
  <c r="AO9" i="5"/>
  <c r="AO8" i="5"/>
  <c r="AO11" i="5"/>
  <c r="AH11" i="5"/>
  <c r="AH9" i="5"/>
  <c r="AQ8" i="5"/>
  <c r="AQ9" i="5"/>
  <c r="AQ10" i="5"/>
  <c r="AU4" i="5"/>
  <c r="C97" i="4"/>
  <c r="AG12" i="5"/>
  <c r="AS12" i="5"/>
  <c r="AO12" i="5"/>
  <c r="AI12" i="5"/>
  <c r="I11" i="5"/>
  <c r="BL11" i="5" s="1"/>
  <c r="AW11" i="5"/>
  <c r="H12" i="5"/>
  <c r="BI11" i="5"/>
  <c r="BJ11" i="5"/>
  <c r="B13" i="5"/>
  <c r="J12" i="5"/>
  <c r="C12" i="5"/>
  <c r="F12" i="5"/>
  <c r="AH12" i="5"/>
  <c r="BE11" i="5"/>
  <c r="K11" i="5"/>
  <c r="AQ12" i="5"/>
  <c r="AA11" i="5"/>
  <c r="F51" i="8"/>
  <c r="BE30" i="1"/>
  <c r="G51" i="8" s="1"/>
  <c r="BF30" i="1"/>
  <c r="H51" i="8" s="1"/>
  <c r="BC30" i="1"/>
  <c r="E51" i="8" s="1"/>
  <c r="BB30" i="1"/>
  <c r="D51" i="8" s="1"/>
  <c r="BB65" i="1"/>
  <c r="D71" i="8" s="1"/>
  <c r="BE65" i="1"/>
  <c r="G71" i="8" s="1"/>
  <c r="BC65" i="1"/>
  <c r="E71" i="8" s="1"/>
  <c r="F71" i="8"/>
  <c r="BF65" i="1"/>
  <c r="H71" i="8" s="1"/>
  <c r="V7" i="5"/>
  <c r="V8" i="5" s="1"/>
  <c r="V9" i="5" s="1"/>
  <c r="V10" i="5" s="1"/>
  <c r="V11" i="5" s="1"/>
  <c r="H89" i="4"/>
  <c r="BE56" i="1"/>
  <c r="G61" i="8" s="1"/>
  <c r="BC56" i="1"/>
  <c r="E61" i="8" s="1"/>
  <c r="BB56" i="1"/>
  <c r="D61" i="8" s="1"/>
  <c r="BF56" i="1"/>
  <c r="H61" i="8" s="1"/>
  <c r="H90" i="4"/>
  <c r="X7" i="5"/>
  <c r="X8" i="5" s="1"/>
  <c r="Y8" i="5" s="1"/>
  <c r="BJ8" i="5"/>
  <c r="BI8" i="5"/>
  <c r="Z11" i="5"/>
  <c r="T11" i="5"/>
  <c r="BF11" i="5"/>
  <c r="BG10" i="5"/>
  <c r="R10" i="5"/>
  <c r="M114" i="1" l="1"/>
  <c r="I32" i="1"/>
  <c r="C32" i="1" s="1"/>
  <c r="AB8" i="5"/>
  <c r="AK3" i="5"/>
  <c r="AK8" i="5" s="1"/>
  <c r="AY8" i="5" s="1"/>
  <c r="B100" i="4"/>
  <c r="M120" i="1"/>
  <c r="B90" i="4"/>
  <c r="M119" i="1"/>
  <c r="AJ12" i="5"/>
  <c r="AJ9" i="5"/>
  <c r="C92" i="1"/>
  <c r="BN7" i="5" s="1"/>
  <c r="AJ8" i="5"/>
  <c r="AJ10" i="5"/>
  <c r="I100" i="1"/>
  <c r="BA59" i="1" s="1"/>
  <c r="G45" i="4"/>
  <c r="M7" i="5"/>
  <c r="AP11" i="5"/>
  <c r="AP8" i="5"/>
  <c r="AP9" i="5"/>
  <c r="AP12" i="5"/>
  <c r="AU23" i="5"/>
  <c r="AU8" i="5"/>
  <c r="AU35" i="5"/>
  <c r="AU24" i="5"/>
  <c r="AU14" i="5"/>
  <c r="AU30" i="5"/>
  <c r="AU18" i="5"/>
  <c r="AU20" i="5"/>
  <c r="AU22" i="5"/>
  <c r="AU37" i="5"/>
  <c r="AU31" i="5"/>
  <c r="AU16" i="5"/>
  <c r="AU26" i="5"/>
  <c r="AU25" i="5"/>
  <c r="AU33" i="5"/>
  <c r="AU10" i="5"/>
  <c r="AU21" i="5"/>
  <c r="AU15" i="5"/>
  <c r="AU13" i="5"/>
  <c r="AU17" i="5"/>
  <c r="AU36" i="5"/>
  <c r="AU32" i="5"/>
  <c r="AU19" i="5"/>
  <c r="AU9" i="5"/>
  <c r="AU29" i="5"/>
  <c r="AU27" i="5"/>
  <c r="AU38" i="5"/>
  <c r="AU12" i="5"/>
  <c r="AU28" i="5"/>
  <c r="AU34" i="5"/>
  <c r="AU11" i="5"/>
  <c r="C98" i="4"/>
  <c r="AT4" i="5"/>
  <c r="AT8" i="5" s="1"/>
  <c r="L9" i="5"/>
  <c r="L10" i="5" s="1"/>
  <c r="L11" i="5" s="1"/>
  <c r="L12" i="5" s="1"/>
  <c r="L13" i="5" s="1"/>
  <c r="I12" i="5"/>
  <c r="BL12" i="5" s="1"/>
  <c r="I10" i="5"/>
  <c r="BL10" i="5" s="1"/>
  <c r="H78" i="4"/>
  <c r="I9" i="5"/>
  <c r="BL9" i="5" s="1"/>
  <c r="I8" i="5"/>
  <c r="BL8" i="5" s="1"/>
  <c r="AB9" i="5"/>
  <c r="AF3" i="5"/>
  <c r="AF11" i="5" s="1"/>
  <c r="V12" i="5"/>
  <c r="AB11" i="5"/>
  <c r="B14" i="5"/>
  <c r="AM14" i="5" s="1"/>
  <c r="F13" i="5"/>
  <c r="C13" i="5"/>
  <c r="J13" i="5"/>
  <c r="AJ13" i="5"/>
  <c r="AH13" i="5"/>
  <c r="H13" i="5"/>
  <c r="AO13" i="5"/>
  <c r="AI13" i="5"/>
  <c r="G13" i="5"/>
  <c r="AQ13" i="5"/>
  <c r="AR13" i="5"/>
  <c r="I13" i="5"/>
  <c r="AP13" i="5"/>
  <c r="AS13" i="5"/>
  <c r="AG13" i="5"/>
  <c r="K12" i="5"/>
  <c r="BE12" i="5"/>
  <c r="BJ12" i="5"/>
  <c r="AW12" i="5"/>
  <c r="AA12" i="5"/>
  <c r="BI12" i="5"/>
  <c r="AB10" i="5"/>
  <c r="X9" i="5"/>
  <c r="B46" i="4"/>
  <c r="W10" i="5"/>
  <c r="W8" i="5"/>
  <c r="W9" i="5"/>
  <c r="BA32" i="1"/>
  <c r="BA34" i="1"/>
  <c r="B54" i="8"/>
  <c r="W11" i="5"/>
  <c r="B88" i="4"/>
  <c r="B89" i="4"/>
  <c r="AN3" i="5"/>
  <c r="AM13" i="5"/>
  <c r="AM8" i="5"/>
  <c r="AM12" i="5"/>
  <c r="AM9" i="5"/>
  <c r="AM10" i="5"/>
  <c r="AM11" i="5"/>
  <c r="R11" i="5"/>
  <c r="BG11" i="5"/>
  <c r="BF12" i="5"/>
  <c r="T12" i="5"/>
  <c r="Z12" i="5"/>
  <c r="AK13" i="5" l="1"/>
  <c r="AK12" i="5"/>
  <c r="AY12" i="5" s="1"/>
  <c r="AK11" i="5"/>
  <c r="AY11" i="5" s="1"/>
  <c r="AK9" i="5"/>
  <c r="AY9" i="5" s="1"/>
  <c r="AK10" i="5"/>
  <c r="AY10" i="5" s="1"/>
  <c r="BA68" i="1"/>
  <c r="C74" i="8" s="1"/>
  <c r="C100" i="1"/>
  <c r="B55" i="4"/>
  <c r="C93" i="1"/>
  <c r="I95" i="1" s="1"/>
  <c r="C95" i="1" s="1"/>
  <c r="BM7" i="5"/>
  <c r="BP7" i="5" s="1"/>
  <c r="AN13" i="5"/>
  <c r="AN10" i="5"/>
  <c r="AN9" i="5"/>
  <c r="AN11" i="5"/>
  <c r="AV11" i="5" s="1"/>
  <c r="AF13" i="5"/>
  <c r="AF9" i="5"/>
  <c r="AF12" i="5"/>
  <c r="AF10" i="5"/>
  <c r="AF8" i="5"/>
  <c r="AV8" i="5" s="1"/>
  <c r="AT10" i="5"/>
  <c r="AT11" i="5"/>
  <c r="AT12" i="5"/>
  <c r="AT9" i="5"/>
  <c r="AT13" i="5"/>
  <c r="B47" i="4"/>
  <c r="AW13" i="5"/>
  <c r="AA13" i="5"/>
  <c r="BJ13" i="5"/>
  <c r="W12" i="5"/>
  <c r="AB12" i="5"/>
  <c r="V13" i="5"/>
  <c r="BI13" i="5"/>
  <c r="BL13" i="5"/>
  <c r="L14" i="5"/>
  <c r="K13" i="5"/>
  <c r="BE13" i="5"/>
  <c r="B15" i="5"/>
  <c r="F14" i="5"/>
  <c r="C14" i="5"/>
  <c r="J14" i="5"/>
  <c r="AJ14" i="5"/>
  <c r="AH14" i="5"/>
  <c r="AK14" i="5"/>
  <c r="AR14" i="5"/>
  <c r="G14" i="5"/>
  <c r="AG14" i="5"/>
  <c r="AP14" i="5"/>
  <c r="AS14" i="5"/>
  <c r="I14" i="5"/>
  <c r="H14" i="5"/>
  <c r="AQ14" i="5"/>
  <c r="AN14" i="5"/>
  <c r="AF14" i="5"/>
  <c r="AI14" i="5"/>
  <c r="AO14" i="5"/>
  <c r="AT14" i="5"/>
  <c r="BA35" i="1"/>
  <c r="B56" i="8" s="1"/>
  <c r="B55" i="8"/>
  <c r="X10" i="5"/>
  <c r="Y9" i="5"/>
  <c r="B53" i="8"/>
  <c r="BA31" i="1"/>
  <c r="B52" i="8" s="1"/>
  <c r="BA67" i="1"/>
  <c r="C73" i="8" s="1"/>
  <c r="C64" i="8"/>
  <c r="BA66" i="1"/>
  <c r="C72" i="8" s="1"/>
  <c r="BA60" i="1"/>
  <c r="C65" i="8" s="1"/>
  <c r="BA69" i="1"/>
  <c r="C75" i="8" s="1"/>
  <c r="BA57" i="1"/>
  <c r="C62" i="8" s="1"/>
  <c r="BA70" i="1"/>
  <c r="C76" i="8" s="1"/>
  <c r="BA58" i="1"/>
  <c r="C63" i="8" s="1"/>
  <c r="BA61" i="1"/>
  <c r="C66" i="8" s="1"/>
  <c r="AN12" i="5"/>
  <c r="T13" i="5"/>
  <c r="R12" i="5"/>
  <c r="BG12" i="5"/>
  <c r="BF13" i="5"/>
  <c r="Z13" i="5"/>
  <c r="BH10" i="5" l="1"/>
  <c r="BH8" i="5"/>
  <c r="AY13" i="5"/>
  <c r="C103" i="1"/>
  <c r="G54" i="4" s="1"/>
  <c r="I130" i="1"/>
  <c r="C130" i="1" s="1"/>
  <c r="E9" i="5" s="1"/>
  <c r="BA9" i="5" s="1"/>
  <c r="G50" i="4"/>
  <c r="BH9" i="5"/>
  <c r="BH11" i="5"/>
  <c r="B74" i="4"/>
  <c r="BH12" i="5"/>
  <c r="B70" i="4"/>
  <c r="AV13" i="5"/>
  <c r="AV10" i="5"/>
  <c r="AV9" i="5"/>
  <c r="I33" i="1"/>
  <c r="C33" i="1" s="1"/>
  <c r="L58" i="1" s="1"/>
  <c r="I58" i="1" s="1"/>
  <c r="C58" i="1" s="1"/>
  <c r="AB13" i="5"/>
  <c r="AA14" i="5"/>
  <c r="W13" i="5"/>
  <c r="V14" i="5"/>
  <c r="AV14" i="5"/>
  <c r="AV12" i="5"/>
  <c r="BJ14" i="5"/>
  <c r="AW14" i="5"/>
  <c r="AY14" i="5" s="1"/>
  <c r="B16" i="5"/>
  <c r="C15" i="5"/>
  <c r="F15" i="5"/>
  <c r="J15" i="5"/>
  <c r="AK15" i="5"/>
  <c r="AH15" i="5"/>
  <c r="AJ15" i="5"/>
  <c r="AQ15" i="5"/>
  <c r="H15" i="5"/>
  <c r="AR15" i="5"/>
  <c r="AI15" i="5"/>
  <c r="AS15" i="5"/>
  <c r="G15" i="5"/>
  <c r="AO15" i="5"/>
  <c r="AG15" i="5"/>
  <c r="I15" i="5"/>
  <c r="AP15" i="5"/>
  <c r="AN15" i="5"/>
  <c r="AT15" i="5"/>
  <c r="AM15" i="5"/>
  <c r="AF15" i="5"/>
  <c r="BL14" i="5"/>
  <c r="BE14" i="5"/>
  <c r="K14" i="5"/>
  <c r="BI14" i="5"/>
  <c r="L15" i="5"/>
  <c r="L16" i="5" s="1"/>
  <c r="X11" i="5"/>
  <c r="Y10" i="5"/>
  <c r="Z14" i="5"/>
  <c r="BG13" i="5"/>
  <c r="BH13" i="5" s="1"/>
  <c r="BF14" i="5"/>
  <c r="R13" i="5"/>
  <c r="T14" i="5"/>
  <c r="F65" i="1" l="1"/>
  <c r="S8" i="5"/>
  <c r="C104" i="1"/>
  <c r="BT7" i="5" s="1"/>
  <c r="H65" i="1"/>
  <c r="I66" i="1" s="1"/>
  <c r="C66" i="1" s="1"/>
  <c r="B101" i="4" s="1"/>
  <c r="E15" i="5"/>
  <c r="N15" i="5" s="1"/>
  <c r="AT3" i="5"/>
  <c r="E10" i="5"/>
  <c r="BA10" i="5" s="1"/>
  <c r="M130" i="1"/>
  <c r="I112" i="1" s="1"/>
  <c r="B98" i="4"/>
  <c r="E12" i="5"/>
  <c r="BA12" i="5" s="1"/>
  <c r="E11" i="5"/>
  <c r="BA11" i="5" s="1"/>
  <c r="E14" i="5"/>
  <c r="BA14" i="5" s="1"/>
  <c r="BD14" i="5" s="1"/>
  <c r="E13" i="5"/>
  <c r="BA13" i="5" s="1"/>
  <c r="BD13" i="5" s="1"/>
  <c r="E8" i="5"/>
  <c r="C69" i="1"/>
  <c r="AX9" i="5"/>
  <c r="BC9" i="5" s="1"/>
  <c r="M9" i="5"/>
  <c r="BD9" i="5"/>
  <c r="AD9" i="5"/>
  <c r="N9" i="5"/>
  <c r="O9" i="5" s="1"/>
  <c r="V15" i="5"/>
  <c r="BJ15" i="5"/>
  <c r="AV15" i="5"/>
  <c r="AB14" i="5"/>
  <c r="W14" i="5"/>
  <c r="K15" i="5"/>
  <c r="BE15" i="5"/>
  <c r="BL15" i="5"/>
  <c r="B17" i="5"/>
  <c r="F16" i="5"/>
  <c r="J16" i="5"/>
  <c r="C16" i="5"/>
  <c r="E16" i="5" s="1"/>
  <c r="AJ16" i="5"/>
  <c r="AH16" i="5"/>
  <c r="AK16" i="5"/>
  <c r="AS16" i="5"/>
  <c r="AR16" i="5"/>
  <c r="AO16" i="5"/>
  <c r="AN16" i="5"/>
  <c r="I16" i="5"/>
  <c r="AQ16" i="5"/>
  <c r="H16" i="5"/>
  <c r="AI16" i="5"/>
  <c r="G16" i="5"/>
  <c r="AP16" i="5"/>
  <c r="AF16" i="5"/>
  <c r="AG16" i="5"/>
  <c r="AT16" i="5"/>
  <c r="AM16" i="5"/>
  <c r="BI15" i="5"/>
  <c r="AW15" i="5"/>
  <c r="AA15" i="5"/>
  <c r="Y11" i="5"/>
  <c r="X12" i="5"/>
  <c r="T15" i="5"/>
  <c r="Z15" i="5"/>
  <c r="BG14" i="5"/>
  <c r="BH14" i="5" s="1"/>
  <c r="BF15" i="5"/>
  <c r="R14" i="5"/>
  <c r="BY7" i="5" l="1"/>
  <c r="CB7" i="5" s="1"/>
  <c r="BS7" i="5"/>
  <c r="BV7" i="5" s="1"/>
  <c r="C105" i="1"/>
  <c r="I107" i="1" s="1"/>
  <c r="C107" i="1" s="1"/>
  <c r="BK15" i="5" s="1"/>
  <c r="BZ7" i="5"/>
  <c r="G55" i="4"/>
  <c r="BA8" i="5"/>
  <c r="BD8" i="5" s="1"/>
  <c r="N8" i="5"/>
  <c r="O8" i="5" s="1"/>
  <c r="P8" i="5" s="1"/>
  <c r="Q8" i="5" s="1"/>
  <c r="AC8" i="5" s="1"/>
  <c r="N12" i="5"/>
  <c r="O12" i="5" s="1"/>
  <c r="AE12" i="5" s="1"/>
  <c r="BA15" i="5"/>
  <c r="BD15" i="5" s="1"/>
  <c r="M15" i="5"/>
  <c r="N10" i="5"/>
  <c r="O10" i="5" s="1"/>
  <c r="P10" i="5" s="1"/>
  <c r="Q10" i="5" s="1"/>
  <c r="AC10" i="5" s="1"/>
  <c r="AD10" i="5"/>
  <c r="M10" i="5"/>
  <c r="BD10" i="5"/>
  <c r="AD11" i="5"/>
  <c r="M12" i="5"/>
  <c r="M11" i="5"/>
  <c r="BD12" i="5"/>
  <c r="N11" i="5"/>
  <c r="O11" i="5" s="1"/>
  <c r="P11" i="5" s="1"/>
  <c r="Q11" i="5" s="1"/>
  <c r="AC11" i="5" s="1"/>
  <c r="M14" i="5"/>
  <c r="BD11" i="5"/>
  <c r="M13" i="5"/>
  <c r="AD8" i="5"/>
  <c r="N14" i="5"/>
  <c r="O14" i="5" s="1"/>
  <c r="P14" i="5" s="1"/>
  <c r="Q14" i="5" s="1"/>
  <c r="AC14" i="5" s="1"/>
  <c r="M8" i="5"/>
  <c r="N13" i="5"/>
  <c r="O13" i="5" s="1"/>
  <c r="P13" i="5" s="1"/>
  <c r="Q13" i="5" s="1"/>
  <c r="AC13" i="5" s="1"/>
  <c r="AX8" i="5"/>
  <c r="BC8" i="5" s="1"/>
  <c r="AX13" i="5"/>
  <c r="BC13" i="5" s="1"/>
  <c r="AX10" i="5"/>
  <c r="BC10" i="5" s="1"/>
  <c r="AX11" i="5"/>
  <c r="BC11" i="5" s="1"/>
  <c r="AX14" i="5"/>
  <c r="BC14" i="5" s="1"/>
  <c r="AX12" i="5"/>
  <c r="BC12" i="5" s="1"/>
  <c r="S10" i="5"/>
  <c r="S12" i="5"/>
  <c r="U13" i="5"/>
  <c r="U9" i="5"/>
  <c r="U10" i="5"/>
  <c r="S13" i="5"/>
  <c r="S9" i="5"/>
  <c r="U8" i="5"/>
  <c r="U11" i="5"/>
  <c r="U14" i="5"/>
  <c r="S11" i="5"/>
  <c r="U12" i="5"/>
  <c r="AL3" i="5"/>
  <c r="AL16" i="5" s="1"/>
  <c r="AE9" i="5"/>
  <c r="P9" i="5"/>
  <c r="Q9" i="5" s="1"/>
  <c r="AC9" i="5" s="1"/>
  <c r="W15" i="5"/>
  <c r="AY15" i="5"/>
  <c r="O15" i="5"/>
  <c r="P15" i="5" s="1"/>
  <c r="Q15" i="5" s="1"/>
  <c r="AC15" i="5" s="1"/>
  <c r="V16" i="5"/>
  <c r="AV16" i="5"/>
  <c r="AB15" i="5"/>
  <c r="BI16" i="5"/>
  <c r="B18" i="5"/>
  <c r="F17" i="5"/>
  <c r="J17" i="5"/>
  <c r="C17" i="5"/>
  <c r="E17" i="5" s="1"/>
  <c r="AK17" i="5"/>
  <c r="AJ17" i="5"/>
  <c r="AH17" i="5"/>
  <c r="I17" i="5"/>
  <c r="AI17" i="5"/>
  <c r="H17" i="5"/>
  <c r="AQ17" i="5"/>
  <c r="AR17" i="5"/>
  <c r="AO17" i="5"/>
  <c r="G17" i="5"/>
  <c r="AS17" i="5"/>
  <c r="AP17" i="5"/>
  <c r="AG17" i="5"/>
  <c r="AT17" i="5"/>
  <c r="AF17" i="5"/>
  <c r="AM17" i="5"/>
  <c r="AN17" i="5"/>
  <c r="AX15" i="5"/>
  <c r="BC15" i="5" s="1"/>
  <c r="K16" i="5"/>
  <c r="BE16" i="5"/>
  <c r="AW16" i="5"/>
  <c r="BA16" i="5" s="1"/>
  <c r="M16" i="5"/>
  <c r="N16" i="5"/>
  <c r="BJ16" i="5"/>
  <c r="BL16" i="5"/>
  <c r="L17" i="5"/>
  <c r="AA16" i="5"/>
  <c r="X13" i="5"/>
  <c r="Y12" i="5"/>
  <c r="AD12" i="5"/>
  <c r="S14" i="5"/>
  <c r="R15" i="5"/>
  <c r="U15" i="5"/>
  <c r="T16" i="5"/>
  <c r="BG15" i="5"/>
  <c r="BH15" i="5" s="1"/>
  <c r="BF16" i="5"/>
  <c r="Z16" i="5"/>
  <c r="G70" i="4" l="1"/>
  <c r="BK8" i="5"/>
  <c r="BK12" i="5"/>
  <c r="BK13" i="5"/>
  <c r="BK14" i="5"/>
  <c r="BK11" i="5"/>
  <c r="BK10" i="5"/>
  <c r="BK9" i="5"/>
  <c r="BK16" i="5"/>
  <c r="B77" i="4"/>
  <c r="P12" i="5"/>
  <c r="Q12" i="5" s="1"/>
  <c r="AC12" i="5" s="1"/>
  <c r="BY12" i="5" s="1"/>
  <c r="BZ12" i="5" s="1"/>
  <c r="AE10" i="5"/>
  <c r="BY10" i="5" s="1"/>
  <c r="AE11" i="5"/>
  <c r="BY11" i="5" s="1"/>
  <c r="CB11" i="5" s="1"/>
  <c r="AE14" i="5"/>
  <c r="AE13" i="5"/>
  <c r="AE8" i="5"/>
  <c r="BY8" i="5" s="1"/>
  <c r="BB11" i="5"/>
  <c r="BB9" i="5"/>
  <c r="BB13" i="5"/>
  <c r="BB14" i="5"/>
  <c r="BB12" i="5"/>
  <c r="BB10" i="5"/>
  <c r="BB8" i="5"/>
  <c r="BD16" i="5"/>
  <c r="AL17" i="5"/>
  <c r="AL10" i="5"/>
  <c r="AZ10" i="5" s="1"/>
  <c r="AL8" i="5"/>
  <c r="AZ8" i="5" s="1"/>
  <c r="AL15" i="5"/>
  <c r="AZ15" i="5" s="1"/>
  <c r="AL14" i="5"/>
  <c r="AZ14" i="5" s="1"/>
  <c r="AL13" i="5"/>
  <c r="AZ13" i="5" s="1"/>
  <c r="AL12" i="5"/>
  <c r="AZ12" i="5" s="1"/>
  <c r="AL9" i="5"/>
  <c r="AZ9" i="5" s="1"/>
  <c r="AL11" i="5"/>
  <c r="AZ11" i="5" s="1"/>
  <c r="BY9" i="5"/>
  <c r="AY16" i="5"/>
  <c r="AZ16" i="5"/>
  <c r="O16" i="5"/>
  <c r="P16" i="5" s="1"/>
  <c r="Q16" i="5" s="1"/>
  <c r="AC16" i="5" s="1"/>
  <c r="BJ17" i="5"/>
  <c r="BK17" i="5" s="1"/>
  <c r="W16" i="5"/>
  <c r="BL17" i="5"/>
  <c r="L18" i="5"/>
  <c r="AV17" i="5"/>
  <c r="AX16" i="5"/>
  <c r="BC16" i="5" s="1"/>
  <c r="AB16" i="5"/>
  <c r="BI17" i="5"/>
  <c r="M17" i="5"/>
  <c r="N17" i="5"/>
  <c r="AA17" i="5"/>
  <c r="B19" i="5"/>
  <c r="AL18" i="5"/>
  <c r="C18" i="5"/>
  <c r="E18" i="5" s="1"/>
  <c r="J18" i="5"/>
  <c r="F18" i="5"/>
  <c r="AK18" i="5"/>
  <c r="AJ18" i="5"/>
  <c r="AH18" i="5"/>
  <c r="AP18" i="5"/>
  <c r="AS18" i="5"/>
  <c r="G18" i="5"/>
  <c r="AR18" i="5"/>
  <c r="I18" i="5"/>
  <c r="AG18" i="5"/>
  <c r="AO18" i="5"/>
  <c r="AI18" i="5"/>
  <c r="AN18" i="5"/>
  <c r="AQ18" i="5"/>
  <c r="AF18" i="5"/>
  <c r="H18" i="5"/>
  <c r="AT18" i="5"/>
  <c r="AM18" i="5"/>
  <c r="K17" i="5"/>
  <c r="BE17" i="5"/>
  <c r="AW17" i="5"/>
  <c r="BA17" i="5" s="1"/>
  <c r="V17" i="5"/>
  <c r="X14" i="5"/>
  <c r="AD13" i="5"/>
  <c r="Y13" i="5"/>
  <c r="BG16" i="5"/>
  <c r="BH16" i="5" s="1"/>
  <c r="BF17" i="5"/>
  <c r="T17" i="5"/>
  <c r="U16" i="5"/>
  <c r="AE15" i="5"/>
  <c r="S15" i="5"/>
  <c r="R16" i="5"/>
  <c r="Z17" i="5"/>
  <c r="BY13" i="5" l="1"/>
  <c r="BZ13" i="5" s="1"/>
  <c r="BM12" i="5"/>
  <c r="BM11" i="5"/>
  <c r="BM13" i="5"/>
  <c r="BM9" i="5"/>
  <c r="BM10" i="5"/>
  <c r="BB15" i="5"/>
  <c r="BM8" i="5"/>
  <c r="BS8" i="5" s="1"/>
  <c r="BD17" i="5"/>
  <c r="CB12" i="5"/>
  <c r="BZ11" i="5"/>
  <c r="CA8" i="5"/>
  <c r="CA9" i="5" s="1"/>
  <c r="CA10" i="5" s="1"/>
  <c r="CA11" i="5" s="1"/>
  <c r="CA12" i="5" s="1"/>
  <c r="CB8" i="5"/>
  <c r="CC8" i="5" s="1"/>
  <c r="BZ8" i="5"/>
  <c r="BZ10" i="5"/>
  <c r="CB10" i="5"/>
  <c r="BZ9" i="5"/>
  <c r="CB9" i="5"/>
  <c r="AZ17" i="5"/>
  <c r="AY17" i="5"/>
  <c r="AV18" i="5"/>
  <c r="BJ18" i="5"/>
  <c r="BK18" i="5" s="1"/>
  <c r="W17" i="5"/>
  <c r="AB17" i="5"/>
  <c r="M18" i="5"/>
  <c r="N18" i="5"/>
  <c r="AA18" i="5"/>
  <c r="BE18" i="5"/>
  <c r="K18" i="5"/>
  <c r="AW18" i="5"/>
  <c r="BA18" i="5" s="1"/>
  <c r="B20" i="5"/>
  <c r="AL19" i="5"/>
  <c r="J19" i="5"/>
  <c r="C19" i="5"/>
  <c r="E19" i="5" s="1"/>
  <c r="F19" i="5"/>
  <c r="AK19" i="5"/>
  <c r="AH19" i="5"/>
  <c r="AJ19" i="5"/>
  <c r="AI19" i="5"/>
  <c r="AQ19" i="5"/>
  <c r="H19" i="5"/>
  <c r="AR19" i="5"/>
  <c r="AN19" i="5"/>
  <c r="AP19" i="5"/>
  <c r="AO19" i="5"/>
  <c r="AG19" i="5"/>
  <c r="G19" i="5"/>
  <c r="AS19" i="5"/>
  <c r="I19" i="5"/>
  <c r="AT19" i="5"/>
  <c r="AF19" i="5"/>
  <c r="AM19" i="5"/>
  <c r="V18" i="5"/>
  <c r="BL18" i="5"/>
  <c r="L19" i="5"/>
  <c r="O17" i="5"/>
  <c r="P17" i="5" s="1"/>
  <c r="Q17" i="5" s="1"/>
  <c r="AC17" i="5" s="1"/>
  <c r="BI18" i="5"/>
  <c r="AX17" i="5"/>
  <c r="BC17" i="5" s="1"/>
  <c r="AD14" i="5"/>
  <c r="BY14" i="5" s="1"/>
  <c r="X15" i="5"/>
  <c r="Y14" i="5"/>
  <c r="BM14" i="5" s="1"/>
  <c r="BG17" i="5"/>
  <c r="BH17" i="5" s="1"/>
  <c r="BF18" i="5"/>
  <c r="Z18" i="5"/>
  <c r="AE16" i="5"/>
  <c r="S16" i="5"/>
  <c r="R17" i="5"/>
  <c r="T18" i="5"/>
  <c r="U17" i="5"/>
  <c r="CB13" i="5" l="1"/>
  <c r="CA13" i="5"/>
  <c r="CA14" i="5" s="1"/>
  <c r="BS14" i="5"/>
  <c r="BP9" i="5"/>
  <c r="BS9" i="5"/>
  <c r="BS13" i="5"/>
  <c r="BV13" i="5" s="1"/>
  <c r="BP11" i="5"/>
  <c r="BS11" i="5"/>
  <c r="BV11" i="5" s="1"/>
  <c r="BP10" i="5"/>
  <c r="BS10" i="5"/>
  <c r="BN12" i="5"/>
  <c r="BS12" i="5"/>
  <c r="BN8" i="5"/>
  <c r="BN11" i="5"/>
  <c r="BP12" i="5"/>
  <c r="BO8" i="5"/>
  <c r="BO9" i="5" s="1"/>
  <c r="BO10" i="5" s="1"/>
  <c r="BO11" i="5" s="1"/>
  <c r="BO12" i="5" s="1"/>
  <c r="BO13" i="5" s="1"/>
  <c r="BN10" i="5"/>
  <c r="BP13" i="5"/>
  <c r="BN9" i="5"/>
  <c r="BN13" i="5"/>
  <c r="BP8" i="5"/>
  <c r="BQ8" i="5" s="1"/>
  <c r="BR8" i="5" s="1"/>
  <c r="BB16" i="5"/>
  <c r="BD18" i="5"/>
  <c r="CD8" i="5"/>
  <c r="CC9" i="5"/>
  <c r="W18" i="5"/>
  <c r="AZ18" i="5"/>
  <c r="AY18" i="5"/>
  <c r="AV19" i="5"/>
  <c r="AB18" i="5"/>
  <c r="AX18" i="5"/>
  <c r="BC18" i="5" s="1"/>
  <c r="BE19" i="5"/>
  <c r="K19" i="5"/>
  <c r="AW19" i="5"/>
  <c r="BA19" i="5" s="1"/>
  <c r="B21" i="5"/>
  <c r="AL20" i="5"/>
  <c r="F20" i="5"/>
  <c r="C20" i="5"/>
  <c r="E20" i="5" s="1"/>
  <c r="J20" i="5"/>
  <c r="AK20" i="5"/>
  <c r="AH20" i="5"/>
  <c r="AJ20" i="5"/>
  <c r="H20" i="5"/>
  <c r="I20" i="5"/>
  <c r="AF20" i="5"/>
  <c r="AP20" i="5"/>
  <c r="AS20" i="5"/>
  <c r="AN20" i="5"/>
  <c r="AG20" i="5"/>
  <c r="AR20" i="5"/>
  <c r="G20" i="5"/>
  <c r="AQ20" i="5"/>
  <c r="AO20" i="5"/>
  <c r="AI20" i="5"/>
  <c r="AT20" i="5"/>
  <c r="AM20" i="5"/>
  <c r="V19" i="5"/>
  <c r="BL19" i="5"/>
  <c r="BI19" i="5"/>
  <c r="AA19" i="5"/>
  <c r="BJ19" i="5"/>
  <c r="BK19" i="5" s="1"/>
  <c r="O18" i="5"/>
  <c r="P18" i="5" s="1"/>
  <c r="Q18" i="5" s="1"/>
  <c r="AC18" i="5" s="1"/>
  <c r="M19" i="5"/>
  <c r="N19" i="5"/>
  <c r="L20" i="5"/>
  <c r="X16" i="5"/>
  <c r="AD15" i="5"/>
  <c r="BY15" i="5" s="1"/>
  <c r="Y15" i="5"/>
  <c r="BM15" i="5" s="1"/>
  <c r="BZ14" i="5"/>
  <c r="CB14" i="5"/>
  <c r="S17" i="5"/>
  <c r="AE17" i="5"/>
  <c r="R18" i="5"/>
  <c r="BF19" i="5"/>
  <c r="BG18" i="5"/>
  <c r="BH18" i="5" s="1"/>
  <c r="T19" i="5"/>
  <c r="U18" i="5"/>
  <c r="Z19" i="5"/>
  <c r="BT13" i="5" l="1"/>
  <c r="BS15" i="5"/>
  <c r="BT11" i="5"/>
  <c r="BV12" i="5"/>
  <c r="BT12" i="5"/>
  <c r="BT9" i="5"/>
  <c r="BV9" i="5"/>
  <c r="BT10" i="5"/>
  <c r="BV10" i="5"/>
  <c r="BQ9" i="5"/>
  <c r="BT8" i="5"/>
  <c r="BV8" i="5"/>
  <c r="BW8" i="5" s="1"/>
  <c r="BU8" i="5"/>
  <c r="BU9" i="5" s="1"/>
  <c r="BU10" i="5" s="1"/>
  <c r="BU11" i="5" s="1"/>
  <c r="BU12" i="5" s="1"/>
  <c r="BU13" i="5" s="1"/>
  <c r="BU14" i="5" s="1"/>
  <c r="BB17" i="5"/>
  <c r="BD19" i="5"/>
  <c r="W19" i="5"/>
  <c r="CD9" i="5"/>
  <c r="CC10" i="5"/>
  <c r="BL20" i="5"/>
  <c r="AZ19" i="5"/>
  <c r="AY19" i="5"/>
  <c r="BJ20" i="5"/>
  <c r="BK20" i="5" s="1"/>
  <c r="AA20" i="5"/>
  <c r="AV20" i="5"/>
  <c r="AB19" i="5"/>
  <c r="BI20" i="5"/>
  <c r="AX19" i="5"/>
  <c r="BC19" i="5" s="1"/>
  <c r="B22" i="5"/>
  <c r="AL21" i="5"/>
  <c r="C21" i="5"/>
  <c r="E21" i="5" s="1"/>
  <c r="J21" i="5"/>
  <c r="F21" i="5"/>
  <c r="AJ21" i="5"/>
  <c r="AK21" i="5"/>
  <c r="AH21" i="5"/>
  <c r="AN21" i="5"/>
  <c r="AQ21" i="5"/>
  <c r="AR21" i="5"/>
  <c r="AG21" i="5"/>
  <c r="AP21" i="5"/>
  <c r="G21" i="5"/>
  <c r="AI21" i="5"/>
  <c r="H21" i="5"/>
  <c r="AO21" i="5"/>
  <c r="AS21" i="5"/>
  <c r="I21" i="5"/>
  <c r="AT21" i="5"/>
  <c r="AF21" i="5"/>
  <c r="AM21" i="5"/>
  <c r="O19" i="5"/>
  <c r="P19" i="5" s="1"/>
  <c r="Q19" i="5" s="1"/>
  <c r="AC19" i="5" s="1"/>
  <c r="BE20" i="5"/>
  <c r="K20" i="5"/>
  <c r="AW20" i="5"/>
  <c r="BA20" i="5" s="1"/>
  <c r="V20" i="5"/>
  <c r="M20" i="5"/>
  <c r="N20" i="5"/>
  <c r="L21" i="5"/>
  <c r="BZ15" i="5"/>
  <c r="CB15" i="5"/>
  <c r="Y16" i="5"/>
  <c r="BM16" i="5" s="1"/>
  <c r="AD16" i="5"/>
  <c r="BY16" i="5" s="1"/>
  <c r="X17" i="5"/>
  <c r="BP14" i="5"/>
  <c r="BO14" i="5"/>
  <c r="BN14" i="5"/>
  <c r="BV14" i="5"/>
  <c r="BT14" i="5"/>
  <c r="CA15" i="5"/>
  <c r="BG19" i="5"/>
  <c r="BH19" i="5" s="1"/>
  <c r="BF20" i="5"/>
  <c r="Z20" i="5"/>
  <c r="S18" i="5"/>
  <c r="AE18" i="5"/>
  <c r="R19" i="5"/>
  <c r="T20" i="5"/>
  <c r="U19" i="5"/>
  <c r="BS16" i="5" l="1"/>
  <c r="BR9" i="5"/>
  <c r="BQ10" i="5"/>
  <c r="BX8" i="5"/>
  <c r="BW9" i="5"/>
  <c r="BB18" i="5"/>
  <c r="BD20" i="5"/>
  <c r="CD10" i="5"/>
  <c r="CC11" i="5"/>
  <c r="AZ20" i="5"/>
  <c r="AY20" i="5"/>
  <c r="AV21" i="5"/>
  <c r="AX20" i="5"/>
  <c r="BC20" i="5" s="1"/>
  <c r="AB20" i="5"/>
  <c r="K21" i="5"/>
  <c r="BE21" i="5"/>
  <c r="AW21" i="5"/>
  <c r="BA21" i="5" s="1"/>
  <c r="BJ21" i="5"/>
  <c r="BK21" i="5" s="1"/>
  <c r="BI21" i="5"/>
  <c r="B23" i="5"/>
  <c r="AL22" i="5"/>
  <c r="J22" i="5"/>
  <c r="C22" i="5"/>
  <c r="E22" i="5" s="1"/>
  <c r="F22" i="5"/>
  <c r="AJ22" i="5"/>
  <c r="AH22" i="5"/>
  <c r="AK22" i="5"/>
  <c r="AG22" i="5"/>
  <c r="H22" i="5"/>
  <c r="AI22" i="5"/>
  <c r="AQ22" i="5"/>
  <c r="AR22" i="5"/>
  <c r="AP22" i="5"/>
  <c r="I22" i="5"/>
  <c r="AO22" i="5"/>
  <c r="G22" i="5"/>
  <c r="AS22" i="5"/>
  <c r="AT22" i="5"/>
  <c r="AF22" i="5"/>
  <c r="AM22" i="5"/>
  <c r="AN22" i="5"/>
  <c r="AA21" i="5"/>
  <c r="L22" i="5"/>
  <c r="O20" i="5"/>
  <c r="P20" i="5" s="1"/>
  <c r="Q20" i="5" s="1"/>
  <c r="AC20" i="5" s="1"/>
  <c r="M21" i="5"/>
  <c r="N21" i="5"/>
  <c r="BL21" i="5"/>
  <c r="CA16" i="5"/>
  <c r="V21" i="5"/>
  <c r="W20" i="5"/>
  <c r="BN15" i="5"/>
  <c r="BP15" i="5"/>
  <c r="BT15" i="5"/>
  <c r="BU15" i="5"/>
  <c r="BV15" i="5"/>
  <c r="X18" i="5"/>
  <c r="Y17" i="5"/>
  <c r="BM17" i="5" s="1"/>
  <c r="AD17" i="5"/>
  <c r="BY17" i="5" s="1"/>
  <c r="CB16" i="5"/>
  <c r="BZ16" i="5"/>
  <c r="BO15" i="5"/>
  <c r="Z21" i="5"/>
  <c r="R20" i="5"/>
  <c r="AE19" i="5"/>
  <c r="S19" i="5"/>
  <c r="BF21" i="5"/>
  <c r="BG20" i="5"/>
  <c r="BH20" i="5" s="1"/>
  <c r="T21" i="5"/>
  <c r="U20" i="5"/>
  <c r="BS17" i="5" l="1"/>
  <c r="BR10" i="5"/>
  <c r="BQ11" i="5"/>
  <c r="BW10" i="5"/>
  <c r="BW11" i="5" s="1"/>
  <c r="BX9" i="5"/>
  <c r="BB19" i="5"/>
  <c r="BD21" i="5"/>
  <c r="L23" i="5"/>
  <c r="CC12" i="5"/>
  <c r="CD12" i="5" s="1"/>
  <c r="CD11" i="5"/>
  <c r="V22" i="5"/>
  <c r="AZ21" i="5"/>
  <c r="AA22" i="5"/>
  <c r="AY21" i="5"/>
  <c r="AV22" i="5"/>
  <c r="AX21" i="5"/>
  <c r="BC21" i="5" s="1"/>
  <c r="AB21" i="5"/>
  <c r="BJ22" i="5"/>
  <c r="BK22" i="5" s="1"/>
  <c r="O21" i="5"/>
  <c r="BE22" i="5"/>
  <c r="K22" i="5"/>
  <c r="AW22" i="5"/>
  <c r="BA22" i="5" s="1"/>
  <c r="M22" i="5"/>
  <c r="N22" i="5"/>
  <c r="BI22" i="5"/>
  <c r="B24" i="5"/>
  <c r="AL23" i="5"/>
  <c r="F23" i="5"/>
  <c r="C23" i="5"/>
  <c r="E23" i="5" s="1"/>
  <c r="J23" i="5"/>
  <c r="AK23" i="5"/>
  <c r="AH23" i="5"/>
  <c r="AJ23" i="5"/>
  <c r="H23" i="5"/>
  <c r="AN23" i="5"/>
  <c r="AO23" i="5"/>
  <c r="AP23" i="5"/>
  <c r="AQ23" i="5"/>
  <c r="G23" i="5"/>
  <c r="AR23" i="5"/>
  <c r="AG23" i="5"/>
  <c r="AI23" i="5"/>
  <c r="AS23" i="5"/>
  <c r="I23" i="5"/>
  <c r="AT23" i="5"/>
  <c r="AM23" i="5"/>
  <c r="AF23" i="5"/>
  <c r="BL22" i="5"/>
  <c r="W21" i="5"/>
  <c r="BT16" i="5"/>
  <c r="BV16" i="5"/>
  <c r="BO16" i="5"/>
  <c r="BN16" i="5"/>
  <c r="BP16" i="5"/>
  <c r="AD18" i="5"/>
  <c r="BY18" i="5" s="1"/>
  <c r="Y18" i="5"/>
  <c r="BM18" i="5" s="1"/>
  <c r="X19" i="5"/>
  <c r="CB17" i="5"/>
  <c r="BZ17" i="5"/>
  <c r="BU16" i="5"/>
  <c r="CA17" i="5"/>
  <c r="T22" i="5"/>
  <c r="U21" i="5"/>
  <c r="BF22" i="5"/>
  <c r="BG21" i="5"/>
  <c r="BH21" i="5" s="1"/>
  <c r="R21" i="5"/>
  <c r="AE20" i="5"/>
  <c r="S20" i="5"/>
  <c r="Z22" i="5"/>
  <c r="BS18" i="5" l="1"/>
  <c r="BX10" i="5"/>
  <c r="BQ12" i="5"/>
  <c r="BR12" i="5" s="1"/>
  <c r="BR11" i="5"/>
  <c r="BX11" i="5"/>
  <c r="BW12" i="5"/>
  <c r="BD22" i="5"/>
  <c r="L24" i="5"/>
  <c r="CC13" i="5"/>
  <c r="CD13" i="5" s="1"/>
  <c r="AA23" i="5"/>
  <c r="AZ22" i="5"/>
  <c r="AY22" i="5"/>
  <c r="AV23" i="5"/>
  <c r="AX22" i="5"/>
  <c r="BC22" i="5" s="1"/>
  <c r="M23" i="5"/>
  <c r="N23" i="5"/>
  <c r="P21" i="5"/>
  <c r="BI23" i="5"/>
  <c r="O22" i="5"/>
  <c r="P22" i="5" s="1"/>
  <c r="Q22" i="5" s="1"/>
  <c r="AC22" i="5" s="1"/>
  <c r="K23" i="5"/>
  <c r="BE23" i="5"/>
  <c r="AW23" i="5"/>
  <c r="BA23" i="5" s="1"/>
  <c r="CA18" i="5"/>
  <c r="V23" i="5"/>
  <c r="AL24" i="5"/>
  <c r="C24" i="5"/>
  <c r="E24" i="5" s="1"/>
  <c r="F24" i="5"/>
  <c r="J24" i="5"/>
  <c r="B25" i="5"/>
  <c r="AK24" i="5"/>
  <c r="AH24" i="5"/>
  <c r="AJ24" i="5"/>
  <c r="AR24" i="5"/>
  <c r="AI24" i="5"/>
  <c r="AG24" i="5"/>
  <c r="AO24" i="5"/>
  <c r="AN24" i="5"/>
  <c r="AP24" i="5"/>
  <c r="AF24" i="5"/>
  <c r="I24" i="5"/>
  <c r="G24" i="5"/>
  <c r="AS24" i="5"/>
  <c r="H24" i="5"/>
  <c r="AQ24" i="5"/>
  <c r="AT24" i="5"/>
  <c r="AM24" i="5"/>
  <c r="AB22" i="5"/>
  <c r="W22" i="5"/>
  <c r="BJ23" i="5"/>
  <c r="BK23" i="5"/>
  <c r="BL23" i="5"/>
  <c r="BU17" i="5"/>
  <c r="BT17" i="5"/>
  <c r="BV17" i="5"/>
  <c r="BZ18" i="5"/>
  <c r="CB18" i="5"/>
  <c r="BP17" i="5"/>
  <c r="BN17" i="5"/>
  <c r="AD19" i="5"/>
  <c r="BY19" i="5" s="1"/>
  <c r="Y19" i="5"/>
  <c r="BM19" i="5" s="1"/>
  <c r="X20" i="5"/>
  <c r="BO17" i="5"/>
  <c r="BB20" i="5"/>
  <c r="Z23" i="5"/>
  <c r="R22" i="5"/>
  <c r="S21" i="5"/>
  <c r="AE21" i="5"/>
  <c r="BG22" i="5"/>
  <c r="BH22" i="5" s="1"/>
  <c r="BF23" i="5"/>
  <c r="T23" i="5"/>
  <c r="U22" i="5"/>
  <c r="BS19" i="5" l="1"/>
  <c r="BQ13" i="5"/>
  <c r="BR13" i="5" s="1"/>
  <c r="BX12" i="5"/>
  <c r="BW13" i="5"/>
  <c r="BD23" i="5"/>
  <c r="CC14" i="5"/>
  <c r="CD14" i="5" s="1"/>
  <c r="AZ23" i="5"/>
  <c r="AY23" i="5"/>
  <c r="AV24" i="5"/>
  <c r="AB23" i="5"/>
  <c r="BJ24" i="5"/>
  <c r="W23" i="5"/>
  <c r="AX23" i="5"/>
  <c r="BC23" i="5" s="1"/>
  <c r="O23" i="5"/>
  <c r="P23" i="5" s="1"/>
  <c r="Q23" i="5" s="1"/>
  <c r="AC23" i="5" s="1"/>
  <c r="V24" i="5"/>
  <c r="B26" i="5"/>
  <c r="AL25" i="5"/>
  <c r="J25" i="5"/>
  <c r="C25" i="5"/>
  <c r="E25" i="5" s="1"/>
  <c r="AJ25" i="5"/>
  <c r="F25" i="5"/>
  <c r="AK25" i="5"/>
  <c r="AH25" i="5"/>
  <c r="AO25" i="5"/>
  <c r="AG25" i="5"/>
  <c r="G25" i="5"/>
  <c r="H25" i="5"/>
  <c r="AS25" i="5"/>
  <c r="AP25" i="5"/>
  <c r="AN25" i="5"/>
  <c r="I25" i="5"/>
  <c r="AQ25" i="5"/>
  <c r="AI25" i="5"/>
  <c r="AR25" i="5"/>
  <c r="AT25" i="5"/>
  <c r="AF25" i="5"/>
  <c r="AM25" i="5"/>
  <c r="L25" i="5"/>
  <c r="L26" i="5" s="1"/>
  <c r="M24" i="5"/>
  <c r="N24" i="5"/>
  <c r="AA24" i="5"/>
  <c r="BI24" i="5"/>
  <c r="BO18" i="5"/>
  <c r="BK24" i="5"/>
  <c r="BL24" i="5"/>
  <c r="Q21" i="5"/>
  <c r="K24" i="5"/>
  <c r="BE24" i="5"/>
  <c r="AW24" i="5"/>
  <c r="BA24" i="5" s="1"/>
  <c r="BZ19" i="5"/>
  <c r="CB19" i="5"/>
  <c r="AD20" i="5"/>
  <c r="BY20" i="5" s="1"/>
  <c r="Y20" i="5"/>
  <c r="BM20" i="5" s="1"/>
  <c r="X21" i="5"/>
  <c r="BV18" i="5"/>
  <c r="BT18" i="5"/>
  <c r="CA19" i="5"/>
  <c r="BN18" i="5"/>
  <c r="BP18" i="5"/>
  <c r="BU18" i="5"/>
  <c r="Z24" i="5"/>
  <c r="BF24" i="5"/>
  <c r="BG23" i="5"/>
  <c r="BH23" i="5" s="1"/>
  <c r="BB21" i="5"/>
  <c r="S22" i="5"/>
  <c r="R23" i="5"/>
  <c r="AE22" i="5"/>
  <c r="T24" i="5"/>
  <c r="U23" i="5"/>
  <c r="BS20" i="5" l="1"/>
  <c r="BV20" i="5" s="1"/>
  <c r="BQ14" i="5"/>
  <c r="BQ15" i="5" s="1"/>
  <c r="BW14" i="5"/>
  <c r="BX14" i="5" s="1"/>
  <c r="BX13" i="5"/>
  <c r="BB22" i="5"/>
  <c r="BD24" i="5"/>
  <c r="CC15" i="5"/>
  <c r="CD15" i="5" s="1"/>
  <c r="AE23" i="5"/>
  <c r="AZ24" i="5"/>
  <c r="AY24" i="5"/>
  <c r="O24" i="5"/>
  <c r="P24" i="5" s="1"/>
  <c r="Q24" i="5" s="1"/>
  <c r="AC24" i="5" s="1"/>
  <c r="V25" i="5"/>
  <c r="AV25" i="5"/>
  <c r="BE25" i="5"/>
  <c r="W24" i="5"/>
  <c r="AX24" i="5"/>
  <c r="BC24" i="5" s="1"/>
  <c r="AC21" i="5"/>
  <c r="M25" i="5"/>
  <c r="N25" i="5"/>
  <c r="B27" i="5"/>
  <c r="L27" i="5" s="1"/>
  <c r="AL26" i="5"/>
  <c r="J26" i="5"/>
  <c r="F26" i="5"/>
  <c r="AH26" i="5"/>
  <c r="AJ26" i="5"/>
  <c r="AK26" i="5"/>
  <c r="C26" i="5"/>
  <c r="E26" i="5" s="1"/>
  <c r="AI26" i="5"/>
  <c r="I26" i="5"/>
  <c r="AF26" i="5"/>
  <c r="AR26" i="5"/>
  <c r="AO26" i="5"/>
  <c r="AN26" i="5"/>
  <c r="G26" i="5"/>
  <c r="AQ26" i="5"/>
  <c r="AG26" i="5"/>
  <c r="H26" i="5"/>
  <c r="AP26" i="5"/>
  <c r="AS26" i="5"/>
  <c r="AT26" i="5"/>
  <c r="AM26" i="5"/>
  <c r="BK25" i="5"/>
  <c r="BL25" i="5"/>
  <c r="K25" i="5"/>
  <c r="AW25" i="5"/>
  <c r="BA25" i="5" s="1"/>
  <c r="AB24" i="5"/>
  <c r="AA25" i="5"/>
  <c r="BJ25" i="5"/>
  <c r="BI25" i="5"/>
  <c r="CA20" i="5"/>
  <c r="BU19" i="5"/>
  <c r="BN20" i="5"/>
  <c r="BP20" i="5"/>
  <c r="BZ20" i="5"/>
  <c r="CB20" i="5"/>
  <c r="BV19" i="5"/>
  <c r="BT19" i="5"/>
  <c r="Y21" i="5"/>
  <c r="BM21" i="5" s="1"/>
  <c r="AD21" i="5"/>
  <c r="X22" i="5"/>
  <c r="BN19" i="5"/>
  <c r="BP19" i="5"/>
  <c r="BO19" i="5"/>
  <c r="BO20" i="5" s="1"/>
  <c r="R24" i="5"/>
  <c r="S23" i="5"/>
  <c r="Z25" i="5"/>
  <c r="BG24" i="5"/>
  <c r="BH24" i="5" s="1"/>
  <c r="BF25" i="5"/>
  <c r="T25" i="5"/>
  <c r="U24" i="5"/>
  <c r="BS21" i="5" l="1"/>
  <c r="BV21" i="5" s="1"/>
  <c r="BR14" i="5"/>
  <c r="BR15" i="5"/>
  <c r="BQ16" i="5"/>
  <c r="BW15" i="5"/>
  <c r="BX15" i="5" s="1"/>
  <c r="BB23" i="5"/>
  <c r="BD25" i="5"/>
  <c r="CC16" i="5"/>
  <c r="CD16" i="5" s="1"/>
  <c r="AE24" i="5"/>
  <c r="V26" i="5"/>
  <c r="BY21" i="5"/>
  <c r="CA21" i="5" s="1"/>
  <c r="AZ25" i="5"/>
  <c r="W25" i="5"/>
  <c r="AY25" i="5"/>
  <c r="AV26" i="5"/>
  <c r="O25" i="5"/>
  <c r="P25" i="5" s="1"/>
  <c r="Q25" i="5" s="1"/>
  <c r="AC25" i="5" s="1"/>
  <c r="BI26" i="5"/>
  <c r="BJ26" i="5"/>
  <c r="AX25" i="5"/>
  <c r="BC25" i="5" s="1"/>
  <c r="BL26" i="5"/>
  <c r="BK26" i="5"/>
  <c r="AA26" i="5"/>
  <c r="K26" i="5"/>
  <c r="BE26" i="5"/>
  <c r="AW26" i="5"/>
  <c r="BA26" i="5" s="1"/>
  <c r="M26" i="5"/>
  <c r="N26" i="5"/>
  <c r="AB25" i="5"/>
  <c r="B28" i="5"/>
  <c r="AL27" i="5"/>
  <c r="J27" i="5"/>
  <c r="F27" i="5"/>
  <c r="C27" i="5"/>
  <c r="E27" i="5" s="1"/>
  <c r="AJ27" i="5"/>
  <c r="AH27" i="5"/>
  <c r="AK27" i="5"/>
  <c r="G27" i="5"/>
  <c r="AO27" i="5"/>
  <c r="AP27" i="5"/>
  <c r="AG27" i="5"/>
  <c r="H27" i="5"/>
  <c r="AS27" i="5"/>
  <c r="AI27" i="5"/>
  <c r="AR27" i="5"/>
  <c r="AQ27" i="5"/>
  <c r="I27" i="5"/>
  <c r="AT27" i="5"/>
  <c r="AM27" i="5"/>
  <c r="AF27" i="5"/>
  <c r="AN27" i="5"/>
  <c r="BU20" i="5"/>
  <c r="BT20" i="5"/>
  <c r="X23" i="5"/>
  <c r="AD22" i="5"/>
  <c r="BY22" i="5" s="1"/>
  <c r="BZ22" i="5" s="1"/>
  <c r="Y22" i="5"/>
  <c r="BM22" i="5" s="1"/>
  <c r="T26" i="5"/>
  <c r="U25" i="5"/>
  <c r="Z26" i="5"/>
  <c r="BP21" i="5"/>
  <c r="BN21" i="5"/>
  <c r="BO21" i="5"/>
  <c r="BG25" i="5"/>
  <c r="BH25" i="5" s="1"/>
  <c r="BF26" i="5"/>
  <c r="S24" i="5"/>
  <c r="R25" i="5"/>
  <c r="BS22" i="5" l="1"/>
  <c r="BR16" i="5"/>
  <c r="BQ17" i="5"/>
  <c r="BW16" i="5"/>
  <c r="BX16" i="5" s="1"/>
  <c r="BB24" i="5"/>
  <c r="BD26" i="5"/>
  <c r="AA27" i="5"/>
  <c r="CC17" i="5"/>
  <c r="CD17" i="5" s="1"/>
  <c r="AE25" i="5"/>
  <c r="CB21" i="5"/>
  <c r="W26" i="5"/>
  <c r="BZ21" i="5"/>
  <c r="AX26" i="5"/>
  <c r="BC26" i="5" s="1"/>
  <c r="O26" i="5"/>
  <c r="P26" i="5" s="1"/>
  <c r="V27" i="5"/>
  <c r="AY26" i="5"/>
  <c r="AZ26" i="5"/>
  <c r="BJ27" i="5"/>
  <c r="BI27" i="5"/>
  <c r="AV27" i="5"/>
  <c r="AB26" i="5"/>
  <c r="BL27" i="5"/>
  <c r="BK27" i="5"/>
  <c r="M27" i="5"/>
  <c r="N27" i="5"/>
  <c r="B29" i="5"/>
  <c r="AL28" i="5"/>
  <c r="C28" i="5"/>
  <c r="E28" i="5" s="1"/>
  <c r="J28" i="5"/>
  <c r="F28" i="5"/>
  <c r="AJ28" i="5"/>
  <c r="AK28" i="5"/>
  <c r="AH28" i="5"/>
  <c r="H28" i="5"/>
  <c r="AN28" i="5"/>
  <c r="AF28" i="5"/>
  <c r="AO28" i="5"/>
  <c r="AP28" i="5"/>
  <c r="AS28" i="5"/>
  <c r="AR28" i="5"/>
  <c r="I28" i="5"/>
  <c r="AI28" i="5"/>
  <c r="AG28" i="5"/>
  <c r="G28" i="5"/>
  <c r="AQ28" i="5"/>
  <c r="AT28" i="5"/>
  <c r="AM28" i="5"/>
  <c r="BE27" i="5"/>
  <c r="K27" i="5"/>
  <c r="AW27" i="5"/>
  <c r="BA27" i="5" s="1"/>
  <c r="L28" i="5"/>
  <c r="BU21" i="5"/>
  <c r="BT21" i="5"/>
  <c r="CA22" i="5"/>
  <c r="AD23" i="5"/>
  <c r="BY23" i="5" s="1"/>
  <c r="X24" i="5"/>
  <c r="Y23" i="5"/>
  <c r="BM23" i="5" s="1"/>
  <c r="CB22" i="5"/>
  <c r="BF27" i="5"/>
  <c r="BG26" i="5"/>
  <c r="BH26" i="5" s="1"/>
  <c r="Z27" i="5"/>
  <c r="S25" i="5"/>
  <c r="R26" i="5"/>
  <c r="U26" i="5"/>
  <c r="T27" i="5"/>
  <c r="BS23" i="5" l="1"/>
  <c r="BR17" i="5"/>
  <c r="BQ18" i="5"/>
  <c r="BW17" i="5"/>
  <c r="BX17" i="5" s="1"/>
  <c r="BB25" i="5"/>
  <c r="BD27" i="5"/>
  <c r="CC18" i="5"/>
  <c r="CD18" i="5" s="1"/>
  <c r="AA28" i="5"/>
  <c r="AE26" i="5"/>
  <c r="W27" i="5"/>
  <c r="AY27" i="5"/>
  <c r="AZ27" i="5"/>
  <c r="AV28" i="5"/>
  <c r="BI28" i="5"/>
  <c r="AB27" i="5"/>
  <c r="AX27" i="5"/>
  <c r="BC27" i="5" s="1"/>
  <c r="O27" i="5"/>
  <c r="P27" i="5" s="1"/>
  <c r="Q27" i="5" s="1"/>
  <c r="AC27" i="5" s="1"/>
  <c r="BE28" i="5"/>
  <c r="K28" i="5"/>
  <c r="AW28" i="5"/>
  <c r="B30" i="5"/>
  <c r="AL29" i="5"/>
  <c r="F29" i="5"/>
  <c r="J29" i="5"/>
  <c r="C29" i="5"/>
  <c r="E29" i="5" s="1"/>
  <c r="AK29" i="5"/>
  <c r="AH29" i="5"/>
  <c r="AJ29" i="5"/>
  <c r="AG29" i="5"/>
  <c r="AS29" i="5"/>
  <c r="AR29" i="5"/>
  <c r="AI29" i="5"/>
  <c r="AP29" i="5"/>
  <c r="AQ29" i="5"/>
  <c r="AO29" i="5"/>
  <c r="AN29" i="5"/>
  <c r="H29" i="5"/>
  <c r="G29" i="5"/>
  <c r="I29" i="5"/>
  <c r="AT29" i="5"/>
  <c r="AM29" i="5"/>
  <c r="AF29" i="5"/>
  <c r="Q26" i="5"/>
  <c r="AC26" i="5" s="1"/>
  <c r="V28" i="5"/>
  <c r="L29" i="5"/>
  <c r="BJ28" i="5"/>
  <c r="BK28" i="5"/>
  <c r="BL28" i="5"/>
  <c r="CA23" i="5"/>
  <c r="BN22" i="5"/>
  <c r="BP22" i="5"/>
  <c r="BV22" i="5"/>
  <c r="BT22" i="5"/>
  <c r="BU22" i="5"/>
  <c r="AD24" i="5"/>
  <c r="BY24" i="5" s="1"/>
  <c r="X25" i="5"/>
  <c r="Y24" i="5"/>
  <c r="BM24" i="5" s="1"/>
  <c r="BZ23" i="5"/>
  <c r="CB23" i="5"/>
  <c r="BO22" i="5"/>
  <c r="Z28" i="5"/>
  <c r="T28" i="5"/>
  <c r="U27" i="5"/>
  <c r="S26" i="5"/>
  <c r="R27" i="5"/>
  <c r="BG27" i="5"/>
  <c r="BH27" i="5" s="1"/>
  <c r="BF28" i="5"/>
  <c r="BS24" i="5" l="1"/>
  <c r="BR18" i="5"/>
  <c r="BQ19" i="5"/>
  <c r="BW18" i="5"/>
  <c r="BW19" i="5" s="1"/>
  <c r="BB26" i="5"/>
  <c r="BA28" i="5"/>
  <c r="BD28" i="5" s="1"/>
  <c r="M28" i="5"/>
  <c r="L30" i="5"/>
  <c r="N28" i="5"/>
  <c r="O28" i="5" s="1"/>
  <c r="P28" i="5" s="1"/>
  <c r="CC19" i="5"/>
  <c r="CD19" i="5" s="1"/>
  <c r="AX28" i="5"/>
  <c r="BC28" i="5" s="1"/>
  <c r="AY28" i="5"/>
  <c r="AZ28" i="5"/>
  <c r="AE27" i="5"/>
  <c r="AV29" i="5"/>
  <c r="AB28" i="5"/>
  <c r="V29" i="5"/>
  <c r="W28" i="5"/>
  <c r="M29" i="5"/>
  <c r="N29" i="5"/>
  <c r="BJ29" i="5"/>
  <c r="BI29" i="5"/>
  <c r="BE29" i="5"/>
  <c r="K29" i="5"/>
  <c r="AW29" i="5"/>
  <c r="BA29" i="5" s="1"/>
  <c r="AA29" i="5"/>
  <c r="BL29" i="5"/>
  <c r="BK29" i="5"/>
  <c r="B31" i="5"/>
  <c r="AL30" i="5"/>
  <c r="F30" i="5"/>
  <c r="C30" i="5"/>
  <c r="E30" i="5" s="1"/>
  <c r="J30" i="5"/>
  <c r="AJ30" i="5"/>
  <c r="AH30" i="5"/>
  <c r="AK30" i="5"/>
  <c r="AS30" i="5"/>
  <c r="H30" i="5"/>
  <c r="G30" i="5"/>
  <c r="AN30" i="5"/>
  <c r="AO30" i="5"/>
  <c r="AF30" i="5"/>
  <c r="AI30" i="5"/>
  <c r="AG30" i="5"/>
  <c r="AP30" i="5"/>
  <c r="AQ30" i="5"/>
  <c r="I30" i="5"/>
  <c r="AR30" i="5"/>
  <c r="AT30" i="5"/>
  <c r="AM30" i="5"/>
  <c r="CA24" i="5"/>
  <c r="BO23" i="5"/>
  <c r="BP23" i="5"/>
  <c r="BN23" i="5"/>
  <c r="AD25" i="5"/>
  <c r="BY25" i="5" s="1"/>
  <c r="X26" i="5"/>
  <c r="Y25" i="5"/>
  <c r="BM25" i="5" s="1"/>
  <c r="BU23" i="5"/>
  <c r="CB24" i="5"/>
  <c r="BZ24" i="5"/>
  <c r="BV23" i="5"/>
  <c r="BT23" i="5"/>
  <c r="R28" i="5"/>
  <c r="S27" i="5"/>
  <c r="BG28" i="5"/>
  <c r="BH28" i="5" s="1"/>
  <c r="BF29" i="5"/>
  <c r="T29" i="5"/>
  <c r="U28" i="5"/>
  <c r="Z29" i="5"/>
  <c r="BS25" i="5" l="1"/>
  <c r="BX18" i="5"/>
  <c r="BR19" i="5"/>
  <c r="BQ20" i="5"/>
  <c r="BX19" i="5"/>
  <c r="BW20" i="5"/>
  <c r="BB27" i="5"/>
  <c r="L31" i="5"/>
  <c r="BD29" i="5"/>
  <c r="BI30" i="5"/>
  <c r="AA30" i="5"/>
  <c r="CC20" i="5"/>
  <c r="CC21" i="5" s="1"/>
  <c r="BJ30" i="5"/>
  <c r="AY29" i="5"/>
  <c r="AZ29" i="5"/>
  <c r="AV30" i="5"/>
  <c r="K30" i="5"/>
  <c r="AB29" i="5"/>
  <c r="V30" i="5"/>
  <c r="W29" i="5"/>
  <c r="AX29" i="5"/>
  <c r="BC29" i="5" s="1"/>
  <c r="AE28" i="5"/>
  <c r="BE30" i="5"/>
  <c r="AW30" i="5"/>
  <c r="BA30" i="5" s="1"/>
  <c r="M30" i="5"/>
  <c r="N30" i="5"/>
  <c r="Q28" i="5"/>
  <c r="AC28" i="5" s="1"/>
  <c r="B32" i="5"/>
  <c r="AL31" i="5"/>
  <c r="J31" i="5"/>
  <c r="AJ31" i="5"/>
  <c r="AH31" i="5"/>
  <c r="F31" i="5"/>
  <c r="AK31" i="5"/>
  <c r="C31" i="5"/>
  <c r="E31" i="5" s="1"/>
  <c r="AI31" i="5"/>
  <c r="AS31" i="5"/>
  <c r="AG31" i="5"/>
  <c r="G31" i="5"/>
  <c r="AP31" i="5"/>
  <c r="AO31" i="5"/>
  <c r="AQ31" i="5"/>
  <c r="AR31" i="5"/>
  <c r="I31" i="5"/>
  <c r="H31" i="5"/>
  <c r="AN31" i="5"/>
  <c r="AT31" i="5"/>
  <c r="AF31" i="5"/>
  <c r="AM31" i="5"/>
  <c r="BL30" i="5"/>
  <c r="BK30" i="5"/>
  <c r="O29" i="5"/>
  <c r="P29" i="5" s="1"/>
  <c r="Q29" i="5" s="1"/>
  <c r="AC29" i="5" s="1"/>
  <c r="CA25" i="5"/>
  <c r="AD26" i="5"/>
  <c r="BY26" i="5" s="1"/>
  <c r="X27" i="5"/>
  <c r="Y26" i="5"/>
  <c r="BM26" i="5" s="1"/>
  <c r="BP24" i="5"/>
  <c r="BN24" i="5"/>
  <c r="BU24" i="5"/>
  <c r="BT24" i="5"/>
  <c r="BV24" i="5"/>
  <c r="BO24" i="5"/>
  <c r="BZ25" i="5"/>
  <c r="CB25" i="5"/>
  <c r="U29" i="5"/>
  <c r="T30" i="5"/>
  <c r="BG29" i="5"/>
  <c r="BH29" i="5" s="1"/>
  <c r="BF30" i="5"/>
  <c r="Z30" i="5"/>
  <c r="R29" i="5"/>
  <c r="S28" i="5"/>
  <c r="BS26" i="5" l="1"/>
  <c r="BR20" i="5"/>
  <c r="BQ21" i="5"/>
  <c r="BX20" i="5"/>
  <c r="BW21" i="5"/>
  <c r="BX21" i="5" s="1"/>
  <c r="BB28" i="5"/>
  <c r="O30" i="5"/>
  <c r="P30" i="5" s="1"/>
  <c r="Q30" i="5" s="1"/>
  <c r="AC30" i="5" s="1"/>
  <c r="BD30" i="5"/>
  <c r="AB30" i="5"/>
  <c r="AE29" i="5"/>
  <c r="CD20" i="5"/>
  <c r="BJ31" i="5"/>
  <c r="CD21" i="5"/>
  <c r="CC22" i="5"/>
  <c r="CC23" i="5" s="1"/>
  <c r="W30" i="5"/>
  <c r="BI31" i="5"/>
  <c r="AA31" i="5"/>
  <c r="AY30" i="5"/>
  <c r="AZ30" i="5"/>
  <c r="AV31" i="5"/>
  <c r="V31" i="5"/>
  <c r="BO25" i="5"/>
  <c r="AX30" i="5"/>
  <c r="BC30" i="5" s="1"/>
  <c r="B33" i="5"/>
  <c r="AL32" i="5"/>
  <c r="J32" i="5"/>
  <c r="C32" i="5"/>
  <c r="E32" i="5" s="1"/>
  <c r="F32" i="5"/>
  <c r="AH32" i="5"/>
  <c r="AJ32" i="5"/>
  <c r="AK32" i="5"/>
  <c r="H32" i="5"/>
  <c r="AR32" i="5"/>
  <c r="I32" i="5"/>
  <c r="AQ32" i="5"/>
  <c r="AO32" i="5"/>
  <c r="G32" i="5"/>
  <c r="AG32" i="5"/>
  <c r="AP32" i="5"/>
  <c r="AS32" i="5"/>
  <c r="AI32" i="5"/>
  <c r="AT32" i="5"/>
  <c r="AM32" i="5"/>
  <c r="AF32" i="5"/>
  <c r="AN32" i="5"/>
  <c r="BL31" i="5"/>
  <c r="BK31" i="5"/>
  <c r="M31" i="5"/>
  <c r="N31" i="5"/>
  <c r="L32" i="5"/>
  <c r="K31" i="5"/>
  <c r="BE31" i="5"/>
  <c r="AW31" i="5"/>
  <c r="BA31" i="5" s="1"/>
  <c r="BU25" i="5"/>
  <c r="BN25" i="5"/>
  <c r="BP25" i="5"/>
  <c r="BT25" i="5"/>
  <c r="BV25" i="5"/>
  <c r="AD27" i="5"/>
  <c r="BY27" i="5" s="1"/>
  <c r="Y27" i="5"/>
  <c r="BM27" i="5" s="1"/>
  <c r="X28" i="5"/>
  <c r="CB26" i="5"/>
  <c r="BZ26" i="5"/>
  <c r="CA26" i="5"/>
  <c r="R30" i="5"/>
  <c r="S29" i="5"/>
  <c r="Z31" i="5"/>
  <c r="BG30" i="5"/>
  <c r="BH30" i="5" s="1"/>
  <c r="BF31" i="5"/>
  <c r="U30" i="5"/>
  <c r="T31" i="5"/>
  <c r="BS27" i="5" l="1"/>
  <c r="BR21" i="5"/>
  <c r="BQ22" i="5"/>
  <c r="BW22" i="5"/>
  <c r="BX22" i="5" s="1"/>
  <c r="AE30" i="5"/>
  <c r="BD31" i="5"/>
  <c r="L33" i="5"/>
  <c r="CD22" i="5"/>
  <c r="CD23" i="5"/>
  <c r="CC24" i="5"/>
  <c r="W31" i="5"/>
  <c r="AY31" i="5"/>
  <c r="AZ31" i="5"/>
  <c r="BJ32" i="5"/>
  <c r="V32" i="5"/>
  <c r="AV32" i="5"/>
  <c r="AX31" i="5"/>
  <c r="BC31" i="5" s="1"/>
  <c r="O31" i="5"/>
  <c r="P31" i="5" s="1"/>
  <c r="Q31" i="5" s="1"/>
  <c r="AC31" i="5" s="1"/>
  <c r="BL32" i="5"/>
  <c r="BK32" i="5"/>
  <c r="BE32" i="5"/>
  <c r="K32" i="5"/>
  <c r="AW32" i="5"/>
  <c r="BA32" i="5" s="1"/>
  <c r="B34" i="5"/>
  <c r="AL33" i="5"/>
  <c r="C33" i="5"/>
  <c r="E33" i="5" s="1"/>
  <c r="F33" i="5"/>
  <c r="AH33" i="5"/>
  <c r="J33" i="5"/>
  <c r="AJ33" i="5"/>
  <c r="AK33" i="5"/>
  <c r="AR33" i="5"/>
  <c r="H33" i="5"/>
  <c r="AP33" i="5"/>
  <c r="AG33" i="5"/>
  <c r="AO33" i="5"/>
  <c r="AQ33" i="5"/>
  <c r="AS33" i="5"/>
  <c r="I33" i="5"/>
  <c r="G33" i="5"/>
  <c r="AN33" i="5"/>
  <c r="AI33" i="5"/>
  <c r="AT33" i="5"/>
  <c r="AM33" i="5"/>
  <c r="AF33" i="5"/>
  <c r="M32" i="5"/>
  <c r="N32" i="5"/>
  <c r="BI32" i="5"/>
  <c r="AB31" i="5"/>
  <c r="AA32" i="5"/>
  <c r="CA27" i="5"/>
  <c r="AD28" i="5"/>
  <c r="BY28" i="5" s="1"/>
  <c r="X29" i="5"/>
  <c r="Y28" i="5"/>
  <c r="BM28" i="5" s="1"/>
  <c r="BZ27" i="5"/>
  <c r="CB27" i="5"/>
  <c r="BT26" i="5"/>
  <c r="BV26" i="5"/>
  <c r="BP26" i="5"/>
  <c r="BN26" i="5"/>
  <c r="BO26" i="5"/>
  <c r="BU26" i="5"/>
  <c r="T32" i="5"/>
  <c r="U31" i="5"/>
  <c r="BG31" i="5"/>
  <c r="BH31" i="5" s="1"/>
  <c r="BF32" i="5"/>
  <c r="Z32" i="5"/>
  <c r="BB29" i="5"/>
  <c r="R31" i="5"/>
  <c r="S30" i="5"/>
  <c r="BS28" i="5" l="1"/>
  <c r="BR22" i="5"/>
  <c r="BQ23" i="5"/>
  <c r="BW23" i="5"/>
  <c r="BX23" i="5" s="1"/>
  <c r="BB30" i="5"/>
  <c r="BD32" i="5"/>
  <c r="CD24" i="5"/>
  <c r="CC25" i="5"/>
  <c r="W32" i="5"/>
  <c r="AZ32" i="5"/>
  <c r="O32" i="5"/>
  <c r="P32" i="5" s="1"/>
  <c r="Q32" i="5" s="1"/>
  <c r="AC32" i="5" s="1"/>
  <c r="AY32" i="5"/>
  <c r="V33" i="5"/>
  <c r="AV33" i="5"/>
  <c r="AX32" i="5"/>
  <c r="BC32" i="5" s="1"/>
  <c r="AB32" i="5"/>
  <c r="AE31" i="5"/>
  <c r="BI33" i="5"/>
  <c r="B35" i="5"/>
  <c r="AL34" i="5"/>
  <c r="J34" i="5"/>
  <c r="F34" i="5"/>
  <c r="C34" i="5"/>
  <c r="E34" i="5" s="1"/>
  <c r="AH34" i="5"/>
  <c r="AJ34" i="5"/>
  <c r="AK34" i="5"/>
  <c r="AQ34" i="5"/>
  <c r="AI34" i="5"/>
  <c r="AF34" i="5"/>
  <c r="AN34" i="5"/>
  <c r="AG34" i="5"/>
  <c r="AP34" i="5"/>
  <c r="G34" i="5"/>
  <c r="AS34" i="5"/>
  <c r="AR34" i="5"/>
  <c r="AO34" i="5"/>
  <c r="H34" i="5"/>
  <c r="I34" i="5"/>
  <c r="AT34" i="5"/>
  <c r="AM34" i="5"/>
  <c r="AA33" i="5"/>
  <c r="BK33" i="5"/>
  <c r="BL33" i="5"/>
  <c r="BJ33" i="5"/>
  <c r="BE33" i="5"/>
  <c r="K33" i="5"/>
  <c r="AW33" i="5"/>
  <c r="BA33" i="5" s="1"/>
  <c r="L34" i="5"/>
  <c r="M33" i="5"/>
  <c r="N33" i="5"/>
  <c r="BU27" i="5"/>
  <c r="BO27" i="5"/>
  <c r="BN27" i="5"/>
  <c r="BP27" i="5"/>
  <c r="BV27" i="5"/>
  <c r="BT27" i="5"/>
  <c r="AD29" i="5"/>
  <c r="BY29" i="5" s="1"/>
  <c r="Y29" i="5"/>
  <c r="BM29" i="5" s="1"/>
  <c r="X30" i="5"/>
  <c r="CB28" i="5"/>
  <c r="BZ28" i="5"/>
  <c r="CA28" i="5"/>
  <c r="S31" i="5"/>
  <c r="R32" i="5"/>
  <c r="U32" i="5"/>
  <c r="T33" i="5"/>
  <c r="Z33" i="5"/>
  <c r="BG32" i="5"/>
  <c r="BH32" i="5" s="1"/>
  <c r="BF33" i="5"/>
  <c r="BS29" i="5" l="1"/>
  <c r="BT29" i="5" s="1"/>
  <c r="BR23" i="5"/>
  <c r="BQ24" i="5"/>
  <c r="BW24" i="5"/>
  <c r="BX24" i="5" s="1"/>
  <c r="BD33" i="5"/>
  <c r="CD25" i="5"/>
  <c r="CC26" i="5"/>
  <c r="AE32" i="5"/>
  <c r="W33" i="5"/>
  <c r="V34" i="5"/>
  <c r="AZ33" i="5"/>
  <c r="AY33" i="5"/>
  <c r="AV34" i="5"/>
  <c r="L35" i="5"/>
  <c r="AA34" i="5"/>
  <c r="AX33" i="5"/>
  <c r="BC33" i="5" s="1"/>
  <c r="AB33" i="5"/>
  <c r="BK34" i="5"/>
  <c r="BL34" i="5"/>
  <c r="BE34" i="5"/>
  <c r="K34" i="5"/>
  <c r="AW34" i="5"/>
  <c r="BA34" i="5" s="1"/>
  <c r="BI34" i="5"/>
  <c r="BJ34" i="5"/>
  <c r="B36" i="5"/>
  <c r="AL35" i="5"/>
  <c r="C35" i="5"/>
  <c r="E35" i="5" s="1"/>
  <c r="F35" i="5"/>
  <c r="J35" i="5"/>
  <c r="AK35" i="5"/>
  <c r="AJ35" i="5"/>
  <c r="AH35" i="5"/>
  <c r="AN35" i="5"/>
  <c r="AG35" i="5"/>
  <c r="G35" i="5"/>
  <c r="AO35" i="5"/>
  <c r="AI35" i="5"/>
  <c r="AQ35" i="5"/>
  <c r="AS35" i="5"/>
  <c r="H35" i="5"/>
  <c r="AP35" i="5"/>
  <c r="I35" i="5"/>
  <c r="AR35" i="5"/>
  <c r="AT35" i="5"/>
  <c r="AF35" i="5"/>
  <c r="AM35" i="5"/>
  <c r="O33" i="5"/>
  <c r="P33" i="5" s="1"/>
  <c r="Q33" i="5" s="1"/>
  <c r="AC33" i="5" s="1"/>
  <c r="M34" i="5"/>
  <c r="N34" i="5"/>
  <c r="BP29" i="5"/>
  <c r="CA29" i="5"/>
  <c r="BZ29" i="5"/>
  <c r="CB29" i="5"/>
  <c r="AD30" i="5"/>
  <c r="BY30" i="5" s="1"/>
  <c r="Y30" i="5"/>
  <c r="BM30" i="5" s="1"/>
  <c r="X31" i="5"/>
  <c r="BV28" i="5"/>
  <c r="BT28" i="5"/>
  <c r="BP28" i="5"/>
  <c r="BN28" i="5"/>
  <c r="BO28" i="5"/>
  <c r="BU28" i="5"/>
  <c r="BG33" i="5"/>
  <c r="BH33" i="5" s="1"/>
  <c r="BF34" i="5"/>
  <c r="R33" i="5"/>
  <c r="S32" i="5"/>
  <c r="Z34" i="5"/>
  <c r="U33" i="5"/>
  <c r="T34" i="5"/>
  <c r="BB31" i="5"/>
  <c r="BS30" i="5" l="1"/>
  <c r="BR24" i="5"/>
  <c r="BQ25" i="5"/>
  <c r="BW25" i="5"/>
  <c r="BX25" i="5" s="1"/>
  <c r="BB32" i="5"/>
  <c r="CD26" i="5"/>
  <c r="CC27" i="5"/>
  <c r="W34" i="5"/>
  <c r="V35" i="5"/>
  <c r="AY34" i="5"/>
  <c r="AZ34" i="5"/>
  <c r="AV35" i="5"/>
  <c r="AX34" i="5"/>
  <c r="BC34" i="5" s="1"/>
  <c r="AB34" i="5"/>
  <c r="AE33" i="5"/>
  <c r="B37" i="5"/>
  <c r="AL36" i="5"/>
  <c r="C36" i="5"/>
  <c r="E36" i="5" s="1"/>
  <c r="AK36" i="5"/>
  <c r="J36" i="5"/>
  <c r="AJ36" i="5"/>
  <c r="AH36" i="5"/>
  <c r="F36" i="5"/>
  <c r="G36" i="5"/>
  <c r="AS36" i="5"/>
  <c r="AP36" i="5"/>
  <c r="AF36" i="5"/>
  <c r="AN36" i="5"/>
  <c r="AR36" i="5"/>
  <c r="AG36" i="5"/>
  <c r="I36" i="5"/>
  <c r="AI36" i="5"/>
  <c r="H36" i="5"/>
  <c r="AO36" i="5"/>
  <c r="AQ36" i="5"/>
  <c r="AT36" i="5"/>
  <c r="AM36" i="5"/>
  <c r="L36" i="5"/>
  <c r="L37" i="5" s="1"/>
  <c r="BI35" i="5"/>
  <c r="O34" i="5"/>
  <c r="P34" i="5" s="1"/>
  <c r="Q34" i="5" s="1"/>
  <c r="AC34" i="5" s="1"/>
  <c r="AA35" i="5"/>
  <c r="BD34" i="5"/>
  <c r="BK35" i="5"/>
  <c r="BL35" i="5"/>
  <c r="K35" i="5"/>
  <c r="BE35" i="5"/>
  <c r="AW35" i="5"/>
  <c r="BA35" i="5" s="1"/>
  <c r="BJ35" i="5"/>
  <c r="M35" i="5"/>
  <c r="N35" i="5"/>
  <c r="BO29" i="5"/>
  <c r="BU29" i="5"/>
  <c r="BN29" i="5"/>
  <c r="BV29" i="5"/>
  <c r="AD31" i="5"/>
  <c r="BY31" i="5" s="1"/>
  <c r="X32" i="5"/>
  <c r="Y31" i="5"/>
  <c r="BM31" i="5" s="1"/>
  <c r="BZ30" i="5"/>
  <c r="CB30" i="5"/>
  <c r="CA30" i="5"/>
  <c r="R34" i="5"/>
  <c r="S33" i="5"/>
  <c r="BG34" i="5"/>
  <c r="BH34" i="5" s="1"/>
  <c r="BF35" i="5"/>
  <c r="U34" i="5"/>
  <c r="T35" i="5"/>
  <c r="Z35" i="5"/>
  <c r="BS31" i="5" l="1"/>
  <c r="BT31" i="5" s="1"/>
  <c r="BR25" i="5"/>
  <c r="BQ26" i="5"/>
  <c r="BW26" i="5"/>
  <c r="BX26" i="5" s="1"/>
  <c r="BB33" i="5"/>
  <c r="BD35" i="5"/>
  <c r="CD27" i="5"/>
  <c r="CC28" i="5"/>
  <c r="V36" i="5"/>
  <c r="W35" i="5"/>
  <c r="AZ35" i="5"/>
  <c r="AA36" i="5"/>
  <c r="BI36" i="5"/>
  <c r="AY35" i="5"/>
  <c r="AV36" i="5"/>
  <c r="BE36" i="5"/>
  <c r="K36" i="5"/>
  <c r="AB35" i="5"/>
  <c r="AX35" i="5"/>
  <c r="BC35" i="5" s="1"/>
  <c r="BJ36" i="5"/>
  <c r="BL36" i="5"/>
  <c r="BK36" i="5"/>
  <c r="M36" i="5"/>
  <c r="N36" i="5"/>
  <c r="AW36" i="5"/>
  <c r="BA36" i="5" s="1"/>
  <c r="AE34" i="5"/>
  <c r="B38" i="5"/>
  <c r="L38" i="5" s="1"/>
  <c r="AL37" i="5"/>
  <c r="F37" i="5"/>
  <c r="J37" i="5"/>
  <c r="AK37" i="5"/>
  <c r="C37" i="5"/>
  <c r="E37" i="5" s="1"/>
  <c r="AH37" i="5"/>
  <c r="AJ37" i="5"/>
  <c r="AI37" i="5"/>
  <c r="AP37" i="5"/>
  <c r="AS37" i="5"/>
  <c r="I37" i="5"/>
  <c r="AO37" i="5"/>
  <c r="H37" i="5"/>
  <c r="G37" i="5"/>
  <c r="AQ37" i="5"/>
  <c r="AG37" i="5"/>
  <c r="AR37" i="5"/>
  <c r="AT37" i="5"/>
  <c r="AM37" i="5"/>
  <c r="AF37" i="5"/>
  <c r="AN37" i="5"/>
  <c r="O35" i="5"/>
  <c r="P35" i="5" s="1"/>
  <c r="Q35" i="5" s="1"/>
  <c r="AC35" i="5" s="1"/>
  <c r="CA31" i="5"/>
  <c r="BN30" i="5"/>
  <c r="BP30" i="5"/>
  <c r="BV30" i="5"/>
  <c r="BT30" i="5"/>
  <c r="AD32" i="5"/>
  <c r="BY32" i="5" s="1"/>
  <c r="Y32" i="5"/>
  <c r="BM32" i="5" s="1"/>
  <c r="X33" i="5"/>
  <c r="CB31" i="5"/>
  <c r="BZ31" i="5"/>
  <c r="BU30" i="5"/>
  <c r="BO30" i="5"/>
  <c r="BO31" i="5" s="1"/>
  <c r="T36" i="5"/>
  <c r="U35" i="5"/>
  <c r="Z36" i="5"/>
  <c r="BG35" i="5"/>
  <c r="BH35" i="5" s="1"/>
  <c r="BF36" i="5"/>
  <c r="R35" i="5"/>
  <c r="S34" i="5"/>
  <c r="BN31" i="5"/>
  <c r="BP31" i="5"/>
  <c r="BS32" i="5" l="1"/>
  <c r="BR26" i="5"/>
  <c r="BQ27" i="5"/>
  <c r="BW27" i="5"/>
  <c r="BX27" i="5" s="1"/>
  <c r="BB34" i="5"/>
  <c r="BD36" i="5"/>
  <c r="O36" i="5"/>
  <c r="P36" i="5" s="1"/>
  <c r="Q36" i="5" s="1"/>
  <c r="AC36" i="5" s="1"/>
  <c r="CD28" i="5"/>
  <c r="CC29" i="5"/>
  <c r="W36" i="5"/>
  <c r="AA37" i="5"/>
  <c r="AZ36" i="5"/>
  <c r="AY36" i="5"/>
  <c r="AV37" i="5"/>
  <c r="AB36" i="5"/>
  <c r="AE35" i="5"/>
  <c r="V37" i="5"/>
  <c r="BJ37" i="5"/>
  <c r="BI37" i="5"/>
  <c r="AX36" i="5"/>
  <c r="BC36" i="5" s="1"/>
  <c r="B39" i="5"/>
  <c r="AL38" i="5"/>
  <c r="F38" i="5"/>
  <c r="J38" i="5"/>
  <c r="AK38" i="5"/>
  <c r="C38" i="5"/>
  <c r="BS38" i="5" s="1"/>
  <c r="AH38" i="5"/>
  <c r="AJ38" i="5"/>
  <c r="AO38" i="5"/>
  <c r="AG38" i="5"/>
  <c r="AN38" i="5"/>
  <c r="AS38" i="5"/>
  <c r="I38" i="5"/>
  <c r="AI38" i="5"/>
  <c r="G38" i="5"/>
  <c r="AQ38" i="5"/>
  <c r="H38" i="5"/>
  <c r="AR38" i="5"/>
  <c r="AF38" i="5"/>
  <c r="AP38" i="5"/>
  <c r="AT38" i="5"/>
  <c r="AM38" i="5"/>
  <c r="BL37" i="5"/>
  <c r="BK37" i="5"/>
  <c r="M37" i="5"/>
  <c r="N37" i="5"/>
  <c r="K37" i="5"/>
  <c r="BE37" i="5"/>
  <c r="AW37" i="5"/>
  <c r="BA37" i="5" s="1"/>
  <c r="BU31" i="5"/>
  <c r="BV31" i="5"/>
  <c r="BZ32" i="5"/>
  <c r="CB32" i="5"/>
  <c r="AD33" i="5"/>
  <c r="BY33" i="5" s="1"/>
  <c r="X34" i="5"/>
  <c r="Y33" i="5"/>
  <c r="BM33" i="5" s="1"/>
  <c r="CA32" i="5"/>
  <c r="BG36" i="5"/>
  <c r="BH36" i="5" s="1"/>
  <c r="BF37" i="5"/>
  <c r="Z37" i="5"/>
  <c r="T37" i="5"/>
  <c r="U36" i="5"/>
  <c r="S35" i="5"/>
  <c r="R36" i="5"/>
  <c r="L39" i="5" l="1"/>
  <c r="D39" i="5"/>
  <c r="AU39" i="5"/>
  <c r="BS33" i="5"/>
  <c r="BR27" i="5"/>
  <c r="BQ28" i="5"/>
  <c r="BW28" i="5"/>
  <c r="BX28" i="5" s="1"/>
  <c r="E38" i="5"/>
  <c r="AC38" i="5" s="1"/>
  <c r="BM38" i="5"/>
  <c r="BB35" i="5"/>
  <c r="BD37" i="5"/>
  <c r="AE36" i="5"/>
  <c r="CD29" i="5"/>
  <c r="CC30" i="5"/>
  <c r="AZ37" i="5"/>
  <c r="AA38" i="5"/>
  <c r="AY37" i="5"/>
  <c r="V38" i="5"/>
  <c r="AX37" i="5"/>
  <c r="BC37" i="5" s="1"/>
  <c r="AV38" i="5"/>
  <c r="W37" i="5"/>
  <c r="BI38" i="5"/>
  <c r="O37" i="5"/>
  <c r="P37" i="5" s="1"/>
  <c r="Q37" i="5" s="1"/>
  <c r="AC37" i="5" s="1"/>
  <c r="K38" i="5"/>
  <c r="BE38" i="5"/>
  <c r="AW38" i="5"/>
  <c r="AB37" i="5"/>
  <c r="BJ38" i="5"/>
  <c r="B40" i="5"/>
  <c r="AL39" i="5"/>
  <c r="F39" i="5"/>
  <c r="J39" i="5"/>
  <c r="AJ39" i="5"/>
  <c r="AK39" i="5"/>
  <c r="AH39" i="5"/>
  <c r="C39" i="5"/>
  <c r="BS39" i="5" s="1"/>
  <c r="AO39" i="5"/>
  <c r="I39" i="5"/>
  <c r="AN39" i="5"/>
  <c r="G39" i="5"/>
  <c r="AQ39" i="5"/>
  <c r="AG39" i="5"/>
  <c r="AP39" i="5"/>
  <c r="AR39" i="5"/>
  <c r="H39" i="5"/>
  <c r="AI39" i="5"/>
  <c r="AS39" i="5"/>
  <c r="AT39" i="5"/>
  <c r="AF39" i="5"/>
  <c r="AM39" i="5"/>
  <c r="BL38" i="5"/>
  <c r="BK38" i="5"/>
  <c r="BU32" i="5"/>
  <c r="CA33" i="5"/>
  <c r="BN32" i="5"/>
  <c r="BP32" i="5"/>
  <c r="CB33" i="5"/>
  <c r="BZ33" i="5"/>
  <c r="BV32" i="5"/>
  <c r="BT32" i="5"/>
  <c r="AD34" i="5"/>
  <c r="BY34" i="5" s="1"/>
  <c r="Y34" i="5"/>
  <c r="BM34" i="5" s="1"/>
  <c r="X35" i="5"/>
  <c r="BO32" i="5"/>
  <c r="U37" i="5"/>
  <c r="T38" i="5"/>
  <c r="Z38" i="5"/>
  <c r="S36" i="5"/>
  <c r="R37" i="5"/>
  <c r="BG37" i="5"/>
  <c r="BH37" i="5" s="1"/>
  <c r="BF38" i="5"/>
  <c r="D40" i="5" l="1"/>
  <c r="AU40" i="5"/>
  <c r="BS34" i="5"/>
  <c r="P38" i="5"/>
  <c r="Q38" i="5" s="1"/>
  <c r="N38" i="5"/>
  <c r="O38" i="5" s="1"/>
  <c r="M38" i="5"/>
  <c r="BD38" i="5"/>
  <c r="BA38" i="5"/>
  <c r="BR28" i="5"/>
  <c r="BQ29" i="5"/>
  <c r="BW29" i="5"/>
  <c r="BW30" i="5" s="1"/>
  <c r="E39" i="5"/>
  <c r="BA39" i="5" s="1"/>
  <c r="BM39" i="5"/>
  <c r="CD30" i="5"/>
  <c r="CC31" i="5"/>
  <c r="W38" i="5"/>
  <c r="V39" i="5"/>
  <c r="AZ38" i="5"/>
  <c r="AY38" i="5"/>
  <c r="AE37" i="5"/>
  <c r="AV39" i="5"/>
  <c r="AX38" i="5"/>
  <c r="BC38" i="5" s="1"/>
  <c r="AB38" i="5"/>
  <c r="BJ39" i="5"/>
  <c r="BI39" i="5"/>
  <c r="BK39" i="5"/>
  <c r="BL39" i="5"/>
  <c r="B41" i="5"/>
  <c r="AL40" i="5"/>
  <c r="AH40" i="5"/>
  <c r="J40" i="5"/>
  <c r="AK40" i="5"/>
  <c r="C40" i="5"/>
  <c r="BS40" i="5" s="1"/>
  <c r="F40" i="5"/>
  <c r="AJ40" i="5"/>
  <c r="AQ40" i="5"/>
  <c r="H40" i="5"/>
  <c r="AG40" i="5"/>
  <c r="I40" i="5"/>
  <c r="AS40" i="5"/>
  <c r="AR40" i="5"/>
  <c r="G40" i="5"/>
  <c r="AN40" i="5"/>
  <c r="AP40" i="5"/>
  <c r="AF40" i="5"/>
  <c r="AI40" i="5"/>
  <c r="AO40" i="5"/>
  <c r="AT40" i="5"/>
  <c r="AM40" i="5"/>
  <c r="BE39" i="5"/>
  <c r="K39" i="5"/>
  <c r="AW39" i="5"/>
  <c r="AY39" i="5" s="1"/>
  <c r="L40" i="5"/>
  <c r="BO33" i="5"/>
  <c r="AA39" i="5"/>
  <c r="AD35" i="5"/>
  <c r="BY35" i="5" s="1"/>
  <c r="X36" i="5"/>
  <c r="Y35" i="5"/>
  <c r="BM35" i="5" s="1"/>
  <c r="BZ34" i="5"/>
  <c r="CB34" i="5"/>
  <c r="CA34" i="5"/>
  <c r="BV33" i="5"/>
  <c r="BT33" i="5"/>
  <c r="BP33" i="5"/>
  <c r="BN33" i="5"/>
  <c r="BU33" i="5"/>
  <c r="R38" i="5"/>
  <c r="AE38" i="5" s="1"/>
  <c r="BY38" i="5" s="1"/>
  <c r="Z39" i="5"/>
  <c r="T39" i="5"/>
  <c r="U38" i="5"/>
  <c r="BF39" i="5"/>
  <c r="BG38" i="5"/>
  <c r="BH38" i="5" s="1"/>
  <c r="S37" i="5"/>
  <c r="BB36" i="5"/>
  <c r="D41" i="5" l="1"/>
  <c r="AU41" i="5"/>
  <c r="BS35" i="5"/>
  <c r="BX29" i="5"/>
  <c r="O39" i="5"/>
  <c r="BY39" i="5"/>
  <c r="BZ39" i="5"/>
  <c r="M39" i="5"/>
  <c r="Q39" i="5"/>
  <c r="P39" i="5"/>
  <c r="AC39" i="5"/>
  <c r="BR29" i="5"/>
  <c r="BQ30" i="5"/>
  <c r="CB39" i="5"/>
  <c r="AE39" i="5"/>
  <c r="BD39" i="5"/>
  <c r="CC39" i="5"/>
  <c r="BX30" i="5"/>
  <c r="BW31" i="5"/>
  <c r="E40" i="5"/>
  <c r="CA40" i="5" s="1"/>
  <c r="BM40" i="5"/>
  <c r="CA39" i="5"/>
  <c r="N39" i="5"/>
  <c r="CD39" i="5"/>
  <c r="AD39" i="5"/>
  <c r="L41" i="5"/>
  <c r="CD31" i="5"/>
  <c r="CC32" i="5"/>
  <c r="W39" i="5"/>
  <c r="AA40" i="5"/>
  <c r="AZ39" i="5"/>
  <c r="V40" i="5"/>
  <c r="AV40" i="5"/>
  <c r="BJ40" i="5"/>
  <c r="AX39" i="5"/>
  <c r="BC39" i="5" s="1"/>
  <c r="BU34" i="5"/>
  <c r="BL40" i="5"/>
  <c r="BK40" i="5"/>
  <c r="AB39" i="5"/>
  <c r="BE40" i="5"/>
  <c r="K40" i="5"/>
  <c r="AW40" i="5"/>
  <c r="AY40" i="5" s="1"/>
  <c r="B42" i="5"/>
  <c r="AL41" i="5"/>
  <c r="J41" i="5"/>
  <c r="C41" i="5"/>
  <c r="BS41" i="5" s="1"/>
  <c r="AH41" i="5"/>
  <c r="AK41" i="5"/>
  <c r="F41" i="5"/>
  <c r="AJ41" i="5"/>
  <c r="I41" i="5"/>
  <c r="AI41" i="5"/>
  <c r="H41" i="5"/>
  <c r="AS41" i="5"/>
  <c r="AN41" i="5"/>
  <c r="AR41" i="5"/>
  <c r="G41" i="5"/>
  <c r="AQ41" i="5"/>
  <c r="AG41" i="5"/>
  <c r="AO41" i="5"/>
  <c r="AP41" i="5"/>
  <c r="AT41" i="5"/>
  <c r="AM41" i="5"/>
  <c r="AF41" i="5"/>
  <c r="BI40" i="5"/>
  <c r="CA35" i="5"/>
  <c r="BV34" i="5"/>
  <c r="BT34" i="5"/>
  <c r="BO34" i="5"/>
  <c r="BN34" i="5"/>
  <c r="BP34" i="5"/>
  <c r="AD36" i="5"/>
  <c r="BY36" i="5" s="1"/>
  <c r="Y36" i="5"/>
  <c r="BM36" i="5" s="1"/>
  <c r="X37" i="5"/>
  <c r="BZ35" i="5"/>
  <c r="CB35" i="5"/>
  <c r="CB38" i="5"/>
  <c r="BZ38" i="5"/>
  <c r="CA38" i="5"/>
  <c r="BG39" i="5"/>
  <c r="BH39" i="5" s="1"/>
  <c r="BF40" i="5"/>
  <c r="T40" i="5"/>
  <c r="U39" i="5"/>
  <c r="Z40" i="5"/>
  <c r="R39" i="5"/>
  <c r="S38" i="5"/>
  <c r="BB37" i="5"/>
  <c r="L42" i="5" l="1"/>
  <c r="D42" i="5"/>
  <c r="AU42" i="5"/>
  <c r="BS36" i="5"/>
  <c r="M40" i="5"/>
  <c r="AE40" i="5"/>
  <c r="BD40" i="5"/>
  <c r="P40" i="5"/>
  <c r="Q40" i="5"/>
  <c r="AC40" i="5"/>
  <c r="O40" i="5"/>
  <c r="AD40" i="5"/>
  <c r="BR30" i="5"/>
  <c r="BQ31" i="5"/>
  <c r="BX31" i="5"/>
  <c r="BW32" i="5"/>
  <c r="E41" i="5"/>
  <c r="BD41" i="5" s="1"/>
  <c r="BM41" i="5"/>
  <c r="CB40" i="5"/>
  <c r="BY40" i="5"/>
  <c r="CC40" i="5"/>
  <c r="N40" i="5"/>
  <c r="BA40" i="5"/>
  <c r="CD40" i="5"/>
  <c r="BZ40" i="5"/>
  <c r="CD32" i="5"/>
  <c r="CC33" i="5"/>
  <c r="W40" i="5"/>
  <c r="AX40" i="5"/>
  <c r="BC40" i="5" s="1"/>
  <c r="AZ40" i="5"/>
  <c r="BE41" i="5"/>
  <c r="AV41" i="5"/>
  <c r="K41" i="5"/>
  <c r="AW41" i="5"/>
  <c r="AY41" i="5" s="1"/>
  <c r="B43" i="5"/>
  <c r="AL42" i="5"/>
  <c r="C42" i="5"/>
  <c r="BS42" i="5" s="1"/>
  <c r="J42" i="5"/>
  <c r="F42" i="5"/>
  <c r="AJ42" i="5"/>
  <c r="AH42" i="5"/>
  <c r="AK42" i="5"/>
  <c r="AR42" i="5"/>
  <c r="G42" i="5"/>
  <c r="AS42" i="5"/>
  <c r="I42" i="5"/>
  <c r="AP42" i="5"/>
  <c r="AG42" i="5"/>
  <c r="AI42" i="5"/>
  <c r="AQ42" i="5"/>
  <c r="H42" i="5"/>
  <c r="AO42" i="5"/>
  <c r="AT42" i="5"/>
  <c r="AM42" i="5"/>
  <c r="AF42" i="5"/>
  <c r="AN42" i="5"/>
  <c r="BJ41" i="5"/>
  <c r="V41" i="5"/>
  <c r="AB40" i="5"/>
  <c r="BI41" i="5"/>
  <c r="BL41" i="5"/>
  <c r="BK41" i="5"/>
  <c r="AA41" i="5"/>
  <c r="CB36" i="5"/>
  <c r="BZ36" i="5"/>
  <c r="BV35" i="5"/>
  <c r="BT35" i="5"/>
  <c r="BP35" i="5"/>
  <c r="BN35" i="5"/>
  <c r="BO35" i="5"/>
  <c r="BO36" i="5" s="1"/>
  <c r="CA36" i="5"/>
  <c r="AD37" i="5"/>
  <c r="BY37" i="5" s="1"/>
  <c r="Y37" i="5"/>
  <c r="BM37" i="5" s="1"/>
  <c r="X38" i="5"/>
  <c r="BU35" i="5"/>
  <c r="T41" i="5"/>
  <c r="U40" i="5"/>
  <c r="BF41" i="5"/>
  <c r="BG40" i="5"/>
  <c r="BH40" i="5" s="1"/>
  <c r="BB38" i="5"/>
  <c r="R40" i="5"/>
  <c r="S39" i="5"/>
  <c r="Z41" i="5"/>
  <c r="BP36" i="5"/>
  <c r="BN36" i="5"/>
  <c r="D43" i="5" l="1"/>
  <c r="AU43" i="5"/>
  <c r="L43" i="5"/>
  <c r="BS37" i="5"/>
  <c r="BT37" i="5" s="1"/>
  <c r="BR31" i="5"/>
  <c r="BQ32" i="5"/>
  <c r="BZ41" i="5"/>
  <c r="CB41" i="5"/>
  <c r="AD41" i="5"/>
  <c r="BX32" i="5"/>
  <c r="BW33" i="5"/>
  <c r="E42" i="5"/>
  <c r="BA42" i="5" s="1"/>
  <c r="BM42" i="5"/>
  <c r="CA41" i="5"/>
  <c r="CD41" i="5"/>
  <c r="AE41" i="5"/>
  <c r="P41" i="5"/>
  <c r="Q41" i="5"/>
  <c r="O41" i="5"/>
  <c r="BA41" i="5"/>
  <c r="M41" i="5"/>
  <c r="N41" i="5"/>
  <c r="CC41" i="5"/>
  <c r="AC41" i="5"/>
  <c r="BY41" i="5"/>
  <c r="CD33" i="5"/>
  <c r="CC34" i="5"/>
  <c r="BI42" i="5"/>
  <c r="AX41" i="5"/>
  <c r="BC41" i="5" s="1"/>
  <c r="AZ41" i="5"/>
  <c r="AA42" i="5"/>
  <c r="AV42" i="5"/>
  <c r="W41" i="5"/>
  <c r="K42" i="5"/>
  <c r="BE42" i="5"/>
  <c r="AW42" i="5"/>
  <c r="AZ42" i="5" s="1"/>
  <c r="AB41" i="5"/>
  <c r="BJ42" i="5"/>
  <c r="BL42" i="5"/>
  <c r="BK42" i="5"/>
  <c r="AL43" i="5"/>
  <c r="J43" i="5"/>
  <c r="C43" i="5"/>
  <c r="BS43" i="5" s="1"/>
  <c r="B44" i="5"/>
  <c r="AK43" i="5"/>
  <c r="AJ43" i="5"/>
  <c r="F43" i="5"/>
  <c r="AH43" i="5"/>
  <c r="AI43" i="5"/>
  <c r="AP43" i="5"/>
  <c r="G43" i="5"/>
  <c r="AQ43" i="5"/>
  <c r="AN43" i="5"/>
  <c r="AS43" i="5"/>
  <c r="AO43" i="5"/>
  <c r="I43" i="5"/>
  <c r="H43" i="5"/>
  <c r="AG43" i="5"/>
  <c r="AR43" i="5"/>
  <c r="AT43" i="5"/>
  <c r="AF43" i="5"/>
  <c r="AM43" i="5"/>
  <c r="V42" i="5"/>
  <c r="BU36" i="5"/>
  <c r="CA37" i="5"/>
  <c r="CB37" i="5"/>
  <c r="BZ37" i="5"/>
  <c r="AD38" i="5"/>
  <c r="Y38" i="5"/>
  <c r="X39" i="5"/>
  <c r="BV36" i="5"/>
  <c r="BT36" i="5"/>
  <c r="BF42" i="5"/>
  <c r="BG41" i="5"/>
  <c r="BH41" i="5" s="1"/>
  <c r="U41" i="5"/>
  <c r="T42" i="5"/>
  <c r="U42" i="5" s="1"/>
  <c r="Z42" i="5"/>
  <c r="BB39" i="5"/>
  <c r="R41" i="5"/>
  <c r="S40" i="5"/>
  <c r="BO37" i="5"/>
  <c r="BP37" i="5"/>
  <c r="BN37" i="5"/>
  <c r="D44" i="5" l="1"/>
  <c r="AU44" i="5"/>
  <c r="BR32" i="5"/>
  <c r="BQ33" i="5"/>
  <c r="BX33" i="5"/>
  <c r="BW34" i="5"/>
  <c r="E43" i="5"/>
  <c r="O43" i="5" s="1"/>
  <c r="BM43" i="5"/>
  <c r="CD42" i="5"/>
  <c r="BD42" i="5"/>
  <c r="O42" i="5"/>
  <c r="CC42" i="5"/>
  <c r="M42" i="5"/>
  <c r="AD42" i="5"/>
  <c r="AE42" i="5"/>
  <c r="BY42" i="5"/>
  <c r="BZ42" i="5"/>
  <c r="AC42" i="5"/>
  <c r="N42" i="5"/>
  <c r="Q42" i="5"/>
  <c r="CA42" i="5"/>
  <c r="P42" i="5"/>
  <c r="CB42" i="5"/>
  <c r="CD34" i="5"/>
  <c r="CC35" i="5"/>
  <c r="AB42" i="5"/>
  <c r="AY42" i="5"/>
  <c r="W42" i="5"/>
  <c r="AV43" i="5"/>
  <c r="AX42" i="5"/>
  <c r="BC42" i="5" s="1"/>
  <c r="AL44" i="5"/>
  <c r="AJ44" i="5"/>
  <c r="AH44" i="5"/>
  <c r="AK44" i="5"/>
  <c r="B45" i="5"/>
  <c r="AQ44" i="5"/>
  <c r="J44" i="5"/>
  <c r="F44" i="5"/>
  <c r="AN44" i="5"/>
  <c r="C44" i="5"/>
  <c r="BS44" i="5" s="1"/>
  <c r="AP44" i="5"/>
  <c r="AS44" i="5"/>
  <c r="G44" i="5"/>
  <c r="AR44" i="5"/>
  <c r="H44" i="5"/>
  <c r="AF44" i="5"/>
  <c r="AO44" i="5"/>
  <c r="I44" i="5"/>
  <c r="AI44" i="5"/>
  <c r="AG44" i="5"/>
  <c r="AT44" i="5"/>
  <c r="AM44" i="5"/>
  <c r="AA43" i="5"/>
  <c r="V43" i="5"/>
  <c r="K43" i="5"/>
  <c r="W43" i="5" s="1"/>
  <c r="AW43" i="5"/>
  <c r="AY43" i="5" s="1"/>
  <c r="BE43" i="5"/>
  <c r="T43" i="5"/>
  <c r="Z43" i="5"/>
  <c r="BJ43" i="5"/>
  <c r="BI43" i="5"/>
  <c r="BL43" i="5"/>
  <c r="BK43" i="5"/>
  <c r="L44" i="5"/>
  <c r="BU38" i="5"/>
  <c r="BN38" i="5"/>
  <c r="BT38" i="5"/>
  <c r="BP38" i="5"/>
  <c r="BO38" i="5"/>
  <c r="Y39" i="5"/>
  <c r="X40" i="5"/>
  <c r="BU37" i="5"/>
  <c r="BV37" i="5"/>
  <c r="CC38" i="5"/>
  <c r="CD38" i="5" s="1"/>
  <c r="BG42" i="5"/>
  <c r="BH42" i="5" s="1"/>
  <c r="BF43" i="5"/>
  <c r="BF44" i="5" s="1"/>
  <c r="BB40" i="5"/>
  <c r="R42" i="5"/>
  <c r="R43" i="5" s="1"/>
  <c r="S41" i="5"/>
  <c r="D45" i="5" l="1"/>
  <c r="AU45" i="5"/>
  <c r="BR33" i="5"/>
  <c r="BQ34" i="5"/>
  <c r="BX34" i="5"/>
  <c r="BW35" i="5"/>
  <c r="E44" i="5"/>
  <c r="M44" i="5" s="1"/>
  <c r="BM44" i="5"/>
  <c r="AD43" i="5"/>
  <c r="BZ43" i="5"/>
  <c r="CB43" i="5"/>
  <c r="Q43" i="5"/>
  <c r="CC43" i="5"/>
  <c r="BD43" i="5"/>
  <c r="CD43" i="5"/>
  <c r="BY43" i="5"/>
  <c r="P43" i="5"/>
  <c r="AC43" i="5"/>
  <c r="M43" i="5"/>
  <c r="CA43" i="5"/>
  <c r="BA43" i="5"/>
  <c r="N43" i="5"/>
  <c r="AE43" i="5"/>
  <c r="AX43" i="5"/>
  <c r="BC43" i="5" s="1"/>
  <c r="AB43" i="5"/>
  <c r="U43" i="5"/>
  <c r="S43" i="5"/>
  <c r="BB43" i="5" s="1"/>
  <c r="BG43" i="5"/>
  <c r="BH43" i="5" s="1"/>
  <c r="AZ43" i="5"/>
  <c r="CD35" i="5"/>
  <c r="CC36" i="5"/>
  <c r="AZ44" i="5"/>
  <c r="AY44" i="5"/>
  <c r="AV44" i="5"/>
  <c r="AX44" i="5" s="1"/>
  <c r="BC44" i="5" s="1"/>
  <c r="AA44" i="5"/>
  <c r="T44" i="5"/>
  <c r="R44" i="5"/>
  <c r="S44" i="5" s="1"/>
  <c r="BF45" i="5"/>
  <c r="BI44" i="5"/>
  <c r="V44" i="5"/>
  <c r="BE44" i="5"/>
  <c r="Z44" i="5"/>
  <c r="BG44" i="5"/>
  <c r="BH44" i="5" s="1"/>
  <c r="BJ44" i="5"/>
  <c r="AW44" i="5"/>
  <c r="K44" i="5"/>
  <c r="AL45" i="5"/>
  <c r="AQ45" i="5"/>
  <c r="AP45" i="5"/>
  <c r="AG45" i="5"/>
  <c r="J45" i="5"/>
  <c r="AT45" i="5"/>
  <c r="F45" i="5"/>
  <c r="H45" i="5"/>
  <c r="AS45" i="5"/>
  <c r="L45" i="5"/>
  <c r="B46" i="5"/>
  <c r="I45" i="5"/>
  <c r="AH45" i="5"/>
  <c r="G45" i="5"/>
  <c r="AR45" i="5"/>
  <c r="C45" i="5"/>
  <c r="BS45" i="5" s="1"/>
  <c r="AO45" i="5"/>
  <c r="AK45" i="5"/>
  <c r="AJ45" i="5"/>
  <c r="AN45" i="5"/>
  <c r="AI45" i="5"/>
  <c r="AF45" i="5"/>
  <c r="AM45" i="5"/>
  <c r="BL44" i="5"/>
  <c r="BK44" i="5"/>
  <c r="BT39" i="5"/>
  <c r="BV38" i="5"/>
  <c r="BU39" i="5"/>
  <c r="BV39" i="5"/>
  <c r="X41" i="5"/>
  <c r="Y40" i="5"/>
  <c r="BB41" i="5"/>
  <c r="S42" i="5"/>
  <c r="D46" i="5" l="1"/>
  <c r="AU46" i="5"/>
  <c r="BR34" i="5"/>
  <c r="BQ35" i="5"/>
  <c r="BX35" i="5"/>
  <c r="BW36" i="5"/>
  <c r="E45" i="5"/>
  <c r="BA45" i="5" s="1"/>
  <c r="BM45" i="5"/>
  <c r="AC44" i="5"/>
  <c r="P44" i="5"/>
  <c r="BY44" i="5"/>
  <c r="BZ44" i="5"/>
  <c r="CB44" i="5"/>
  <c r="BD44" i="5"/>
  <c r="Q44" i="5"/>
  <c r="BA44" i="5"/>
  <c r="O44" i="5"/>
  <c r="CD44" i="5"/>
  <c r="AE44" i="5"/>
  <c r="CC44" i="5"/>
  <c r="CA44" i="5"/>
  <c r="AD44" i="5"/>
  <c r="N44" i="5"/>
  <c r="U44" i="5"/>
  <c r="AB44" i="5"/>
  <c r="W44" i="5"/>
  <c r="BQ38" i="5"/>
  <c r="BR38" i="5" s="1"/>
  <c r="BB44" i="5"/>
  <c r="CD36" i="5"/>
  <c r="CC37" i="5"/>
  <c r="CD37" i="5" s="1"/>
  <c r="BW38" i="5"/>
  <c r="BX38" i="5" s="1"/>
  <c r="AV45" i="5"/>
  <c r="AA45" i="5"/>
  <c r="AW45" i="5"/>
  <c r="AX45" i="5" s="1"/>
  <c r="BC45" i="5" s="1"/>
  <c r="V45" i="5"/>
  <c r="BE45" i="5"/>
  <c r="BF46" i="5"/>
  <c r="Z45" i="5"/>
  <c r="R45" i="5"/>
  <c r="BJ45" i="5"/>
  <c r="T45" i="5"/>
  <c r="U45" i="5" s="1"/>
  <c r="BI45" i="5"/>
  <c r="BG45" i="5"/>
  <c r="BH45" i="5" s="1"/>
  <c r="K45" i="5"/>
  <c r="BO39" i="5"/>
  <c r="BO40" i="5" s="1"/>
  <c r="BP39" i="5"/>
  <c r="BQ39" i="5" s="1"/>
  <c r="BK45" i="5"/>
  <c r="BL45" i="5"/>
  <c r="BN39" i="5"/>
  <c r="AL46" i="5"/>
  <c r="AR46" i="5"/>
  <c r="AM46" i="5"/>
  <c r="B47" i="5"/>
  <c r="AP46" i="5"/>
  <c r="J46" i="5"/>
  <c r="AJ46" i="5"/>
  <c r="C46" i="5"/>
  <c r="BS46" i="5" s="1"/>
  <c r="AI46" i="5"/>
  <c r="AN46" i="5"/>
  <c r="H46" i="5"/>
  <c r="AF46" i="5"/>
  <c r="F46" i="5"/>
  <c r="AQ46" i="5"/>
  <c r="AS46" i="5"/>
  <c r="AH46" i="5"/>
  <c r="AG46" i="5"/>
  <c r="G46" i="5"/>
  <c r="AO46" i="5"/>
  <c r="AK46" i="5"/>
  <c r="I46" i="5"/>
  <c r="L46" i="5"/>
  <c r="AT46" i="5"/>
  <c r="BP40" i="5"/>
  <c r="BT40" i="5"/>
  <c r="BN40" i="5"/>
  <c r="BU40" i="5"/>
  <c r="Y41" i="5"/>
  <c r="X42" i="5"/>
  <c r="BB42" i="5"/>
  <c r="D47" i="5" l="1"/>
  <c r="AU47" i="5"/>
  <c r="BR35" i="5"/>
  <c r="BQ36" i="5"/>
  <c r="BX36" i="5"/>
  <c r="BW37" i="5"/>
  <c r="BX37" i="5" s="1"/>
  <c r="E46" i="5"/>
  <c r="AC46" i="5" s="1"/>
  <c r="BM46" i="5"/>
  <c r="CB45" i="5"/>
  <c r="CA45" i="5"/>
  <c r="M45" i="5"/>
  <c r="BY45" i="5"/>
  <c r="BZ45" i="5"/>
  <c r="AD45" i="5"/>
  <c r="AC45" i="5"/>
  <c r="N45" i="5"/>
  <c r="CC45" i="5"/>
  <c r="BD45" i="5"/>
  <c r="P45" i="5"/>
  <c r="CD45" i="5"/>
  <c r="AE45" i="5"/>
  <c r="Q45" i="5"/>
  <c r="O45" i="5"/>
  <c r="AB45" i="5"/>
  <c r="S45" i="5"/>
  <c r="BB45" i="5"/>
  <c r="AY45" i="5"/>
  <c r="AZ45" i="5"/>
  <c r="Y42" i="5"/>
  <c r="X43" i="5"/>
  <c r="W45" i="5"/>
  <c r="BW39" i="5"/>
  <c r="BX39" i="5" s="1"/>
  <c r="AV46" i="5"/>
  <c r="BK46" i="5"/>
  <c r="BL46" i="5"/>
  <c r="AA46" i="5"/>
  <c r="BG46" i="5"/>
  <c r="BH46" i="5" s="1"/>
  <c r="T46" i="5"/>
  <c r="V46" i="5"/>
  <c r="AW46" i="5"/>
  <c r="AZ46" i="5" s="1"/>
  <c r="K46" i="5"/>
  <c r="Z46" i="5"/>
  <c r="R46" i="5"/>
  <c r="BJ46" i="5"/>
  <c r="BI46" i="5"/>
  <c r="BE46" i="5"/>
  <c r="BF47" i="5"/>
  <c r="AL47" i="5"/>
  <c r="AF47" i="5"/>
  <c r="J47" i="5"/>
  <c r="AK47" i="5"/>
  <c r="H47" i="5"/>
  <c r="AR47" i="5"/>
  <c r="AJ47" i="5"/>
  <c r="AH47" i="5"/>
  <c r="AI47" i="5"/>
  <c r="AG47" i="5"/>
  <c r="AS47" i="5"/>
  <c r="AQ47" i="5"/>
  <c r="I47" i="5"/>
  <c r="AM47" i="5"/>
  <c r="B48" i="5"/>
  <c r="AT47" i="5"/>
  <c r="G47" i="5"/>
  <c r="AP47" i="5"/>
  <c r="AO47" i="5"/>
  <c r="AN47" i="5"/>
  <c r="F47" i="5"/>
  <c r="L47" i="5"/>
  <c r="C47" i="5"/>
  <c r="BS47" i="5" s="1"/>
  <c r="BV41" i="5"/>
  <c r="BO41" i="5"/>
  <c r="BV40" i="5"/>
  <c r="BQ40" i="5"/>
  <c r="BR40" i="5" s="1"/>
  <c r="BR39" i="5"/>
  <c r="BT41" i="5"/>
  <c r="BN41" i="5"/>
  <c r="BP41" i="5"/>
  <c r="D48" i="5" l="1"/>
  <c r="AU48" i="5"/>
  <c r="BR36" i="5"/>
  <c r="BQ37" i="5"/>
  <c r="BR37" i="5" s="1"/>
  <c r="E47" i="5"/>
  <c r="BD47" i="5" s="1"/>
  <c r="BM47" i="5"/>
  <c r="P46" i="5"/>
  <c r="N46" i="5"/>
  <c r="AE46" i="5"/>
  <c r="BD46" i="5"/>
  <c r="CA46" i="5"/>
  <c r="CD46" i="5"/>
  <c r="CB46" i="5"/>
  <c r="M46" i="5"/>
  <c r="BZ46" i="5"/>
  <c r="CC46" i="5"/>
  <c r="AD46" i="5"/>
  <c r="Q46" i="5"/>
  <c r="BY46" i="5"/>
  <c r="BA46" i="5"/>
  <c r="O46" i="5"/>
  <c r="AB46" i="5"/>
  <c r="W46" i="5"/>
  <c r="U46" i="5"/>
  <c r="AX46" i="5"/>
  <c r="BC46" i="5" s="1"/>
  <c r="AY46" i="5"/>
  <c r="Y43" i="5"/>
  <c r="X44" i="5"/>
  <c r="BV42" i="5"/>
  <c r="S46" i="5"/>
  <c r="BW40" i="5"/>
  <c r="BX40" i="5" s="1"/>
  <c r="AY47" i="5"/>
  <c r="AV47" i="5"/>
  <c r="AX47" i="5" s="1"/>
  <c r="BC47" i="5" s="1"/>
  <c r="BU41" i="5"/>
  <c r="BL47" i="5"/>
  <c r="BK47" i="5"/>
  <c r="AA47" i="5"/>
  <c r="BI47" i="5"/>
  <c r="K47" i="5"/>
  <c r="U47" i="5" s="1"/>
  <c r="V47" i="5"/>
  <c r="BG47" i="5"/>
  <c r="AW47" i="5"/>
  <c r="AZ47" i="5" s="1"/>
  <c r="BF48" i="5"/>
  <c r="BH47" i="5"/>
  <c r="BE47" i="5"/>
  <c r="R47" i="5"/>
  <c r="BJ47" i="5"/>
  <c r="T47" i="5"/>
  <c r="Z47" i="5"/>
  <c r="AL48" i="5"/>
  <c r="L48" i="5"/>
  <c r="AP48" i="5"/>
  <c r="AQ48" i="5"/>
  <c r="AO48" i="5"/>
  <c r="AI48" i="5"/>
  <c r="AR48" i="5"/>
  <c r="AS48" i="5"/>
  <c r="AM48" i="5"/>
  <c r="AH48" i="5"/>
  <c r="AJ48" i="5"/>
  <c r="AK48" i="5"/>
  <c r="AN48" i="5"/>
  <c r="AG48" i="5"/>
  <c r="G48" i="5"/>
  <c r="H48" i="5"/>
  <c r="AF48" i="5"/>
  <c r="I48" i="5"/>
  <c r="C48" i="5"/>
  <c r="BS48" i="5" s="1"/>
  <c r="J48" i="5"/>
  <c r="F48" i="5"/>
  <c r="B49" i="5"/>
  <c r="AT48" i="5"/>
  <c r="BO42" i="5"/>
  <c r="BN42" i="5"/>
  <c r="BT42" i="5"/>
  <c r="BP42" i="5"/>
  <c r="BU42" i="5"/>
  <c r="BQ41" i="5"/>
  <c r="D49" i="5" l="1"/>
  <c r="AU49" i="5"/>
  <c r="E48" i="5"/>
  <c r="BA48" i="5" s="1"/>
  <c r="BM48" i="5"/>
  <c r="CD47" i="5"/>
  <c r="M47" i="5"/>
  <c r="CC47" i="5"/>
  <c r="CB47" i="5"/>
  <c r="O47" i="5"/>
  <c r="AD47" i="5"/>
  <c r="P47" i="5"/>
  <c r="AE47" i="5"/>
  <c r="BZ47" i="5"/>
  <c r="N47" i="5"/>
  <c r="BY47" i="5"/>
  <c r="AC47" i="5"/>
  <c r="Q47" i="5"/>
  <c r="CA47" i="5"/>
  <c r="BA47" i="5"/>
  <c r="W47" i="5"/>
  <c r="AB47" i="5"/>
  <c r="S47" i="5"/>
  <c r="BB47" i="5" s="1"/>
  <c r="BB46" i="5"/>
  <c r="Y44" i="5"/>
  <c r="X45" i="5"/>
  <c r="BW41" i="5"/>
  <c r="BX41" i="5" s="1"/>
  <c r="AV48" i="5"/>
  <c r="BL48" i="5"/>
  <c r="BK48" i="5"/>
  <c r="AA48" i="5"/>
  <c r="AW48" i="5"/>
  <c r="AZ48" i="5" s="1"/>
  <c r="BE48" i="5"/>
  <c r="BI48" i="5"/>
  <c r="R48" i="5"/>
  <c r="BF49" i="5"/>
  <c r="K48" i="5"/>
  <c r="Z48" i="5"/>
  <c r="T48" i="5"/>
  <c r="BJ48" i="5"/>
  <c r="V48" i="5"/>
  <c r="BG48" i="5"/>
  <c r="BH48" i="5" s="1"/>
  <c r="AL49" i="5"/>
  <c r="C49" i="5"/>
  <c r="BS49" i="5" s="1"/>
  <c r="AM49" i="5"/>
  <c r="AR49" i="5"/>
  <c r="I49" i="5"/>
  <c r="AH49" i="5"/>
  <c r="AK49" i="5"/>
  <c r="L49" i="5"/>
  <c r="AJ49" i="5"/>
  <c r="AP49" i="5"/>
  <c r="AI49" i="5"/>
  <c r="AQ49" i="5"/>
  <c r="AS49" i="5"/>
  <c r="AF49" i="5"/>
  <c r="J49" i="5"/>
  <c r="G49" i="5"/>
  <c r="AN49" i="5"/>
  <c r="H49" i="5"/>
  <c r="AT49" i="5"/>
  <c r="AO49" i="5"/>
  <c r="AG49" i="5"/>
  <c r="B50" i="5"/>
  <c r="F49" i="5"/>
  <c r="BQ42" i="5"/>
  <c r="BR41" i="5"/>
  <c r="D50" i="5" l="1"/>
  <c r="AU50" i="5"/>
  <c r="E49" i="5"/>
  <c r="BA49" i="5" s="1"/>
  <c r="BM49" i="5"/>
  <c r="AD48" i="5"/>
  <c r="P48" i="5"/>
  <c r="AC48" i="5"/>
  <c r="Q48" i="5"/>
  <c r="CB48" i="5"/>
  <c r="BD48" i="5"/>
  <c r="CD48" i="5"/>
  <c r="BZ48" i="5"/>
  <c r="O48" i="5"/>
  <c r="BY48" i="5"/>
  <c r="M48" i="5"/>
  <c r="CA48" i="5"/>
  <c r="CC48" i="5"/>
  <c r="AE48" i="5"/>
  <c r="N48" i="5"/>
  <c r="AX48" i="5"/>
  <c r="BC48" i="5" s="1"/>
  <c r="AY48" i="5"/>
  <c r="S48" i="5"/>
  <c r="BB48" i="5"/>
  <c r="BN43" i="5"/>
  <c r="BP43" i="5"/>
  <c r="BQ43" i="5" s="1"/>
  <c r="BT43" i="5"/>
  <c r="Y45" i="5"/>
  <c r="X46" i="5"/>
  <c r="BU44" i="5"/>
  <c r="AB48" i="5"/>
  <c r="BV43" i="5"/>
  <c r="BU43" i="5"/>
  <c r="BO43" i="5"/>
  <c r="BO44" i="5" s="1"/>
  <c r="W48" i="5"/>
  <c r="U48" i="5"/>
  <c r="BR42" i="5"/>
  <c r="BW42" i="5"/>
  <c r="AV49" i="5"/>
  <c r="BL49" i="5"/>
  <c r="BK49" i="5"/>
  <c r="AL50" i="5"/>
  <c r="F50" i="5"/>
  <c r="AI50" i="5"/>
  <c r="AT50" i="5"/>
  <c r="AM50" i="5"/>
  <c r="AH50" i="5"/>
  <c r="AQ50" i="5"/>
  <c r="C50" i="5"/>
  <c r="BS50" i="5" s="1"/>
  <c r="J50" i="5"/>
  <c r="L50" i="5"/>
  <c r="AK50" i="5"/>
  <c r="I50" i="5"/>
  <c r="AF50" i="5"/>
  <c r="AP50" i="5"/>
  <c r="G50" i="5"/>
  <c r="AN50" i="5"/>
  <c r="H50" i="5"/>
  <c r="AJ50" i="5"/>
  <c r="AG50" i="5"/>
  <c r="AS50" i="5"/>
  <c r="B51" i="5"/>
  <c r="AO50" i="5"/>
  <c r="AR50" i="5"/>
  <c r="AA49" i="5"/>
  <c r="BF50" i="5"/>
  <c r="AW49" i="5"/>
  <c r="AZ49" i="5" s="1"/>
  <c r="R49" i="5"/>
  <c r="BE49" i="5"/>
  <c r="T49" i="5"/>
  <c r="BH49" i="5"/>
  <c r="V49" i="5"/>
  <c r="K49" i="5"/>
  <c r="AB49" i="5" s="1"/>
  <c r="BI49" i="5"/>
  <c r="Z49" i="5"/>
  <c r="BJ49" i="5"/>
  <c r="BG49" i="5"/>
  <c r="D51" i="5" l="1"/>
  <c r="AU51" i="5"/>
  <c r="E50" i="5"/>
  <c r="BA50" i="5" s="1"/>
  <c r="BM50" i="5"/>
  <c r="BZ49" i="5"/>
  <c r="CD49" i="5"/>
  <c r="N49" i="5"/>
  <c r="Q49" i="5"/>
  <c r="CB49" i="5"/>
  <c r="AE49" i="5"/>
  <c r="M49" i="5"/>
  <c r="P49" i="5"/>
  <c r="BY49" i="5"/>
  <c r="AC49" i="5"/>
  <c r="CC49" i="5"/>
  <c r="CA49" i="5"/>
  <c r="AD49" i="5"/>
  <c r="BD49" i="5"/>
  <c r="O49" i="5"/>
  <c r="W49" i="5"/>
  <c r="AX49" i="5"/>
  <c r="BC49" i="5" s="1"/>
  <c r="BR43" i="5"/>
  <c r="BT44" i="5"/>
  <c r="BP44" i="5"/>
  <c r="BQ44" i="5" s="1"/>
  <c r="BN44" i="5"/>
  <c r="AY49" i="5"/>
  <c r="U49" i="5"/>
  <c r="BO45" i="5"/>
  <c r="S49" i="5"/>
  <c r="BX42" i="5"/>
  <c r="BW43" i="5"/>
  <c r="BX43" i="5" s="1"/>
  <c r="BV44" i="5"/>
  <c r="Y46" i="5"/>
  <c r="X47" i="5"/>
  <c r="AV50" i="5"/>
  <c r="AA50" i="5"/>
  <c r="BI50" i="5"/>
  <c r="BF51" i="5"/>
  <c r="K50" i="5"/>
  <c r="Z50" i="5"/>
  <c r="R50" i="5"/>
  <c r="BE50" i="5"/>
  <c r="BG50" i="5"/>
  <c r="BH50" i="5" s="1"/>
  <c r="BJ50" i="5"/>
  <c r="AW50" i="5"/>
  <c r="AZ50" i="5" s="1"/>
  <c r="AB50" i="5"/>
  <c r="T50" i="5"/>
  <c r="U50" i="5" s="1"/>
  <c r="V50" i="5"/>
  <c r="W50" i="5" s="1"/>
  <c r="AL51" i="5"/>
  <c r="L51" i="5"/>
  <c r="C51" i="5"/>
  <c r="BS51" i="5" s="1"/>
  <c r="AF51" i="5"/>
  <c r="AJ51" i="5"/>
  <c r="AQ51" i="5"/>
  <c r="AP51" i="5"/>
  <c r="AS51" i="5"/>
  <c r="AI51" i="5"/>
  <c r="AT51" i="5"/>
  <c r="J51" i="5"/>
  <c r="AH51" i="5"/>
  <c r="AK51" i="5"/>
  <c r="I51" i="5"/>
  <c r="G51" i="5"/>
  <c r="AM51" i="5"/>
  <c r="AO51" i="5"/>
  <c r="AR51" i="5"/>
  <c r="AG51" i="5"/>
  <c r="B52" i="5"/>
  <c r="H51" i="5"/>
  <c r="AN51" i="5"/>
  <c r="F51" i="5"/>
  <c r="BK50" i="5"/>
  <c r="BL50" i="5"/>
  <c r="D52" i="5" l="1"/>
  <c r="AU52" i="5"/>
  <c r="E51" i="5"/>
  <c r="BA51" i="5" s="1"/>
  <c r="BM51" i="5"/>
  <c r="Q50" i="5"/>
  <c r="BY50" i="5"/>
  <c r="BD50" i="5"/>
  <c r="AD50" i="5"/>
  <c r="AC50" i="5"/>
  <c r="M50" i="5"/>
  <c r="P50" i="5"/>
  <c r="CA50" i="5"/>
  <c r="CB50" i="5"/>
  <c r="CD50" i="5"/>
  <c r="O50" i="5"/>
  <c r="AE50" i="5"/>
  <c r="BZ50" i="5"/>
  <c r="CC50" i="5"/>
  <c r="N50" i="5"/>
  <c r="AX50" i="5"/>
  <c r="BC50" i="5" s="1"/>
  <c r="S50" i="5"/>
  <c r="BB50" i="5" s="1"/>
  <c r="BR44" i="5"/>
  <c r="BV45" i="5"/>
  <c r="BW44" i="5"/>
  <c r="AY50" i="5"/>
  <c r="BN45" i="5"/>
  <c r="BP45" i="5"/>
  <c r="BQ45" i="5" s="1"/>
  <c r="BT45" i="5"/>
  <c r="BB49" i="5"/>
  <c r="Y47" i="5"/>
  <c r="X48" i="5"/>
  <c r="BU46" i="5"/>
  <c r="BO46" i="5"/>
  <c r="BU45" i="5"/>
  <c r="AV51" i="5"/>
  <c r="AX51" i="5" s="1"/>
  <c r="BC51" i="5" s="1"/>
  <c r="AA51" i="5"/>
  <c r="U51" i="5"/>
  <c r="R51" i="5"/>
  <c r="BJ51" i="5"/>
  <c r="Z51" i="5"/>
  <c r="T51" i="5"/>
  <c r="BE51" i="5"/>
  <c r="BF52" i="5"/>
  <c r="AW51" i="5"/>
  <c r="AZ51" i="5" s="1"/>
  <c r="K51" i="5"/>
  <c r="S51" i="5" s="1"/>
  <c r="V51" i="5"/>
  <c r="BI51" i="5"/>
  <c r="BG51" i="5"/>
  <c r="BH51" i="5" s="1"/>
  <c r="AL52" i="5"/>
  <c r="G52" i="5"/>
  <c r="G53" i="5" s="1"/>
  <c r="AR52" i="5"/>
  <c r="H52" i="5"/>
  <c r="H53" i="5" s="1"/>
  <c r="J52" i="5"/>
  <c r="AT52" i="5"/>
  <c r="F52" i="5"/>
  <c r="F53" i="5" s="1"/>
  <c r="AN52" i="5"/>
  <c r="AK52" i="5"/>
  <c r="AH52" i="5"/>
  <c r="AP52" i="5"/>
  <c r="AG52" i="5"/>
  <c r="I52" i="5"/>
  <c r="I53" i="5" s="1"/>
  <c r="AS52" i="5"/>
  <c r="AQ52" i="5"/>
  <c r="AO52" i="5"/>
  <c r="AI52" i="5"/>
  <c r="L52" i="5"/>
  <c r="C52" i="5"/>
  <c r="BS52" i="5" s="1"/>
  <c r="AM52" i="5"/>
  <c r="AJ52" i="5"/>
  <c r="AF52" i="5"/>
  <c r="BK51" i="5"/>
  <c r="BL51" i="5"/>
  <c r="E52" i="5" l="1"/>
  <c r="BZ52" i="5" s="1"/>
  <c r="BM52" i="5"/>
  <c r="Q51" i="5"/>
  <c r="BY51" i="5"/>
  <c r="N51" i="5"/>
  <c r="BZ51" i="5"/>
  <c r="CD51" i="5"/>
  <c r="P51" i="5"/>
  <c r="CC51" i="5"/>
  <c r="AC51" i="5"/>
  <c r="AE51" i="5"/>
  <c r="BD51" i="5"/>
  <c r="M51" i="5"/>
  <c r="CA51" i="5"/>
  <c r="CB51" i="5"/>
  <c r="O51" i="5"/>
  <c r="AD51" i="5"/>
  <c r="AB51" i="5"/>
  <c r="W51" i="5"/>
  <c r="BR45" i="5"/>
  <c r="BW45" i="5"/>
  <c r="BX45" i="5" s="1"/>
  <c r="BX44" i="5"/>
  <c r="AY51" i="5"/>
  <c r="BT46" i="5"/>
  <c r="BN46" i="5"/>
  <c r="BP46" i="5"/>
  <c r="BQ46" i="5" s="1"/>
  <c r="BB51" i="5"/>
  <c r="BV46" i="5"/>
  <c r="Y48" i="5"/>
  <c r="X49" i="5"/>
  <c r="BU47" i="5"/>
  <c r="BO47" i="5"/>
  <c r="AV52" i="5"/>
  <c r="AL54" i="5"/>
  <c r="AL53" i="5"/>
  <c r="AI54" i="5"/>
  <c r="AI53" i="5"/>
  <c r="AQ54" i="5"/>
  <c r="AQ53" i="5"/>
  <c r="AH53" i="5"/>
  <c r="AH54" i="5"/>
  <c r="AO54" i="5"/>
  <c r="AO53" i="5"/>
  <c r="AP53" i="5"/>
  <c r="AP54" i="5"/>
  <c r="AK53" i="5"/>
  <c r="AK54" i="5"/>
  <c r="BL52" i="5"/>
  <c r="BL53" i="5" s="1"/>
  <c r="BK52" i="5"/>
  <c r="BK53" i="5" s="1"/>
  <c r="D53" i="5"/>
  <c r="AS54" i="5"/>
  <c r="AS53" i="5"/>
  <c r="AN54" i="5"/>
  <c r="AN53" i="5"/>
  <c r="AG54" i="5"/>
  <c r="AG53" i="5"/>
  <c r="AF53" i="5"/>
  <c r="AF54" i="5"/>
  <c r="AJ54" i="5"/>
  <c r="AJ53" i="5"/>
  <c r="AM54" i="5"/>
  <c r="AM53" i="5"/>
  <c r="AR54" i="5"/>
  <c r="AR53" i="5"/>
  <c r="AA52" i="5"/>
  <c r="Z52" i="5"/>
  <c r="K52" i="5"/>
  <c r="S52" i="5" s="1"/>
  <c r="BB52" i="5" s="1"/>
  <c r="BG52" i="5"/>
  <c r="BH52" i="5" s="1"/>
  <c r="V52" i="5"/>
  <c r="V54" i="5" s="1"/>
  <c r="AW52" i="5"/>
  <c r="AZ52" i="5" s="1"/>
  <c r="AX52" i="5"/>
  <c r="BC52" i="5" s="1"/>
  <c r="BI52" i="5"/>
  <c r="T52" i="5"/>
  <c r="BE52" i="5"/>
  <c r="BE53" i="5" s="1"/>
  <c r="R52" i="5"/>
  <c r="BJ52" i="5"/>
  <c r="C53" i="5"/>
  <c r="O52" i="5" l="1"/>
  <c r="O54" i="5" s="1"/>
  <c r="H21" i="4" s="1"/>
  <c r="BA52" i="5"/>
  <c r="BA53" i="5" s="1"/>
  <c r="CB52" i="5"/>
  <c r="CB53" i="5" s="1"/>
  <c r="H16" i="4" s="1"/>
  <c r="E53" i="5"/>
  <c r="BK54" i="5" s="1"/>
  <c r="H27" i="4" s="1"/>
  <c r="M52" i="5"/>
  <c r="BY52" i="5"/>
  <c r="H18" i="4" s="1"/>
  <c r="Q52" i="5"/>
  <c r="Q54" i="5" s="1"/>
  <c r="AD52" i="5"/>
  <c r="AD53" i="5" s="1"/>
  <c r="BD52" i="5"/>
  <c r="BD53" i="5" s="1"/>
  <c r="N52" i="5"/>
  <c r="CC52" i="5"/>
  <c r="AE52" i="5"/>
  <c r="AE53" i="5" s="1"/>
  <c r="CA52" i="5"/>
  <c r="P52" i="5"/>
  <c r="P54" i="5" s="1"/>
  <c r="AC52" i="5"/>
  <c r="AC53" i="5" s="1"/>
  <c r="CD52" i="5"/>
  <c r="CD53" i="5" s="1"/>
  <c r="H15" i="4" s="1"/>
  <c r="BB53" i="5"/>
  <c r="U52" i="5"/>
  <c r="U53" i="5" s="1"/>
  <c r="W52" i="5"/>
  <c r="W54" i="5" s="1"/>
  <c r="C26" i="4" s="1"/>
  <c r="BR46" i="5"/>
  <c r="AB52" i="5"/>
  <c r="AB53" i="5" s="1"/>
  <c r="BW46" i="5"/>
  <c r="BO48" i="5"/>
  <c r="Y49" i="5"/>
  <c r="X50" i="5"/>
  <c r="AY52" i="5"/>
  <c r="AY54" i="5" s="1"/>
  <c r="C30" i="4" s="1"/>
  <c r="BT47" i="5"/>
  <c r="BP47" i="5"/>
  <c r="BQ47" i="5" s="1"/>
  <c r="BN47" i="5"/>
  <c r="BV47" i="5"/>
  <c r="BB54" i="5"/>
  <c r="C33" i="4" s="1"/>
  <c r="AZ54" i="5"/>
  <c r="C31" i="4" s="1"/>
  <c r="AZ53" i="5"/>
  <c r="BC54" i="5"/>
  <c r="C34" i="4" s="1"/>
  <c r="BC53" i="5"/>
  <c r="AV54" i="5"/>
  <c r="AV53" i="5"/>
  <c r="AX54" i="5"/>
  <c r="C32" i="4" s="1"/>
  <c r="AX53" i="5"/>
  <c r="S54" i="5"/>
  <c r="C25" i="4" s="1"/>
  <c r="S53" i="5"/>
  <c r="R53" i="5"/>
  <c r="R54" i="5"/>
  <c r="H17" i="4"/>
  <c r="BA65" i="1" s="1"/>
  <c r="BZ53" i="5"/>
  <c r="BI53" i="5"/>
  <c r="BI54" i="5"/>
  <c r="BJ54" i="5"/>
  <c r="BJ53" i="5"/>
  <c r="BH54" i="5"/>
  <c r="C35" i="4" s="1"/>
  <c r="BH53" i="5"/>
  <c r="K54" i="5"/>
  <c r="C70" i="1" s="1"/>
  <c r="K53" i="5"/>
  <c r="C126" i="1" l="1"/>
  <c r="B82" i="4" s="1"/>
  <c r="G14" i="4"/>
  <c r="B14" i="4"/>
  <c r="C59" i="1"/>
  <c r="C46" i="1"/>
  <c r="C22" i="4"/>
  <c r="C24" i="4"/>
  <c r="C23" i="4"/>
  <c r="C21" i="4"/>
  <c r="AC54" i="5"/>
  <c r="H22" i="4" s="1"/>
  <c r="AE54" i="5"/>
  <c r="H24" i="4" s="1"/>
  <c r="O53" i="5"/>
  <c r="BY53" i="5"/>
  <c r="BD54" i="5"/>
  <c r="H26" i="4" s="1"/>
  <c r="AD54" i="5"/>
  <c r="H23" i="4" s="1"/>
  <c r="BA54" i="5"/>
  <c r="C131" i="1" s="1"/>
  <c r="Q53" i="5"/>
  <c r="H14" i="4" s="1"/>
  <c r="P53" i="5"/>
  <c r="BL54" i="5"/>
  <c r="H28" i="4" s="1"/>
  <c r="U54" i="5"/>
  <c r="C29" i="4" s="1"/>
  <c r="W53" i="5"/>
  <c r="AB54" i="5"/>
  <c r="C28" i="4" s="1"/>
  <c r="BR47" i="5"/>
  <c r="BP48" i="5"/>
  <c r="BQ48" i="5" s="1"/>
  <c r="BN48" i="5"/>
  <c r="BT48" i="5"/>
  <c r="AY53" i="5"/>
  <c r="BV48" i="5"/>
  <c r="BO49" i="5"/>
  <c r="BW47" i="5"/>
  <c r="BX46" i="5"/>
  <c r="Y50" i="5"/>
  <c r="X51" i="5"/>
  <c r="BU48" i="5"/>
  <c r="C36" i="4"/>
  <c r="H25" i="4" l="1"/>
  <c r="H29" i="4" s="1"/>
  <c r="B96" i="4"/>
  <c r="BR48" i="5"/>
  <c r="BV49" i="5"/>
  <c r="BU49" i="5"/>
  <c r="Y51" i="5"/>
  <c r="X52" i="5"/>
  <c r="Y52" i="5" s="1"/>
  <c r="BU50" i="5"/>
  <c r="BO50" i="5"/>
  <c r="BW48" i="5"/>
  <c r="BX48" i="5" s="1"/>
  <c r="BX47" i="5"/>
  <c r="BN49" i="5"/>
  <c r="BP49" i="5"/>
  <c r="BQ49" i="5" s="1"/>
  <c r="BT49" i="5"/>
  <c r="BR49" i="5" l="1"/>
  <c r="BT50" i="5"/>
  <c r="BP50" i="5"/>
  <c r="BQ50" i="5" s="1"/>
  <c r="BN50" i="5"/>
  <c r="Y54" i="5"/>
  <c r="C27" i="4" s="1"/>
  <c r="C37" i="4" s="1"/>
  <c r="Y53" i="5"/>
  <c r="BW49" i="5"/>
  <c r="BX49" i="5" s="1"/>
  <c r="BV50" i="5"/>
  <c r="BS53" i="5" l="1"/>
  <c r="B18" i="4"/>
  <c r="BR50" i="5"/>
  <c r="G18" i="4"/>
  <c r="BV52" i="5"/>
  <c r="BN51" i="5"/>
  <c r="BP51" i="5"/>
  <c r="BQ51" i="5" s="1"/>
  <c r="BT51" i="5"/>
  <c r="BM53" i="5"/>
  <c r="BO51" i="5"/>
  <c r="BO52" i="5" s="1"/>
  <c r="BW50" i="5"/>
  <c r="BX50" i="5" s="1"/>
  <c r="BV51" i="5"/>
  <c r="BU52" i="5"/>
  <c r="BU51" i="5"/>
  <c r="BP52" i="5"/>
  <c r="BN52" i="5"/>
  <c r="BT52" i="5"/>
  <c r="BN53" i="5" l="1"/>
  <c r="BP53" i="5"/>
  <c r="B16" i="4" s="1"/>
  <c r="BV53" i="5"/>
  <c r="G16" i="4" s="1"/>
  <c r="BT53" i="5"/>
  <c r="BQ52" i="5"/>
  <c r="BR52" i="5" s="1"/>
  <c r="BR51" i="5"/>
  <c r="B17" i="4"/>
  <c r="BW51" i="5"/>
  <c r="G17" i="4"/>
  <c r="BA56" i="1" s="1"/>
  <c r="BR53" i="5" l="1"/>
  <c r="B15" i="4" s="1"/>
  <c r="BW52" i="5"/>
  <c r="BX52" i="5" s="1"/>
  <c r="BX51" i="5"/>
  <c r="BA19" i="1"/>
  <c r="BA42" i="1"/>
  <c r="BA30" i="1"/>
  <c r="BX53" i="5" l="1"/>
  <c r="G15"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6" authorId="0" shapeId="0" xr:uid="{5C1D9DA3-F89C-1145-A95A-5ED488B8EF76}">
      <text>
        <r>
          <rPr>
            <sz val="10"/>
            <color rgb="FF000000"/>
            <rFont val="Tahoma"/>
            <family val="2"/>
          </rPr>
          <t xml:space="preserve">Author:
</t>
        </r>
        <r>
          <rPr>
            <sz val="10"/>
            <color rgb="FF000000"/>
            <rFont val="Tahoma"/>
            <family val="2"/>
          </rPr>
          <t xml:space="preserve">(Result is adopted as a calculated value for the plant output)	</t>
        </r>
      </text>
    </comment>
    <comment ref="A25" authorId="0" shapeId="0" xr:uid="{4E7E53B9-2AB3-084C-9226-0AFA5DAEA1F9}">
      <text>
        <r>
          <rPr>
            <sz val="10"/>
            <color rgb="FF000000"/>
            <rFont val="Tahoma"/>
            <family val="2"/>
          </rPr>
          <t xml:space="preserve">Author:
</t>
        </r>
        <r>
          <rPr>
            <sz val="10"/>
            <color rgb="FF000000"/>
            <rFont val="Tahoma"/>
            <family val="2"/>
          </rPr>
          <t>System data Battery storage</t>
        </r>
      </text>
    </comment>
    <comment ref="H28" authorId="0" shapeId="0" xr:uid="{E0958CFB-AFC8-3949-A491-9B41E49539B2}">
      <text>
        <r>
          <rPr>
            <sz val="10"/>
            <color rgb="FF000000"/>
            <rFont val="Tahoma"/>
            <family val="2"/>
          </rPr>
          <t xml:space="preserve">Author:
</t>
        </r>
        <r>
          <rPr>
            <sz val="10"/>
            <color rgb="FF000000"/>
            <rFont val="Tahoma"/>
            <family val="2"/>
          </rPr>
          <t>(Useful capacity in the year of commissioning)</t>
        </r>
      </text>
    </comment>
    <comment ref="E29" authorId="0" shapeId="0" xr:uid="{7C60B352-32F9-D845-9B50-12E3E9796034}">
      <text>
        <r>
          <rPr>
            <sz val="10"/>
            <color rgb="FF000000"/>
            <rFont val="Tahoma"/>
            <family val="2"/>
          </rPr>
          <t xml:space="preserve">Author:
</t>
        </r>
        <r>
          <rPr>
            <sz val="10"/>
            <color rgb="FF000000"/>
            <rFont val="Tahoma"/>
            <family val="2"/>
          </rPr>
          <t xml:space="preserve">(typical values for lithium-ion batteries range between 85 and 95%)	</t>
        </r>
      </text>
    </comment>
    <comment ref="E30" authorId="0" shapeId="0" xr:uid="{8EEE5517-DDA7-054B-9653-9A16574BF672}">
      <text>
        <r>
          <rPr>
            <sz val="10"/>
            <color rgb="FF000000"/>
            <rFont val="Tahoma"/>
            <family val="2"/>
          </rPr>
          <t xml:space="preserve">Author:
</t>
        </r>
        <r>
          <rPr>
            <sz val="10"/>
            <color rgb="FF000000"/>
            <rFont val="Tahoma"/>
            <family val="2"/>
          </rPr>
          <t xml:space="preserve">(typical values for lithium-ion storage devices are between 10 and 20 years)			</t>
        </r>
      </text>
    </comment>
    <comment ref="E31" authorId="0" shapeId="0" xr:uid="{3768ADF2-99C9-3540-BA49-02F18AE98743}">
      <text>
        <r>
          <rPr>
            <sz val="10"/>
            <color rgb="FF000000"/>
            <rFont val="Tahoma"/>
            <family val="2"/>
          </rPr>
          <t xml:space="preserve">Author:
</t>
        </r>
        <r>
          <rPr>
            <sz val="10"/>
            <color rgb="FF000000"/>
            <rFont val="Tahoma"/>
            <family val="2"/>
          </rPr>
          <t xml:space="preserve">(Usually, a 20% degradation over the service life is assumed.)				</t>
        </r>
      </text>
    </comment>
    <comment ref="E34" authorId="0" shapeId="0" xr:uid="{6C071E5C-9071-7643-954E-454E7DF184FE}">
      <text>
        <r>
          <rPr>
            <sz val="10"/>
            <color rgb="FF000000"/>
            <rFont val="Tahoma"/>
            <family val="2"/>
          </rPr>
          <t xml:space="preserve">Author:
</t>
        </r>
        <r>
          <rPr>
            <sz val="10"/>
            <color rgb="FF000000"/>
            <rFont val="Tahoma"/>
            <family val="2"/>
          </rPr>
          <t xml:space="preserve">(Billing-relevant power peaks per month reduced by battery storage, totaled over one year)		</t>
        </r>
      </text>
    </comment>
    <comment ref="A36" authorId="0" shapeId="0" xr:uid="{BCD0EA69-EE1D-3C45-8497-B289E15621F3}">
      <text>
        <r>
          <rPr>
            <sz val="10"/>
            <color rgb="FF000000"/>
            <rFont val="Tahoma"/>
            <family val="2"/>
          </rPr>
          <t xml:space="preserve">Author:
</t>
        </r>
        <r>
          <rPr>
            <sz val="10"/>
            <color rgb="FF000000"/>
            <rFont val="Tahoma"/>
            <family val="2"/>
          </rPr>
          <t>consumption data</t>
        </r>
      </text>
    </comment>
    <comment ref="H37" authorId="0" shapeId="0" xr:uid="{1673AA83-72FD-2444-ADED-618978D3A082}">
      <text>
        <r>
          <rPr>
            <b/>
            <sz val="10"/>
            <color rgb="FF000000"/>
            <rFont val="Tahoma"/>
            <family val="2"/>
          </rPr>
          <t xml:space="preserve">Author:
</t>
        </r>
      </text>
    </comment>
    <comment ref="H38" authorId="0" shapeId="0" xr:uid="{A42A25F2-E9CE-2B48-897D-651B6C97CEFC}">
      <text>
        <r>
          <rPr>
            <sz val="10"/>
            <color rgb="FF000000"/>
            <rFont val="Tahoma"/>
            <family val="2"/>
          </rPr>
          <t xml:space="preserve">Author:
</t>
        </r>
        <r>
          <rPr>
            <sz val="10"/>
            <color rgb="FF000000"/>
            <rFont val="Tahoma"/>
            <family val="2"/>
          </rPr>
          <t>(Billing-relevant service peaks per month added up over a year)</t>
        </r>
      </text>
    </comment>
    <comment ref="H41" authorId="0" shapeId="0" xr:uid="{2CEC22AE-10AA-6E4B-BE51-E39E20A9EE87}">
      <text>
        <r>
          <rPr>
            <sz val="10"/>
            <color rgb="FF000000"/>
            <rFont val="Tahoma"/>
            <family val="2"/>
          </rPr>
          <t xml:space="preserve">Author:
</t>
        </r>
        <r>
          <rPr>
            <sz val="10"/>
            <color rgb="FF000000"/>
            <rFont val="Tahoma"/>
            <family val="2"/>
          </rPr>
          <t>(The VNB practice model can be calculated without ZEV)</t>
        </r>
      </text>
    </comment>
    <comment ref="H42" authorId="0" shapeId="0" xr:uid="{4F4F7015-3BD5-7349-B34F-81132DB831E8}">
      <text>
        <r>
          <rPr>
            <b/>
            <sz val="10"/>
            <color rgb="FF000000"/>
            <rFont val="Tahoma"/>
            <family val="2"/>
          </rPr>
          <t>Author:</t>
        </r>
        <r>
          <rPr>
            <sz val="10"/>
            <color rgb="FF000000"/>
            <rFont val="Tahoma"/>
            <family val="2"/>
          </rPr>
          <t xml:space="preserve">
</t>
        </r>
        <r>
          <rPr>
            <sz val="10"/>
            <color rgb="FF000000"/>
            <rFont val="Tahoma"/>
            <family val="2"/>
          </rPr>
          <t>(Number of consumers participating in self-consumption at the place of production)</t>
        </r>
      </text>
    </comment>
    <comment ref="A43" authorId="0" shapeId="0" xr:uid="{A7549AC2-E0EA-BD40-A556-052FCFBA7B1A}">
      <text>
        <r>
          <rPr>
            <sz val="10"/>
            <color rgb="FF000000"/>
            <rFont val="Tahoma"/>
            <family val="2"/>
          </rPr>
          <t xml:space="preserve">Author:
</t>
        </r>
        <r>
          <rPr>
            <sz val="10"/>
            <color rgb="FF000000"/>
            <rFont val="Tahoma"/>
            <family val="2"/>
          </rPr>
          <t>Own consumption at the place of production</t>
        </r>
      </text>
    </comment>
    <comment ref="H43" authorId="0" shapeId="0" xr:uid="{F2A8069B-4B7E-E646-9708-3767E79D3D5B}">
      <text>
        <r>
          <rPr>
            <b/>
            <sz val="10"/>
            <color rgb="FF000000"/>
            <rFont val="Tahoma"/>
            <family val="2"/>
          </rPr>
          <t>Author:</t>
        </r>
        <r>
          <rPr>
            <sz val="10"/>
            <color rgb="FF000000"/>
            <rFont val="Tahoma"/>
            <family val="2"/>
          </rPr>
          <t xml:space="preserve">
</t>
        </r>
        <r>
          <rPr>
            <sz val="10"/>
            <color rgb="FF000000"/>
            <rFont val="Tahoma"/>
            <family val="2"/>
          </rPr>
          <t>(Calculated using an average weighted self-consumption tariff)</t>
        </r>
      </text>
    </comment>
    <comment ref="E44" authorId="0" shapeId="0" xr:uid="{30751403-0FAC-EE4C-BA29-A6958C6B8F51}">
      <text>
        <r>
          <rPr>
            <b/>
            <sz val="10"/>
            <color rgb="FF000000"/>
            <rFont val="Tahoma"/>
            <family val="2"/>
          </rPr>
          <t>Author:</t>
        </r>
        <r>
          <rPr>
            <sz val="10"/>
            <color rgb="FF000000"/>
            <rFont val="Tahoma"/>
            <family val="2"/>
          </rPr>
          <t xml:space="preserve">
</t>
        </r>
        <r>
          <rPr>
            <sz val="10"/>
            <color rgb="FF000000"/>
            <rFont val="Tahoma"/>
            <family val="2"/>
          </rPr>
          <t xml:space="preserve">(Reduction in billing-relevant power peaks per month, totaled over one year)	</t>
        </r>
      </text>
    </comment>
    <comment ref="H45" authorId="0" shapeId="0" xr:uid="{2E853634-066F-0144-BEDD-F71055F555E5}">
      <text>
        <r>
          <rPr>
            <b/>
            <sz val="10"/>
            <color rgb="FF000000"/>
            <rFont val="Tahoma"/>
            <family val="2"/>
          </rPr>
          <t>Author:</t>
        </r>
        <r>
          <rPr>
            <sz val="10"/>
            <color rgb="FF000000"/>
            <rFont val="Tahoma"/>
            <family val="2"/>
          </rPr>
          <t xml:space="preserve">
</t>
        </r>
        <r>
          <rPr>
            <sz val="10"/>
            <color rgb="FF000000"/>
            <rFont val="Tahoma"/>
            <family val="2"/>
          </rPr>
          <t>(constant over the service life)</t>
        </r>
      </text>
    </comment>
    <comment ref="H49" authorId="0" shapeId="0" xr:uid="{58DCBF3E-0A1A-1A41-A371-5A5D200EAF57}">
      <text>
        <r>
          <rPr>
            <b/>
            <sz val="10"/>
            <color rgb="FF000000"/>
            <rFont val="Tahoma"/>
            <family val="2"/>
          </rPr>
          <t>Author:</t>
        </r>
        <r>
          <rPr>
            <sz val="10"/>
            <color rgb="FF000000"/>
            <rFont val="Tahoma"/>
            <family val="2"/>
          </rPr>
          <t xml:space="preserve">
</t>
        </r>
        <r>
          <rPr>
            <sz val="10"/>
            <color rgb="FF000000"/>
            <rFont val="Tahoma"/>
            <family val="2"/>
          </rPr>
          <t>(Information on the electricity product for determining the replaced supply tariff or PV electricity tariff ZEV)</t>
        </r>
      </text>
    </comment>
    <comment ref="H50" authorId="0" shapeId="0" xr:uid="{D7E28AF7-B4EB-E047-B546-C3EF56895061}">
      <text>
        <r>
          <rPr>
            <b/>
            <sz val="10"/>
            <color rgb="FF000000"/>
            <rFont val="Tahoma"/>
            <family val="2"/>
          </rPr>
          <t>Author:</t>
        </r>
        <r>
          <rPr>
            <sz val="10"/>
            <color rgb="FF000000"/>
            <rFont val="Tahoma"/>
            <family val="2"/>
          </rPr>
          <t xml:space="preserve">
</t>
        </r>
        <r>
          <rPr>
            <sz val="10"/>
            <color rgb="FF000000"/>
            <rFont val="Tahoma"/>
            <family val="2"/>
          </rPr>
          <t>(Revenue for billing solar power in the ZEV)</t>
        </r>
      </text>
    </comment>
    <comment ref="H51" authorId="0" shapeId="0" xr:uid="{CFA53F26-3D7E-134B-9AE0-D5EDB3839ACD}">
      <text>
        <r>
          <rPr>
            <b/>
            <sz val="10"/>
            <color rgb="FF000000"/>
            <rFont val="Tahoma"/>
            <family val="2"/>
          </rPr>
          <t>Author:</t>
        </r>
        <r>
          <rPr>
            <sz val="10"/>
            <color rgb="FF000000"/>
            <rFont val="Tahoma"/>
            <family val="2"/>
          </rPr>
          <t xml:space="preserve">
</t>
        </r>
        <r>
          <rPr>
            <sz val="10"/>
            <color rgb="FF000000"/>
            <rFont val="Tahoma"/>
            <family val="2"/>
          </rPr>
          <t>(Revenue for ZEV billing per participant)</t>
        </r>
      </text>
    </comment>
    <comment ref="H53" authorId="0" shapeId="0" xr:uid="{B8914F0E-C74A-5C43-8CAC-0B2A98ABFC70}">
      <text>
        <r>
          <rPr>
            <b/>
            <sz val="10"/>
            <color rgb="FF000000"/>
            <rFont val="Tahoma"/>
            <family val="2"/>
          </rPr>
          <t>Author:</t>
        </r>
        <r>
          <rPr>
            <sz val="10"/>
            <color rgb="FF000000"/>
            <rFont val="Tahoma"/>
            <family val="2"/>
          </rPr>
          <t xml:space="preserve">
</t>
        </r>
        <r>
          <rPr>
            <sz val="10"/>
            <color rgb="FF000000"/>
            <rFont val="Tahoma"/>
            <family val="2"/>
          </rPr>
          <t>(taken as calculated value for operating costs ZEV)</t>
        </r>
      </text>
    </comment>
    <comment ref="A55" authorId="0" shapeId="0" xr:uid="{8F2A4D5C-C783-1F48-B6C7-223FFBD6C746}">
      <text>
        <r>
          <rPr>
            <sz val="10"/>
            <color rgb="FF000000"/>
            <rFont val="Tahoma"/>
            <family val="2"/>
          </rPr>
          <t xml:space="preserve">Author:
</t>
        </r>
        <r>
          <rPr>
            <sz val="10"/>
            <color rgb="FF000000"/>
            <rFont val="Tahoma"/>
            <family val="2"/>
          </rPr>
          <t>Local electricity community</t>
        </r>
      </text>
    </comment>
    <comment ref="H55" authorId="0" shapeId="0" xr:uid="{EE6CDF14-F3A2-2445-BBD3-76D4DAD24F56}">
      <text>
        <r>
          <rPr>
            <b/>
            <sz val="10"/>
            <color rgb="FF000000"/>
            <rFont val="Tahoma"/>
            <family val="2"/>
          </rPr>
          <t>Author:</t>
        </r>
        <r>
          <rPr>
            <sz val="10"/>
            <color rgb="FF000000"/>
            <rFont val="Tahoma"/>
            <family val="2"/>
          </rPr>
          <t xml:space="preserve">
</t>
        </r>
        <r>
          <rPr>
            <sz val="10"/>
            <color rgb="FF000000"/>
            <rFont val="Tahoma"/>
            <family val="2"/>
          </rPr>
          <t>(Calculated using an average weighted LEG tariff)</t>
        </r>
      </text>
    </comment>
    <comment ref="H57" authorId="0" shapeId="0" xr:uid="{564BD0DA-E400-8748-A32F-2B3AA5E4BCFD}">
      <text>
        <r>
          <rPr>
            <sz val="10"/>
            <color rgb="FF000000"/>
            <rFont val="Tahoma"/>
            <family val="2"/>
          </rPr>
          <t xml:space="preserve">Author:
</t>
        </r>
        <r>
          <rPr>
            <sz val="10"/>
            <color rgb="FF000000"/>
            <rFont val="Tahoma"/>
            <family val="2"/>
          </rPr>
          <t>The discount on network costs depends on how many network levels are used</t>
        </r>
      </text>
    </comment>
    <comment ref="H58" authorId="0" shapeId="0" xr:uid="{286D6711-59E1-AE42-9C6C-D076760EA3D6}">
      <text>
        <r>
          <rPr>
            <b/>
            <sz val="10"/>
            <color rgb="FF000000"/>
            <rFont val="Tahoma"/>
            <family val="2"/>
          </rPr>
          <t>Author:</t>
        </r>
        <r>
          <rPr>
            <sz val="10"/>
            <color rgb="FF000000"/>
            <rFont val="Tahoma"/>
            <family val="2"/>
          </rPr>
          <t xml:space="preserve">
</t>
        </r>
        <r>
          <rPr>
            <sz val="10"/>
            <color rgb="FF000000"/>
            <rFont val="Tahoma"/>
            <family val="2"/>
          </rPr>
          <t>(constant over the service life)</t>
        </r>
      </text>
    </comment>
    <comment ref="H59" authorId="0" shapeId="0" xr:uid="{4804FD65-0A3B-F74F-930D-01F546C95F6E}">
      <text>
        <r>
          <rPr>
            <b/>
            <sz val="10"/>
            <color rgb="FF000000"/>
            <rFont val="Tahoma"/>
            <family val="2"/>
          </rPr>
          <t>Author:</t>
        </r>
        <r>
          <rPr>
            <sz val="10"/>
            <color rgb="FF000000"/>
            <rFont val="Tahoma"/>
            <family val="2"/>
          </rPr>
          <t xml:space="preserve">
(Average annual consumption over the lifetime of the system)</t>
        </r>
      </text>
    </comment>
    <comment ref="H60" authorId="0" shapeId="0" xr:uid="{AC61A87F-5B95-474E-8E9D-FF93C39B6723}">
      <text>
        <r>
          <rPr>
            <b/>
            <sz val="10"/>
            <color rgb="FF000000"/>
            <rFont val="Tahoma"/>
            <family val="2"/>
          </rPr>
          <t>Author:</t>
        </r>
        <r>
          <rPr>
            <sz val="10"/>
            <color rgb="FF000000"/>
            <rFont val="Tahoma"/>
            <family val="2"/>
          </rPr>
          <t xml:space="preserve">
(Energiekosten für den Verbraucher in der LEG exkl. Netzkosten des VNB)</t>
        </r>
      </text>
    </comment>
    <comment ref="H61" authorId="0" shapeId="0" xr:uid="{40E2FBA1-351B-1D43-B3B8-65FAB18AD6C0}">
      <text>
        <r>
          <rPr>
            <b/>
            <sz val="10"/>
            <color rgb="FF000000"/>
            <rFont val="Tahoma"/>
            <family val="2"/>
          </rPr>
          <t>Author:</t>
        </r>
        <r>
          <rPr>
            <sz val="10"/>
            <color rgb="FF000000"/>
            <rFont val="Tahoma"/>
            <family val="2"/>
          </rPr>
          <t xml:space="preserve">
(Expenses for LEG billing (revenue))</t>
        </r>
      </text>
    </comment>
    <comment ref="H63" authorId="0" shapeId="0" xr:uid="{79A9C5F4-825D-F340-9DE0-D38E1D41E70B}">
      <text>
        <r>
          <rPr>
            <b/>
            <sz val="10"/>
            <color rgb="FF000000"/>
            <rFont val="Tahoma"/>
            <family val="2"/>
          </rPr>
          <t>Author:</t>
        </r>
        <r>
          <rPr>
            <sz val="10"/>
            <color rgb="FF000000"/>
            <rFont val="Tahoma"/>
            <family val="2"/>
          </rPr>
          <t xml:space="preserve">
</t>
        </r>
        <r>
          <rPr>
            <sz val="10"/>
            <color rgb="FF000000"/>
            <rFont val="Tahoma"/>
            <family val="2"/>
          </rPr>
          <t>Helpful calculation of operating costs based on costs per kWh</t>
        </r>
      </text>
    </comment>
    <comment ref="D64" authorId="0" shapeId="0" xr:uid="{74DAD863-590E-CA4F-B0EC-C5233775ABD7}">
      <text>
        <r>
          <rPr>
            <b/>
            <sz val="10"/>
            <color rgb="FF000000"/>
            <rFont val="Tahoma"/>
            <family val="2"/>
          </rPr>
          <t>Author:</t>
        </r>
        <r>
          <rPr>
            <sz val="10"/>
            <color rgb="FF000000"/>
            <rFont val="Tahoma"/>
            <family val="2"/>
          </rPr>
          <t xml:space="preserve">
</t>
        </r>
        <r>
          <rPr>
            <sz val="10"/>
            <color rgb="FF000000"/>
            <rFont val="Tahoma"/>
            <family val="2"/>
          </rPr>
          <t>Operating costs LEG</t>
        </r>
      </text>
    </comment>
    <comment ref="F64" authorId="0" shapeId="0" xr:uid="{A7A961B5-F9E2-144E-ABF4-78B62122AE8C}">
      <text>
        <r>
          <rPr>
            <b/>
            <sz val="10"/>
            <color rgb="FF000000"/>
            <rFont val="Tahoma"/>
            <family val="2"/>
          </rPr>
          <t>Author:</t>
        </r>
        <r>
          <rPr>
            <sz val="10"/>
            <color rgb="FF000000"/>
            <rFont val="Tahoma"/>
            <family val="2"/>
          </rPr>
          <t xml:space="preserve">
</t>
        </r>
        <r>
          <rPr>
            <sz val="10"/>
            <color rgb="FF000000"/>
            <rFont val="Tahoma"/>
            <family val="2"/>
          </rPr>
          <t>Solar power at LEG</t>
        </r>
      </text>
    </comment>
    <comment ref="H64" authorId="0" shapeId="0" xr:uid="{11211746-DCDA-9640-8D5A-0BB16908C20C}">
      <text>
        <r>
          <rPr>
            <b/>
            <sz val="10"/>
            <color rgb="FF000000"/>
            <rFont val="Tahoma"/>
            <family val="2"/>
          </rPr>
          <t>Author:</t>
        </r>
        <r>
          <rPr>
            <sz val="10"/>
            <color rgb="FF000000"/>
            <rFont val="Tahoma"/>
            <family val="2"/>
          </rPr>
          <t xml:space="preserve">
</t>
        </r>
        <r>
          <rPr>
            <sz val="10"/>
            <color rgb="FF000000"/>
            <rFont val="Tahoma"/>
            <family val="2"/>
          </rPr>
          <t>(Result is adopted as a calculated value for operating costs LEG)</t>
        </r>
      </text>
    </comment>
    <comment ref="H66" authorId="0" shapeId="0" xr:uid="{8682A919-F7DD-894C-9934-6E577F54AD1A}">
      <text>
        <r>
          <rPr>
            <b/>
            <sz val="10"/>
            <color rgb="FF000000"/>
            <rFont val="Tahoma"/>
            <family val="2"/>
          </rPr>
          <t>Author:</t>
        </r>
        <r>
          <rPr>
            <sz val="10"/>
            <color rgb="FF000000"/>
            <rFont val="Tahoma"/>
            <family val="2"/>
          </rPr>
          <t xml:space="preserve">
(taken as calculated value for operating costs LEG)</t>
        </r>
      </text>
    </comment>
    <comment ref="A68" authorId="0" shapeId="0" xr:uid="{5CBA9A5D-DD5C-794E-8404-62F992B4ACD6}">
      <text>
        <r>
          <rPr>
            <b/>
            <sz val="10"/>
            <color rgb="FF000000"/>
            <rFont val="Tahoma"/>
            <family val="2"/>
          </rPr>
          <t>Author:</t>
        </r>
        <r>
          <rPr>
            <sz val="10"/>
            <color rgb="FF000000"/>
            <rFont val="Tahoma"/>
            <family val="2"/>
          </rPr>
          <t xml:space="preserve">
</t>
        </r>
        <r>
          <rPr>
            <sz val="10"/>
            <color rgb="FF000000"/>
            <rFont val="Tahoma"/>
            <family val="2"/>
          </rPr>
          <t>feed-in electrity</t>
        </r>
      </text>
    </comment>
    <comment ref="H68" authorId="0" shapeId="0" xr:uid="{0D817349-0DAA-334F-B140-7F0481E95ACD}">
      <text>
        <r>
          <rPr>
            <b/>
            <sz val="10"/>
            <color rgb="FF000000"/>
            <rFont val="Tahoma"/>
            <family val="2"/>
          </rPr>
          <t>Author:</t>
        </r>
        <r>
          <rPr>
            <sz val="10"/>
            <color rgb="FF000000"/>
            <rFont val="Tahoma"/>
            <family val="2"/>
          </rPr>
          <t xml:space="preserve">
</t>
        </r>
        <r>
          <rPr>
            <sz val="10"/>
            <color rgb="FF000000"/>
            <rFont val="Tahoma"/>
            <family val="2"/>
          </rPr>
          <t>(An average weighted purchase price is expected.)</t>
        </r>
      </text>
    </comment>
    <comment ref="H69" authorId="0" shapeId="0" xr:uid="{20C68D0E-D0E4-DB4F-9D4C-39383F02B50A}">
      <text>
        <r>
          <rPr>
            <b/>
            <sz val="10"/>
            <color rgb="FF000000"/>
            <rFont val="Tahoma"/>
            <family val="2"/>
          </rPr>
          <t>Author:</t>
        </r>
        <r>
          <rPr>
            <sz val="10"/>
            <color rgb="FF000000"/>
            <rFont val="Tahoma"/>
            <family val="2"/>
          </rPr>
          <t xml:space="preserve">
</t>
        </r>
        <r>
          <rPr>
            <sz val="10"/>
            <color rgb="FF000000"/>
            <rFont val="Tahoma"/>
            <family val="2"/>
          </rPr>
          <t>(constant over lifetime)</t>
        </r>
      </text>
    </comment>
    <comment ref="H70" authorId="0" shapeId="0" xr:uid="{7104FFBF-1CE5-F249-BCDF-42DD057CB971}">
      <text>
        <r>
          <rPr>
            <sz val="10"/>
            <color rgb="FF000000"/>
            <rFont val="Tahoma"/>
            <family val="2"/>
          </rPr>
          <t xml:space="preserve">Author:
</t>
        </r>
        <r>
          <rPr>
            <sz val="10"/>
            <color rgb="FF000000"/>
            <rFont val="Tahoma"/>
            <family val="2"/>
          </rPr>
          <t>(Average share of solar power with feed-in tariff per year over the lifetime of the system)</t>
        </r>
      </text>
    </comment>
    <comment ref="A75" authorId="0" shapeId="0" xr:uid="{921A3D6E-802C-8746-9B2C-80C199CCB236}">
      <text>
        <r>
          <rPr>
            <sz val="10"/>
            <color rgb="FF000000"/>
            <rFont val="Tahoma"/>
            <family val="2"/>
          </rPr>
          <t xml:space="preserve">Author:
</t>
        </r>
        <r>
          <rPr>
            <sz val="10"/>
            <color rgb="FF000000"/>
            <rFont val="Tahoma"/>
            <family val="2"/>
          </rPr>
          <t xml:space="preserve">subsidise
</t>
        </r>
      </text>
    </comment>
    <comment ref="H75" authorId="0" shapeId="0" xr:uid="{2798C042-A7F9-3042-BD09-F78A2C0D9A93}">
      <text>
        <r>
          <rPr>
            <sz val="10"/>
            <color rgb="FF000000"/>
            <rFont val="Tahoma"/>
            <family val="2"/>
          </rPr>
          <t xml:space="preserve">Author:
</t>
        </r>
        <r>
          <rPr>
            <sz val="10"/>
            <color rgb="FF000000"/>
            <rFont val="Tahoma"/>
            <family val="2"/>
          </rPr>
          <t>(current calculation of subsidies using Pronovo's tariff calculator)</t>
        </r>
      </text>
    </comment>
    <comment ref="H80" authorId="0" shapeId="0" xr:uid="{B6E98F22-6E48-1641-A74D-870D54FB4462}">
      <text>
        <r>
          <rPr>
            <sz val="10"/>
            <color rgb="FF000000"/>
            <rFont val="Tahoma"/>
            <family val="2"/>
          </rPr>
          <t xml:space="preserve">Author:
</t>
        </r>
        <r>
          <rPr>
            <sz val="10"/>
            <color rgb="FF000000"/>
            <rFont val="Tahoma"/>
            <family val="2"/>
          </rPr>
          <t>(only taken into account for Pronovo subsidies)</t>
        </r>
      </text>
    </comment>
    <comment ref="H81" authorId="0" shapeId="0" xr:uid="{EC6CB428-51CD-4A41-B3A7-BF12A1CE7C7F}">
      <text>
        <r>
          <rPr>
            <sz val="10"/>
            <color rgb="FF000000"/>
            <rFont val="Tahoma"/>
            <family val="2"/>
          </rPr>
          <t xml:space="preserve">Author:
</t>
        </r>
        <r>
          <rPr>
            <sz val="10"/>
            <color rgb="FF000000"/>
            <rFont val="Tahoma"/>
            <family val="2"/>
          </rPr>
          <t>(deducted directly from the investment costs)</t>
        </r>
      </text>
    </comment>
    <comment ref="H82" authorId="0" shapeId="0" xr:uid="{1EA6A822-A3EC-D04F-B875-17EC94F687D0}">
      <text>
        <r>
          <rPr>
            <sz val="10"/>
            <color rgb="FF000000"/>
            <rFont val="Tahoma"/>
            <family val="2"/>
          </rPr>
          <t xml:space="preserve">Author:
</t>
        </r>
        <r>
          <rPr>
            <sz val="10"/>
            <color rgb="FF000000"/>
            <rFont val="Tahoma"/>
            <family val="2"/>
          </rPr>
          <t>(For private individuals, 20% of the investment costs after deduction of subsidies; deducted directly from the investment costs)</t>
        </r>
      </text>
    </comment>
    <comment ref="H83" authorId="0" shapeId="0" xr:uid="{A55C4730-5C86-CF4E-914B-D7B24FED9C07}">
      <text>
        <r>
          <rPr>
            <b/>
            <sz val="10"/>
            <color rgb="FF000000"/>
            <rFont val="Tahoma"/>
            <family val="2"/>
          </rPr>
          <t>Author:</t>
        </r>
        <r>
          <rPr>
            <sz val="10"/>
            <color rgb="FF000000"/>
            <rFont val="Tahoma"/>
            <family val="2"/>
          </rPr>
          <t xml:space="preserve">
</t>
        </r>
        <r>
          <rPr>
            <sz val="10"/>
            <color rgb="FF000000"/>
            <rFont val="Tahoma"/>
            <family val="2"/>
          </rPr>
          <t>(deducted directly from the investment costs)</t>
        </r>
      </text>
    </comment>
    <comment ref="A85" authorId="0" shapeId="0" xr:uid="{20A50A1B-A038-924F-9626-C57F53D996B4}">
      <text>
        <r>
          <rPr>
            <b/>
            <sz val="10"/>
            <color rgb="FF000000"/>
            <rFont val="Tahoma"/>
            <family val="2"/>
          </rPr>
          <t xml:space="preserve">Author:
</t>
        </r>
      </text>
    </comment>
    <comment ref="A99" authorId="0" shapeId="0" xr:uid="{AC187A91-3479-414D-9267-1E3971E35257}">
      <text>
        <r>
          <rPr>
            <sz val="10"/>
            <color rgb="FF000000"/>
            <rFont val="Tahoma"/>
            <family val="2"/>
          </rPr>
          <t xml:space="preserve">Author:
</t>
        </r>
        <r>
          <rPr>
            <sz val="10"/>
            <color rgb="FF000000"/>
            <rFont val="Tahoma"/>
            <family val="2"/>
          </rPr>
          <t>Investment and capital structure Battery</t>
        </r>
      </text>
    </comment>
    <comment ref="H102" authorId="0" shapeId="0" xr:uid="{82130DA5-1842-6F4A-8879-9DEF486CF7A6}">
      <text>
        <r>
          <rPr>
            <sz val="10"/>
            <color rgb="FF000000"/>
            <rFont val="Tahoma"/>
            <family val="2"/>
          </rPr>
          <t xml:space="preserve">Author:
</t>
        </r>
        <r>
          <rPr>
            <sz val="10"/>
            <color rgb="FF000000"/>
            <rFont val="Tahoma"/>
            <family val="2"/>
          </rPr>
          <t>(Deduction for emergency power function for profitability calculation, excluding VAT.)</t>
        </r>
      </text>
    </comment>
    <comment ref="H104" authorId="0" shapeId="0" xr:uid="{52329E3F-FB75-2A42-8E63-D9AAF1A10B84}">
      <text>
        <r>
          <rPr>
            <sz val="10"/>
            <color rgb="FF000000"/>
            <rFont val="Tahoma"/>
            <family val="2"/>
          </rPr>
          <t xml:space="preserve">Author:
</t>
        </r>
        <r>
          <rPr>
            <sz val="10"/>
            <color rgb="FF000000"/>
            <rFont val="Tahoma"/>
            <family val="2"/>
          </rPr>
          <t>(Investment amount minus fixed costs)</t>
        </r>
      </text>
    </comment>
    <comment ref="H105" authorId="0" shapeId="0" xr:uid="{DC423868-805E-9546-BEE1-78FAC175D9B1}">
      <text>
        <r>
          <rPr>
            <sz val="10"/>
            <color rgb="FF000000"/>
            <rFont val="Tahoma"/>
            <family val="2"/>
          </rPr>
          <t xml:space="preserve">Author:
</t>
        </r>
        <r>
          <rPr>
            <sz val="10"/>
            <color rgb="FF000000"/>
            <rFont val="Tahoma"/>
            <family val="2"/>
          </rPr>
          <t xml:space="preserve"> (minus subsidies and savings)</t>
        </r>
      </text>
    </comment>
    <comment ref="E106" authorId="0" shapeId="0" xr:uid="{54002C9A-1013-9B41-AA0E-072A5E9F2D89}">
      <text>
        <r>
          <rPr>
            <sz val="10"/>
            <color rgb="FF000000"/>
            <rFont val="Tahoma"/>
            <family val="2"/>
          </rPr>
          <t xml:space="preserve">Author:
</t>
        </r>
        <r>
          <rPr>
            <sz val="10"/>
            <color rgb="FF000000"/>
            <rFont val="Tahoma"/>
            <family val="2"/>
          </rPr>
          <t>Interest rate [%]</t>
        </r>
      </text>
    </comment>
    <comment ref="F106" authorId="0" shapeId="0" xr:uid="{01FC7FB8-A3B0-5542-BBAB-6E869EF56541}">
      <text>
        <r>
          <rPr>
            <sz val="10"/>
            <color rgb="FF000000"/>
            <rFont val="Tahoma"/>
            <family val="2"/>
          </rPr>
          <t xml:space="preserve">Author:
</t>
        </r>
        <r>
          <rPr>
            <sz val="10"/>
            <color rgb="FF000000"/>
            <rFont val="Tahoma"/>
            <family val="2"/>
          </rPr>
          <t>Term [years]</t>
        </r>
      </text>
    </comment>
    <comment ref="G106" authorId="0" shapeId="0" xr:uid="{0EFFC3E2-60A4-734C-99D7-422A0F4ABF98}">
      <text>
        <r>
          <rPr>
            <sz val="10"/>
            <color rgb="FF000000"/>
            <rFont val="Tahoma"/>
            <family val="2"/>
          </rPr>
          <t xml:space="preserve">Author:
</t>
        </r>
        <r>
          <rPr>
            <sz val="10"/>
            <color rgb="FF000000"/>
            <rFont val="Tahoma"/>
            <family val="2"/>
          </rPr>
          <t>Calculated interest rate [%]</t>
        </r>
      </text>
    </comment>
    <comment ref="H106" authorId="0" shapeId="0" xr:uid="{C928171D-508D-8841-9847-C327A60C18F2}">
      <text>
        <r>
          <rPr>
            <sz val="10"/>
            <color rgb="FF000000"/>
            <rFont val="Tahoma"/>
            <family val="2"/>
          </rPr>
          <t xml:space="preserve">Author:
</t>
        </r>
        <r>
          <rPr>
            <sz val="10"/>
            <color rgb="FF000000"/>
            <rFont val="Tahoma"/>
            <family val="2"/>
          </rPr>
          <t xml:space="preserve">"Calculated value
</t>
        </r>
        <r>
          <rPr>
            <sz val="10"/>
            <color rgb="FF000000"/>
            <rFont val="Tahoma"/>
            <family val="2"/>
          </rPr>
          <t>Term [years]"</t>
        </r>
      </text>
    </comment>
    <comment ref="A110" authorId="0" shapeId="0" xr:uid="{B804B375-E654-7E4E-BD6A-0B278775D782}">
      <text>
        <r>
          <rPr>
            <sz val="10"/>
            <color rgb="FF000000"/>
            <rFont val="Tahoma"/>
            <family val="2"/>
          </rPr>
          <t xml:space="preserve">Author:
</t>
        </r>
        <r>
          <rPr>
            <sz val="10"/>
            <color rgb="FF000000"/>
            <rFont val="Tahoma"/>
            <family val="2"/>
          </rPr>
          <t>Operating and maintenance costs for PV system</t>
        </r>
      </text>
    </comment>
    <comment ref="A126" authorId="0" shapeId="0" xr:uid="{651B2181-343F-A944-B3DE-73A3C35AC9DE}">
      <text>
        <r>
          <rPr>
            <sz val="10"/>
            <color rgb="FF000000"/>
            <rFont val="Tahoma"/>
            <family val="2"/>
          </rPr>
          <t xml:space="preserve">Author:
</t>
        </r>
        <r>
          <rPr>
            <sz val="10"/>
            <color rgb="FF000000"/>
            <rFont val="Tahoma"/>
            <family val="2"/>
          </rPr>
          <t>Average costs according to maintenance table</t>
        </r>
      </text>
    </comment>
    <comment ref="H126" authorId="0" shapeId="0" xr:uid="{E484A714-F05E-6547-B528-E5DB46321507}">
      <text>
        <r>
          <rPr>
            <sz val="10"/>
            <color rgb="FF000000"/>
            <rFont val="Tahoma"/>
            <family val="2"/>
          </rPr>
          <t xml:space="preserve">Author:
</t>
        </r>
        <r>
          <rPr>
            <sz val="10"/>
            <color rgb="FF000000"/>
            <rFont val="Tahoma"/>
            <family val="2"/>
          </rPr>
          <t>(Inflation taken into account, excluding battery)</t>
        </r>
      </text>
    </comment>
    <comment ref="A128" authorId="0" shapeId="0" xr:uid="{E66E1B23-B40C-8841-BF2C-915C89F2D367}">
      <text>
        <r>
          <rPr>
            <sz val="10"/>
            <color rgb="FF000000"/>
            <rFont val="Tahoma"/>
            <family val="2"/>
          </rPr>
          <t xml:space="preserve">Author:
</t>
        </r>
        <r>
          <rPr>
            <sz val="10"/>
            <color rgb="FF000000"/>
            <rFont val="Tahoma"/>
            <family val="2"/>
          </rPr>
          <t>Operating and maintenance costs for battery storage</t>
        </r>
      </text>
    </comment>
    <comment ref="H130" authorId="0" shapeId="0" xr:uid="{AE6C8C98-61DC-3543-A6CB-47CF1A71AF55}">
      <text>
        <r>
          <rPr>
            <sz val="10"/>
            <color rgb="FF000000"/>
            <rFont val="Tahoma"/>
            <family val="2"/>
          </rPr>
          <t xml:space="preserve">Author:
</t>
        </r>
        <r>
          <rPr>
            <sz val="10"/>
            <color rgb="FF000000"/>
            <rFont val="Tahoma"/>
            <family val="2"/>
          </rPr>
          <t>Years (If costs are entered, the storage life is extended)</t>
        </r>
      </text>
    </comment>
    <comment ref="A131" authorId="0" shapeId="0" xr:uid="{0E073319-F56B-7A45-B667-74CE68F95BB4}">
      <text>
        <r>
          <rPr>
            <sz val="10"/>
            <color rgb="FF000000"/>
            <rFont val="Tahoma"/>
            <family val="2"/>
          </rPr>
          <t xml:space="preserve">Author:
</t>
        </r>
        <r>
          <rPr>
            <sz val="10"/>
            <color rgb="FF000000"/>
            <rFont val="Tahoma"/>
            <family val="2"/>
          </rPr>
          <t>Average costs according to maintenance table</t>
        </r>
      </text>
    </comment>
    <comment ref="H131" authorId="0" shapeId="0" xr:uid="{0C6C88FE-4A2D-5144-87DC-A808E1541FC4}">
      <text>
        <r>
          <rPr>
            <sz val="10"/>
            <color rgb="FF000000"/>
            <rFont val="Tahoma"/>
            <family val="2"/>
          </rPr>
          <t xml:space="preserve">Author:
</t>
        </r>
        <r>
          <rPr>
            <sz val="10"/>
            <color rgb="FF000000"/>
            <rFont val="Tahoma"/>
            <family val="2"/>
          </rPr>
          <t>(Inflation taken into account, excluding battery)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F2" authorId="0" shapeId="0" xr:uid="{313C620C-A6CC-6043-A4FF-C489BCEEBA6E}">
      <text>
        <r>
          <rPr>
            <sz val="10"/>
            <color rgb="FF000000"/>
            <rFont val="Tahoma"/>
            <family val="2"/>
          </rPr>
          <t xml:space="preserve">Author:
</t>
        </r>
        <r>
          <rPr>
            <sz val="10"/>
            <color rgb="FF000000"/>
            <rFont val="Tahoma"/>
            <family val="2"/>
          </rPr>
          <t>inspection rounds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<sst xmlns="http://schemas.openxmlformats.org/spreadsheetml/2006/main" count="914" uniqueCount="546">
  <si>
    <t>Eingaben Wirtschaftlichkeitsberechnung</t>
  </si>
  <si>
    <t>Projektangaben</t>
  </si>
  <si>
    <t xml:space="preserve">Standort </t>
  </si>
  <si>
    <t>Projektbezeichnung</t>
  </si>
  <si>
    <t>Projektnummer</t>
  </si>
  <si>
    <t>Bemerkungen</t>
  </si>
  <si>
    <t>Projektleiter</t>
  </si>
  <si>
    <t>Anlagedaten</t>
  </si>
  <si>
    <t>Anlagekategorie</t>
  </si>
  <si>
    <t>Anlagenennleistung</t>
  </si>
  <si>
    <t>Anlagenlebensdauer</t>
  </si>
  <si>
    <t>spez. Jahresenergieertrag</t>
  </si>
  <si>
    <t>Degradation</t>
  </si>
  <si>
    <t>Berechnungsart</t>
  </si>
  <si>
    <t>spez. Unterhaltskosten</t>
  </si>
  <si>
    <t>kWp</t>
  </si>
  <si>
    <t>Jahre</t>
  </si>
  <si>
    <t>kWh/kWp</t>
  </si>
  <si>
    <t>%/Jahr</t>
  </si>
  <si>
    <t>CHF/kWh</t>
  </si>
  <si>
    <t>CHF</t>
  </si>
  <si>
    <t>Förderung</t>
  </si>
  <si>
    <t>Rechenwert</t>
  </si>
  <si>
    <t>Laufzeit [Jahre]</t>
  </si>
  <si>
    <t>Zinssatz [%]</t>
  </si>
  <si>
    <t>HS Minimalwert</t>
  </si>
  <si>
    <t>HS Maximalwert</t>
  </si>
  <si>
    <t>Eingabewert</t>
  </si>
  <si>
    <t>Jahr</t>
  </si>
  <si>
    <t>eingesparter Bezug /
Stromverkauf ZEV
[CHF]</t>
  </si>
  <si>
    <t>Auszahlung
Vergütung
[CHF]</t>
  </si>
  <si>
    <t>Energieertrag
[kWh]</t>
  </si>
  <si>
    <t>Teuerungsrate</t>
  </si>
  <si>
    <t>Inbetriebnahmejahr</t>
  </si>
  <si>
    <t>%</t>
  </si>
  <si>
    <t>(konstant über die Lebensdauer)</t>
  </si>
  <si>
    <t>Herkunftsnachweis (HKN)</t>
  </si>
  <si>
    <t xml:space="preserve">HS </t>
  </si>
  <si>
    <t>Rückliefertarif mit Teuerung
[CHF/kWh]</t>
  </si>
  <si>
    <t>HS</t>
  </si>
  <si>
    <t>eingesparter Bezug mit Teuerung
[CHF/kWh]</t>
  </si>
  <si>
    <t>Kontrollgänge</t>
  </si>
  <si>
    <t>Audits / Sicherheitsnachweise</t>
  </si>
  <si>
    <t>Überwachung</t>
  </si>
  <si>
    <t>Administration</t>
  </si>
  <si>
    <t>Datenverbindung</t>
  </si>
  <si>
    <t>Versicherung</t>
  </si>
  <si>
    <t>Reparaturen</t>
  </si>
  <si>
    <t>Transformator</t>
  </si>
  <si>
    <t>Dach- / Raummiete</t>
  </si>
  <si>
    <t>Wechselrichteraustausch</t>
  </si>
  <si>
    <t>Betrag</t>
  </si>
  <si>
    <t>Intervall</t>
  </si>
  <si>
    <t>HS Defaultwert 2</t>
  </si>
  <si>
    <t>HS Defaultwert 1</t>
  </si>
  <si>
    <t>Jahr mit Lebensdauer</t>
  </si>
  <si>
    <t>Auswahllisten Dropdown Menues</t>
  </si>
  <si>
    <t>Art Unterhaltskosten</t>
  </si>
  <si>
    <t>Preis pro kWh</t>
  </si>
  <si>
    <t>Wartungstabelle</t>
  </si>
  <si>
    <t>Unterhaltskosten nach Wartungstabelle
[CHF]</t>
  </si>
  <si>
    <t>Unterhaltskosten nach Wartungstabelle Summe
[CHF]</t>
  </si>
  <si>
    <t>Jahr Auszahlung Vergütung</t>
  </si>
  <si>
    <t>MWSt- 
Umsatzsteuer
[CHF]</t>
  </si>
  <si>
    <t>MWSt. pflichtig</t>
  </si>
  <si>
    <t>MWSt.</t>
  </si>
  <si>
    <t>nicht MWSt. pflichtig</t>
  </si>
  <si>
    <t>% MWSt.</t>
  </si>
  <si>
    <t>(alle Angaben inkl. MWSt.)</t>
  </si>
  <si>
    <t>Fläche PV- Anlage</t>
  </si>
  <si>
    <t>m2</t>
  </si>
  <si>
    <t>Abzug Funktion Gebäudehülle</t>
  </si>
  <si>
    <t>CHF/m2</t>
  </si>
  <si>
    <t>(Investitionssumme abzgl. Sowieso- Kosten)</t>
  </si>
  <si>
    <t>Wert Funktion Gebäudehülle</t>
  </si>
  <si>
    <t>Geldflusstabelle</t>
  </si>
  <si>
    <t>Total</t>
  </si>
  <si>
    <t>Æ</t>
  </si>
  <si>
    <t>Betreiber:</t>
  </si>
  <si>
    <t>Projektbezeichnung:</t>
  </si>
  <si>
    <t>Projektnummer:</t>
  </si>
  <si>
    <t>Projektleiter:</t>
  </si>
  <si>
    <t>MWSt. Pflicht</t>
  </si>
  <si>
    <t>freistehend</t>
  </si>
  <si>
    <t>kW</t>
  </si>
  <si>
    <t>kWh/kW</t>
  </si>
  <si>
    <t>Kapitalstruktur</t>
  </si>
  <si>
    <t>Zinssatz:</t>
  </si>
  <si>
    <t>Laufzeit:</t>
  </si>
  <si>
    <t xml:space="preserve"> (abzgl. Fördergelder und Einsparungen)</t>
  </si>
  <si>
    <t>Unterhaltskosten und Periodizität</t>
  </si>
  <si>
    <t>Verbrauchsdaten</t>
  </si>
  <si>
    <t>Ø Jahresenergieertrag</t>
  </si>
  <si>
    <t>Ø Eigenkapitalkosten</t>
  </si>
  <si>
    <t>Ø Fremdkapitalkosten</t>
  </si>
  <si>
    <t>CHF/Jahr</t>
  </si>
  <si>
    <t>Wirtschaftlichkeitsberechnung</t>
  </si>
  <si>
    <t>kWh-Kosten (Gestehungskosten)</t>
  </si>
  <si>
    <t>Payback (dyn. Amortisationsrechnung)</t>
  </si>
  <si>
    <t>kWh/Jahr</t>
  </si>
  <si>
    <t>Ø MWST-Vorsteuer (Unterhaltskosten)</t>
  </si>
  <si>
    <t>Kapitalbarwert (NPV mit Annuität)</t>
  </si>
  <si>
    <t>Cash Flow netto [CHF]</t>
  </si>
  <si>
    <t>Kapitalentwicklung Cash Flow netto [CHF]</t>
  </si>
  <si>
    <t>Barwert Cash Flow netto NPV [CHF]</t>
  </si>
  <si>
    <t>Kapitalentwicklung NPV [CHF]</t>
  </si>
  <si>
    <t>Geldflussplan</t>
  </si>
  <si>
    <t>Verzinsung EIV
[CHF]</t>
  </si>
  <si>
    <t>Kapital EIV Für Verzinsung
[CHF]</t>
  </si>
  <si>
    <t>(inkl. MWSt.)</t>
  </si>
  <si>
    <t>Eigenkapitalrendite (Equity IRR)</t>
  </si>
  <si>
    <t>Projektrendite (Project IRR)</t>
  </si>
  <si>
    <t>Cash Flow netto
ohne Fremdk.
[CHF]</t>
  </si>
  <si>
    <t>(exkl. MWSt.)</t>
  </si>
  <si>
    <t>(Sowieso- Kosten, exkl. MWSt.)</t>
  </si>
  <si>
    <t>Investitionskosten und Förderung</t>
  </si>
  <si>
    <t>Faktor Teuerung Unterhaltskosten
[CHF]</t>
  </si>
  <si>
    <t>kWh</t>
  </si>
  <si>
    <t>Sensitivitätsanalyse Laufzeit und Teuerung [%]</t>
  </si>
  <si>
    <t>Sensitivitätsanalyse Kosten</t>
  </si>
  <si>
    <t>Sensitivitätsanalyse Eigenverbrauch und Zuschlag Tarif externer Energiebezug</t>
  </si>
  <si>
    <t>Eigenverbrauch [%]</t>
  </si>
  <si>
    <t>Teuerung auf Energie und Unterhaltskosten</t>
  </si>
  <si>
    <t>Teuerung auf Energie und Unterhaltskosten [%]</t>
  </si>
  <si>
    <t>ersetzter Bezugstarif / PV- Stromtarif ZEV [CHF/kWh]</t>
  </si>
  <si>
    <t>Lebensdauer</t>
  </si>
  <si>
    <t>JA</t>
  </si>
  <si>
    <t>NEIN</t>
  </si>
  <si>
    <r>
      <t xml:space="preserve">%/Jahr </t>
    </r>
    <r>
      <rPr>
        <i/>
        <sz val="11"/>
        <color theme="1"/>
        <rFont val="Aptos"/>
        <family val="2"/>
      </rPr>
      <t>(der Anfangsleistung)</t>
    </r>
  </si>
  <si>
    <t>Investitionssumme PVA</t>
  </si>
  <si>
    <t>Investitionskosten ZEV</t>
  </si>
  <si>
    <t>Anlagedaten PVA</t>
  </si>
  <si>
    <t>Speicherkapazität</t>
  </si>
  <si>
    <t>Speicherlebensdauer</t>
  </si>
  <si>
    <t>Anlagedaten Batteriespeicher</t>
  </si>
  <si>
    <t>Speicher Arten</t>
  </si>
  <si>
    <t>Blei-Säure AGM</t>
  </si>
  <si>
    <t>Lithium-Ionen LFP</t>
  </si>
  <si>
    <t>Lithium-Ionen NMC</t>
  </si>
  <si>
    <t>Lithium-Ionen NCA</t>
  </si>
  <si>
    <t>Lithium-Ionen LTO</t>
  </si>
  <si>
    <t>Natrium-Ionen</t>
  </si>
  <si>
    <t>%  / Jahr</t>
  </si>
  <si>
    <t>Speichertechnologie</t>
  </si>
  <si>
    <t>Jahr mit Lebensdauer Batterie</t>
  </si>
  <si>
    <t>Erhöhung EV mit Batterie
[%]</t>
  </si>
  <si>
    <t>Eingelagerter Strom EV Batterie
[kWh]</t>
  </si>
  <si>
    <t>Verluste Speicher
[kWh]</t>
  </si>
  <si>
    <t>CHF/kW/Monat</t>
  </si>
  <si>
    <t>Degradation PV- Anlage
[% der Neuleistung]</t>
  </si>
  <si>
    <t>Degradation Batterie
[% der Neukapazität]</t>
  </si>
  <si>
    <t>Wirtschaftlichkeit ohne Batteriespeicher</t>
  </si>
  <si>
    <t>eingesparter Bezug /
Stromverkauf ZEV Batterie
[CHF]</t>
  </si>
  <si>
    <t>Einsparung / PV Kosten ZEV Leistung Batterie
[CHF]</t>
  </si>
  <si>
    <t>Wirtschaftlichkeit mit Batteriespeicher</t>
  </si>
  <si>
    <t>Investition und Kapitalstruktur PVA</t>
  </si>
  <si>
    <t>Investitionssumme Batterie</t>
  </si>
  <si>
    <t>Wert Funktion Notstrom</t>
  </si>
  <si>
    <t>Einmalvergütung (EIV) PVA</t>
  </si>
  <si>
    <t>Fassadenbonus (FB) PVA</t>
  </si>
  <si>
    <t>Höhenbonus (HB) PVA</t>
  </si>
  <si>
    <t>Parkflächenbonus (PB) PVA</t>
  </si>
  <si>
    <t>Förderung Batteriespeicher</t>
  </si>
  <si>
    <t>Steuereinsparungen PVA</t>
  </si>
  <si>
    <t>Zahlungsfrist EIV, FB, HB und PB PVA</t>
  </si>
  <si>
    <t>Investition und Kapitalstruktur Batterie</t>
  </si>
  <si>
    <t>Sonstige Aufwände Batterie</t>
  </si>
  <si>
    <t>Sonstige Aufwände PVA</t>
  </si>
  <si>
    <t>Investition netto Batterie</t>
  </si>
  <si>
    <t>Fremdkapital 1 PVA</t>
  </si>
  <si>
    <t>Fremdkapital 2 PVA</t>
  </si>
  <si>
    <t>Eigenkapital PVA</t>
  </si>
  <si>
    <t>Eigenkapital Batterie</t>
  </si>
  <si>
    <t>Fremdkapital Batterie</t>
  </si>
  <si>
    <t>Eigenkapitalkosten PVA
(Verzinsung jährlich)
Annuität [CHF]</t>
  </si>
  <si>
    <t>Fremdkapital 1 PVA 
Annuität [CHF]</t>
  </si>
  <si>
    <t>Fremdkapital 2 PVA
Annuität [CHF]</t>
  </si>
  <si>
    <t>Eigenkapitalkosten Batterie
(Verzinsung jährlich)
Annuität [CHF]</t>
  </si>
  <si>
    <t>Fremdkapital 1 Batterie 
Annuität [CHF]</t>
  </si>
  <si>
    <t>Jahr Fremdkapital 1 PVA</t>
  </si>
  <si>
    <t>Jahr Fremdkapital 2 PVA</t>
  </si>
  <si>
    <t>Jahr Fremdkapital Batterie</t>
  </si>
  <si>
    <t>Wirtschaftlichkeit nur Batteriespeicher</t>
  </si>
  <si>
    <t>Kapazität Batteriespeicher</t>
  </si>
  <si>
    <t>Lebensdauer Batteriespeicher</t>
  </si>
  <si>
    <t>Degradation Batteriespeicher</t>
  </si>
  <si>
    <t>% / Jahr</t>
  </si>
  <si>
    <t>MWSt. Investitionskosten Batterie</t>
  </si>
  <si>
    <t>MWSt. Investitionskosten PVA</t>
  </si>
  <si>
    <t>Kennzahlen PV- Anlage</t>
  </si>
  <si>
    <t>Kennzahlen PV- Anlage und Batteriespeicher</t>
  </si>
  <si>
    <t>Amortisationszeit ohne Speicher</t>
  </si>
  <si>
    <t>Amortisationszeit mit Speicher</t>
  </si>
  <si>
    <t>Amortisationszeit nur Speicher</t>
  </si>
  <si>
    <t>PVA und Batterie</t>
  </si>
  <si>
    <t>nur Batterie</t>
  </si>
  <si>
    <t>Durchschnittswerte PV- Anlage</t>
  </si>
  <si>
    <t>Ø Nettoertrag PV- Anlage</t>
  </si>
  <si>
    <t>Durchschnittswerte Batteriespeicher</t>
  </si>
  <si>
    <t>Ø eingelagerte Energie</t>
  </si>
  <si>
    <t>Einsparung / PV Kosten ZEV Leistung
[CHF]</t>
  </si>
  <si>
    <t>Ø Nettoertrag Batteriespeicher</t>
  </si>
  <si>
    <t>LEG</t>
  </si>
  <si>
    <t>Lokale Elektrizitätsgemeinschaft LEG</t>
  </si>
  <si>
    <t>Tarif LEG mit Teuerung
 [CHF/kWh]</t>
  </si>
  <si>
    <t>Kosten Energie für Ladung Batteriespeicher
[CHF]</t>
  </si>
  <si>
    <t>Abrechnungsgebühren ZEV
[CHF/kWh]</t>
  </si>
  <si>
    <t>Lokale Elektrizitätsgemeinschaft</t>
  </si>
  <si>
    <t>Investition netto PVA (abzgl. Förderung)</t>
  </si>
  <si>
    <t>Eigenverbrauch am Ort der Produktion</t>
  </si>
  <si>
    <t>sonstige Förderung PVA</t>
  </si>
  <si>
    <t>https://pronovo.ch/de/services/tarifrechner/</t>
  </si>
  <si>
    <t>(Es wird mit einem mittleren gewichteten LEG Tarif gerechnet)</t>
  </si>
  <si>
    <t>(Es wird mit einem mittleren gewichteten Eigenverbrauchstarif gerechnet)</t>
  </si>
  <si>
    <t>(aktuelle Berechnung der Fördermittel über Tarifrechner von Pronovo)</t>
  </si>
  <si>
    <t>Ersatz Batteriespeicher</t>
  </si>
  <si>
    <t xml:space="preserve">Lebensdauerkosten </t>
  </si>
  <si>
    <t>Durchschnittliche Kosten nach Unterhaltstabelle</t>
  </si>
  <si>
    <t>Investitions-kosten PV- Anlage [CHF]</t>
  </si>
  <si>
    <t>Projektrendite ohne Batterie in %</t>
  </si>
  <si>
    <t>Eigenverbrauch ohne Batteriespeicher</t>
  </si>
  <si>
    <t>Sensitivitätsanalyse Batteriespeicher</t>
  </si>
  <si>
    <t>Investitions-kosten Batterie-speicher [CHF]</t>
  </si>
  <si>
    <t>Betrieb und Unterhalts-
Kosten PVA
[CHF]</t>
  </si>
  <si>
    <t>MWSt- Abzug PVA
Betrieb und Unterhalt
[CHF]</t>
  </si>
  <si>
    <t>MWSt- Abzug Batterie
Betrieb und Unterhalt
[CHF]</t>
  </si>
  <si>
    <t>Projektrendite mit Batterie in %</t>
  </si>
  <si>
    <t>Projektrendite nur Batterie in %</t>
  </si>
  <si>
    <t>Investitionskosten
PV- Anlage</t>
  </si>
  <si>
    <t>Investitionskosten
Batteriespeicher</t>
  </si>
  <si>
    <t>Sensitivitätsanalyse der Projektrendite ohne Batteriespeicher</t>
  </si>
  <si>
    <t>Sensitivitätsanalyse der Projektrendite PV- Anlage mit Batteriespeicher</t>
  </si>
  <si>
    <t>Sensitivitätsanalyse der Projektrendite nur Batteriespeicher</t>
  </si>
  <si>
    <t>Batteriekapazität
[kWh]</t>
  </si>
  <si>
    <t>Energie aus Speicher
[kWh]</t>
  </si>
  <si>
    <t>Begriff</t>
  </si>
  <si>
    <t>Erklärung</t>
  </si>
  <si>
    <t>Anlagen-Kategorie</t>
  </si>
  <si>
    <t>Anlagen-Nennleistung</t>
  </si>
  <si>
    <t>Annuität</t>
  </si>
  <si>
    <t xml:space="preserve">Die Annuität (Annuitätsfaktor) ist ein Rechenwert zur Berechnung von jährlichen Zins- und Tilgungszahlungen der Investition und wird zur Berechnung der Kapitalverzinsung verwendet.
-&gt; siehe auch Tilgung, Amortisation
</t>
  </si>
  <si>
    <t>Kalkulationszinssatz Eigenkapital (p.a. nominal)</t>
  </si>
  <si>
    <t xml:space="preserve">Mit Hilfe des Kalkulationszinssatzes wird der Preis für das Eigenkapital in die Kalkulation mit eingerechnet. Die Höhe des Zinssatzes entspricht der Rendite einer alternativen Finanzanlage.
p.a.: per annum ("pro Jahr")
nominal: Der Nominalzins ist der Zins, den man für einen Kredit oder ein Darlehen zahlen muss. Darin sind keine Bearbeitungsgebühren sowie weitere anfallende Kosten berücksichtigt.
</t>
  </si>
  <si>
    <t>Kapitalwert (NPV)</t>
  </si>
  <si>
    <t>Payback</t>
  </si>
  <si>
    <t>spezifischer Jahresenergieertrag</t>
  </si>
  <si>
    <t xml:space="preserve">Der spezifische Jahresertrag einer Photovoltaikanlage ist der Ertrag an elektrischer Energie, der durch ein kW installierte Leistung an einem betrachteten Standort in einem Jahr erreicht werden kann. Ein typischer spezifischer Jahresertrag einer Photovoltaikanlage in der Schweiz beträgt ungefähr 920-950 kWh/kWp pro Jahr (bei Ausrichtung nach Süden und 20°-30° Neigung).
</t>
  </si>
  <si>
    <t>Tilgung, Amortisation</t>
  </si>
  <si>
    <t xml:space="preserve">Eine Tilgung ist die Rückzahlung einer langfristigen Schuld in Form von Teilbeträgen. Diesem Wirtschaftlichkeits-Rechner liegt das Annuitätenmodell zugrunde, bei welchem die Summe aus Zins und Tilgungszahlungen (Annuität) in den einzelnen Perioden der Laufzeit konstant bleibt. Die Höhe der Annuität wird finanzmathematisch so ermittelt, dass die Summe der Tilgungen und die jeweiligen Zinsen auf die Restschuld das Darlehen über die vereinbarte Laufzeit hinweg genau tilgen.
</t>
  </si>
  <si>
    <t>Zinssatz (p.a. nominal)</t>
  </si>
  <si>
    <t xml:space="preserve">Der Zinssatz ist der in Prozent ausgedrückte Preis für geliehenes Kapital, also der Zins als Prozentangabe.
p.a.: per annum ("pro Jahr")
nominal: Der Nominalzins ist der Zins, den man für einen Kredit oder ein Darlehen zahlen muss. Darin sind keine Bearbeitungsgebühren sowie weitere anfallende Kosten berücksichtigt.
</t>
  </si>
  <si>
    <t>Anteil Stromverkauf LEG</t>
  </si>
  <si>
    <t>Lokale Elektrizitätsgemeinschaft (LEG)</t>
  </si>
  <si>
    <t>Investitionskosten PVA</t>
  </si>
  <si>
    <t>Fremdkapital</t>
  </si>
  <si>
    <t>Investitionskosten Batteriespeicher</t>
  </si>
  <si>
    <t>Betriebs- und Unterhaltskosten</t>
  </si>
  <si>
    <t>Erläuterungen zum Wirtschaftlichkeitsrechner für Photovoltaikanlagen</t>
  </si>
  <si>
    <t>Ø Nettoertrag</t>
  </si>
  <si>
    <t>Gestehungskosten</t>
  </si>
  <si>
    <t>Projektrendite</t>
  </si>
  <si>
    <t>Eigenkapitalrendite</t>
  </si>
  <si>
    <t>Sensitivitätsanalyse</t>
  </si>
  <si>
    <t>Batteriespeicher vorhanden</t>
  </si>
  <si>
    <t>Geldflussplan PV- Anlage (ohne Batteriespeicher)</t>
  </si>
  <si>
    <t>(typische Werte von Lithium- Ionen Speicher liegen zwischen 85 - 95%)</t>
  </si>
  <si>
    <t>(typische Werte von Lithium- Ionen Speicher liegen zwischen 10 - 20 Jahren)</t>
  </si>
  <si>
    <t>(Meist wird von 20% Degradation während der Lebensdauer ausgegangen)</t>
  </si>
  <si>
    <t>Leistung (Wp)</t>
  </si>
  <si>
    <t>Teuerungsrate  (für Tarife und Unterhaltskosten)</t>
  </si>
  <si>
    <t>Bemerkungen:</t>
  </si>
  <si>
    <t>Netzbetreiber</t>
  </si>
  <si>
    <t>Betreiber / Investor</t>
  </si>
  <si>
    <t>Betreiber / Investor:</t>
  </si>
  <si>
    <t>Netzbetreiber:</t>
  </si>
  <si>
    <t>MWSt. Investitionskosten</t>
  </si>
  <si>
    <t>Grünbewuchs Pflege</t>
  </si>
  <si>
    <t>Reinigung Anlage</t>
  </si>
  <si>
    <t>Reduktion der Summe der Leistungsspitzen pro Jahr</t>
  </si>
  <si>
    <t>(Abrechnungsrelevante Leistungsspitzen pro Monat über ein Jahr aufsummiert)</t>
  </si>
  <si>
    <t>Reduktion der Leistungsspitzen pro Jahr</t>
  </si>
  <si>
    <t>Version</t>
  </si>
  <si>
    <t>Beschreibung der Anpassung</t>
  </si>
  <si>
    <t>aktuelle Version:</t>
  </si>
  <si>
    <t>Versionierung und Anpassungen vom Wirtschaftlichkeitsrechner für Photovoltaikanlagen</t>
  </si>
  <si>
    <t xml:space="preserve">Hilfsspalte </t>
  </si>
  <si>
    <t>Abrechnungskosten ZEV (pro kWh Eigenverbrauch)</t>
  </si>
  <si>
    <t>Summe der Leistungsspitzen aller Monate</t>
  </si>
  <si>
    <t>relevante Investitionskosten PVA</t>
  </si>
  <si>
    <t>relevante Investitionskosten Batterie</t>
  </si>
  <si>
    <t>Jahr mit Erneuerung Batterie</t>
  </si>
  <si>
    <t>Abrechnungskosten LEG</t>
  </si>
  <si>
    <t>immer aktuelles Jahr</t>
  </si>
  <si>
    <t>Fixe Annahme von 30 Jahren gemäss Erfahrungswerten</t>
  </si>
  <si>
    <t>durchschnittlicher spez. Jahresertrag von 1'000 kWh/kWp ohne Berücksichtigung von Standort, Ausrichtung, Neigung und Verschattung</t>
  </si>
  <si>
    <t>Entspricht einer Degradation von 10 % in 25 Jahren und liegt im Bereich der Angaben der Modulhersteller (Leistungsgarantie)</t>
  </si>
  <si>
    <t>Der kleinere Wert von 1/1'000 der Jahresproduktion oder 1/1'000 des Jahresenergiebedarfs</t>
  </si>
  <si>
    <t>Es wird mit einer Reduktion der Batteriekapazität von 20% innerhalb der Lebensdauer gerechnet</t>
  </si>
  <si>
    <t>Es wird mit einer durchschnittlichen Reduktion der Summe der monatlichen Leistungsspitzen für ein Jahr von 30% gerechnet</t>
  </si>
  <si>
    <t>Es wird von einem Deckungsgrad von 100% ausgegangen, d.h. der Gesamtverbrauch entspricht der Gesamtproduktion</t>
  </si>
  <si>
    <t>Es wird von einer mittleren Reduktion der Leistungsspitze von 0% ausgegangen (orientiert an einem Deckungsgrad von ca. 10%)</t>
  </si>
  <si>
    <t>Der Wert wird anhand einer Fittingkurve für ein Wohnhausprofil aus dem Deckungsgrad berechnet</t>
  </si>
  <si>
    <t>Für Verbraucher &gt; 50MWh Verbrauch pro Jahr wird ein Leistungstarif von 10 CHF/kW verwendet, für kleinere Verbraucher 1.50 CHF/kW</t>
  </si>
  <si>
    <t>CHF/Monat</t>
  </si>
  <si>
    <t>Es wird pro 5'000 kWh ein Verbraucher angenommen.</t>
  </si>
  <si>
    <t>Betriebskosten ZEV (Administration und Abrechnung)</t>
  </si>
  <si>
    <t>Betriebskosten ZEV (Admin und Abrechnung)</t>
  </si>
  <si>
    <t>Grundkosten ZEV
[CHF/Monat]</t>
  </si>
  <si>
    <t>Es werden keine Abrechnungskosten pro kWh verwendet, sondern eine Grundgebühr</t>
  </si>
  <si>
    <t>(Das Praxismodell VNB kann ohne ZEV gerechnet werden)</t>
  </si>
  <si>
    <t>PV- Stromtarif ZEV</t>
  </si>
  <si>
    <t>ersetzter Bezugstarif</t>
  </si>
  <si>
    <t>Praxismodell VNB</t>
  </si>
  <si>
    <t>Teilnehmer</t>
  </si>
  <si>
    <t>Betriebs- und Abrechungs-kosten ZEV
[CHF]</t>
  </si>
  <si>
    <t>Betriebs- und Abrechungs-kosten LEG
[CHF]</t>
  </si>
  <si>
    <t>Ø Abnahmevergütung</t>
  </si>
  <si>
    <t>Abnahmevergütung</t>
  </si>
  <si>
    <t>Ø MWST-Umsatzsteuer (Abnahmevergütung)</t>
  </si>
  <si>
    <t>Abnahmevergütung Energie</t>
  </si>
  <si>
    <t>Abnahmevergütung Total</t>
  </si>
  <si>
    <t>Abnahmevergütung [CHF/kWh]</t>
  </si>
  <si>
    <t>(Es wird mit einer mittleren gewichteten Abnahmevergütung gerechnet)</t>
  </si>
  <si>
    <t>Abnahme-vergütung
[CHF]</t>
  </si>
  <si>
    <t>Betriebskosten LEG (Administration und Abrechnung)</t>
  </si>
  <si>
    <t>Hilfsrechnung Betriebskosten ZEV</t>
  </si>
  <si>
    <t xml:space="preserve">CHF/kWh </t>
  </si>
  <si>
    <t>Beim Praxismodell VNB wird der gesamte Solarstrom dem Verteilnetzbetreiber verkauft. Der direkt vor Ort verbrauchte Solarstrom (Eigenverbrauch) wird dabei vom VNB zu einer höheren Abnahmevergütung abzgl. einer Dienstleistungsgebühr vergütet. Der Überschuss wird mit der normalen Abnahmevergütung ausbezahlt. Dieses Modell kann im Rechner mit dem normalen Eigenverbrauch berechnet werden.</t>
  </si>
  <si>
    <t>Es wird keine Förderung automatisch berechnet, es ist der Tarifrechner von Pronovo zu verwenden.</t>
  </si>
  <si>
    <t>Es werden keine Angaben zu den zusätzlichen Kosten der PVA gemacht.</t>
  </si>
  <si>
    <t>Es werden keine Annahmen für die Funktion der Gebäudehülle gemacht.</t>
  </si>
  <si>
    <t>Der Defaultwert wird mit durchschnittlichen Kosten von 700 CHF/kWh berechnet.</t>
  </si>
  <si>
    <t>Es werden keine Angaben zu den zusätzlichen Kosten für den Batteriespeicher gemacht.</t>
  </si>
  <si>
    <t>Die Nachkontrollen werden üblicherweise für das ganze Gebäude gemacht. Es resultieren keine Zusatzkosten für die PVA.</t>
  </si>
  <si>
    <t>Es wird mit Reparaturen alle 5 Jahre gerechnet. Die Kosten werden mit einer Pauschale von 1'200 CHF + 1 ‰ der Investitionssumme kalkuliert.</t>
  </si>
  <si>
    <t>Es wird mit jährlichen Kosten von 10 CHF/Monat gerechnet.</t>
  </si>
  <si>
    <t>Es wird mit einer Reinigung alle 10 Jahre gerechnet. Die Kosten werden mit einer Pauschale von 1'000 CHF + 3 CHF/m2 Modulfläche kalkuliert.</t>
  </si>
  <si>
    <t>Es werden keine Annahmen für die Betriebskosten der ZEV berechnet.</t>
  </si>
  <si>
    <t>Es werden keine Annahmen für die Betriebskosten der LEG berechnet.</t>
  </si>
  <si>
    <t>Es wird der mittlere stündliche Energiebedarf ermittelt und mit dem Faktor 10 multipliziert. Dieser Wert wird für jeden Monat als Leistungsspitze angenommen</t>
  </si>
  <si>
    <t>Jahresenergieverbrauch</t>
  </si>
  <si>
    <t>Dach integriert</t>
  </si>
  <si>
    <t>Dach angebaut</t>
  </si>
  <si>
    <t>Fassade integriert</t>
  </si>
  <si>
    <t>Fassade angebaut</t>
  </si>
  <si>
    <t>kombiniert</t>
  </si>
  <si>
    <t>(Angaben zum Stromprodukt für die Festlegung ersetzter Bezugstarif bzw. PV- Stromtarif ZEV)</t>
  </si>
  <si>
    <t>Tariffestlegung basierend auf Stromprodukt</t>
  </si>
  <si>
    <t>V2.0</t>
  </si>
  <si>
    <t>Veröffentlichung neuer Wirtschaftlichkeitsrechner Swissolar</t>
  </si>
  <si>
    <t xml:space="preserve">Bei der Wirtschaftlichkeitsberechnung über eine Laufzeit muss die Teuerung mit berücksichtigt werden. Zum einen unterliegen die anfangs angenommenen Betriebs- und Unterhaltskosten einer Teuerung über die Laufzeit. Zum anderen gibt es auch eine Preisentwicklung beim Wert der produzierten Energie. 
Dies wird mit einer jährlichen Teuerungsrate bei der Berechnung mitberücksichtigt.
</t>
  </si>
  <si>
    <r>
      <t xml:space="preserve">Anlagen-Kategorie gemäss Energieförderungsverordnung:
</t>
    </r>
    <r>
      <rPr>
        <b/>
        <sz val="11"/>
        <color theme="1"/>
        <rFont val="Calibri"/>
        <family val="2"/>
        <scheme val="minor"/>
      </rPr>
      <t>freistehend</t>
    </r>
    <r>
      <rPr>
        <sz val="11"/>
        <color theme="1"/>
        <rFont val="Calibri"/>
        <family val="2"/>
        <scheme val="minor"/>
      </rPr>
      <t xml:space="preserve">
 - Anlagen ohne konstruktive Verbindung zu Bauten
 - Beispiel: Anlage im Garten oder Brachland
</t>
    </r>
    <r>
      <rPr>
        <b/>
        <sz val="11"/>
        <color theme="1"/>
        <rFont val="Calibri"/>
        <family val="2"/>
        <scheme val="minor"/>
      </rPr>
      <t>angebaut</t>
    </r>
    <r>
      <rPr>
        <sz val="11"/>
        <color theme="1"/>
        <rFont val="Calibri"/>
        <family val="2"/>
        <scheme val="minor"/>
      </rPr>
      <t xml:space="preserve">
 - Anlagen mit konstruktiver Verbindung zu Bauten und einzig der Stromproduktion dienend
 - Anlagen an Befestigungssystemen auf Flachdächern oder auf einem Ziegeldach montiert
</t>
    </r>
    <r>
      <rPr>
        <b/>
        <sz val="11"/>
        <color theme="1"/>
        <rFont val="Calibri"/>
        <family val="2"/>
        <scheme val="minor"/>
      </rPr>
      <t>integriert</t>
    </r>
    <r>
      <rPr>
        <sz val="11"/>
        <color theme="1"/>
        <rFont val="Calibri"/>
        <family val="2"/>
        <scheme val="minor"/>
      </rPr>
      <t xml:space="preserve">
 - Anlagen, die in Bauten integriert sind und eine Doppelfunktion wahrnehmen
 - Photovoltaik-Module anstelle von Ziegeln oder Fassadenelementen, in Schallschutzwänden integriert
</t>
    </r>
  </si>
  <si>
    <t>(Nutzkapazität im Inbetriebnahmejahr)</t>
  </si>
  <si>
    <t xml:space="preserve">Die DC-Nennleistung von Photovoltaikanlagen im Inbetriebnahmejahr wird  mit der Masseinheit W (Watt Peak) oder kW angegeben und bezieht sich auf die Leistung bei international geltenden Standard-Testbedingungen (STC), die in etwa der maximalen Sonneneinstrahlung in der Schweiz entspricht.
STC (standard test conditions): 25° Modultemperatur, 1000 W/m², Luftmasse 1.5
</t>
  </si>
  <si>
    <t>Speicherkapazität Batteriespeicher</t>
  </si>
  <si>
    <t>Die Speicherkapazität eines Batteriespeichers bezeichnet die nutzbare Speicherkapazität im Inbetriebnahmejahr. 2nd Live Batteriespeicher haben entsprechend eine bereits reduzierte Nutzkapazität bei der Inbetriebnahme.</t>
  </si>
  <si>
    <t>Abrechnungskosten / Betriebskosten ZEV</t>
  </si>
  <si>
    <t xml:space="preserve">Die Investitionskosten umfassen alle für die Realisierung benötigten Investitionskosten.  Als Richtwert werden die Kosten aus der aktuellen Preisbeobachtungsstudie des Bundesamts für Energie herangezogen.
Zusätzliche Kosten z.B. für das Einrichten eines Zusammenschluss zum Eigenverbrauch werden ebenfalls den Investitionskosten der PV- Anlage angerechnet.
"Sowiesokosten", wie beispielsweise die Kosten für ein Gerüst, das für die Dachsanierung nötig war, oder Kosten für die Installation einer permanenten Dachsicherheit, werden vor der Eingabe von den Investitionskosten abgezogen.
</t>
  </si>
  <si>
    <t xml:space="preserve">Der nicht als Eigenverbrauch am Ort der Produktion verbrauchte Strom kann entweder an den Verteilnetzbetreiber verkauft werden (Rücklieferung), oder ab 2026 in einer Lokalen Elektrizitätsgemeinschaft zu einem reduzierten Netztarif an Verbraucher im selben Netzgebiet und der gleichen Gemeinde verkauft werden.
</t>
  </si>
  <si>
    <t>In einem ZEV profitieren die Endverbraucher von der Einsparung. Der Solarstrom kann entsprechend intern zum PV-Stromtarif ZEV weiterverrechnet werden. Insbesondere bei Mietverhältnissen sind die entsprechenden Mieterschutzbestimmungen zu beachten. Ohne weitere Nachweise wird der interne PV- Stromtarif ZEV meist bei 80% des ersetzten Bezugstarifs des Mieters (abzgl. der Abrechnungskosten) festgelegt. Die Abrechnungskosten werden separat verrechnet und werden im Wirtschaftlichkeitsrechner berücksichtigt.</t>
  </si>
  <si>
    <t xml:space="preserve">Wird der Solarstrom am Ort der Produktion direkt selber verbraucht, kann die PV- Anlage mit den Einsparungen aus dem Stromeinkauf vom Energieversorgungsunternehmen amortisiert werden. Die Einsparungen beziehen sich auf den Tarif für Energie, Netznutzung und zusätzliche Abgaben. Die Berechnung bzw. Festlegung des mittleren, allenfalls gewichteten Bezugstarifs je nach Saison und Uhrzeit erfolgt nach Einschätzung des Nutzes, bzw. anhand der Anforderungen des Anlagenbetreibers. Es handelt sich um eine Einschätzung über die gesamte Betriebsdauer der Anlage, wobei die Teuerung im Rechner separat berücksichtigt wird.
</t>
  </si>
  <si>
    <t xml:space="preserve">Für integrierte Solaranlagen, die zusätzliche Funktionen der Gebäudehülle übernehmen, kann bei der Berechnung der Wirtschaftlichkeit die zusätzliche Funktion der Solaranlage von den Investitionskosten abgezogen werden. 
Meist werden dazu die Kosten für eine alternative Fassaden- oder Dacheindeckung berechnet und von der Gesamtinvestition der PV- Anlage abgezogen. Die Eingabe erfolgt in CHF/m2. Da PV-Module als hochwertiges Material gelten sollte als Alternative ebenfalls ein hochwertiges Material berechnet werden.
</t>
  </si>
  <si>
    <t xml:space="preserve">Die Investitionskosten umfassen alle für die Realisierung benötigten Investitionskosten. 
Wird der Batteriespeicher für einen Backup- bzw. Notstrombetrieb zusätzlich grösser dimensioniert, können diese Kosten nicht über den Betriebsfall Eigenverbrauchsoptimierung amortisiert werden. Entsprechend wird der Wert Funktion Notstrom von den Investitionskosten zur Berechnung der Wirtschaftlichkeit subtrahiert.
</t>
  </si>
  <si>
    <t xml:space="preserve">Zusätzlich zum Eigenkapital kann auch Fremdkapital mit unterschiedlichen Zinssätzen und Laufzeiten bei der Wirtschaftlichkeitsberechnung berücksichtigt werden.
Wird Fremdkapital eingesetzt wird im Bericht sowohl die Projekt- als auch die Eigenkapitalrendite berechnet und angezeigt. 
</t>
  </si>
  <si>
    <t xml:space="preserve">Die Gestehungskosten werden aus allen Kosten für Kapital, Betrieb und Unterhalt, Mehrwertsteuer über die Anlagenlebensdauer ermittelt, dividiert durch den Gesamtenergieertrag inkl. Degradation.
</t>
  </si>
  <si>
    <t xml:space="preserve">Die Paybackdauer gibt an, nach welcher Zeit der Kapitaleinsatz für die Investition aus den direkten Erträgen wieder zurückgewonnen ist. Die Kapitalkosten werden dabei berücksichtigt.
</t>
  </si>
  <si>
    <t xml:space="preserve">Die Projektrendite gibt Auskunft über die projektspezifische Rendite. Dies bedeutet, dass in dieser Kennzahl keine Rücksicht auf die Finanzierungsstruktur genommen wird. Es wird von einer 100-prozentigen Eigenkapitalfinanzierung ausgegangen. Sie wird mit Hilfe des internen Zinssatzes (IRR) berechnet.
</t>
  </si>
  <si>
    <t xml:space="preserve">Die Eigenkapitalrendite zeigt die Verzinsung des Eigenkapitals an und dient als Indikator für die Rentabilität der eigenen Investition. Dabei wird die Finanzierungsstruktur mit berücksichtigt und nur die Rendite des eigenen Kapitals berechnet.
Durch den sogenannten Leverage-Effekt (Hebelwirkung) können dabei hohe Eigenkapitalrenditen entstehen. Hierbei ist jedoch Vorsicht geboten, da der Einsatz von Fremdkapital zur Finanzierung entsprechend auch ein wesentlich höheres Risiko mit sich bringen kann.
</t>
  </si>
  <si>
    <t xml:space="preserve">Durchschnittlicher Ertrag aus Eigenverbrauch, LEG und Abnahmevergütung minus Kapital-,  Betriebs- und Unterhaltskosten.
</t>
  </si>
  <si>
    <t xml:space="preserve">Im Geldflussplan werden die jährlichen Kapitalflüsse aufgezeigt. Die Kapitalflüsse setzten sich zusammen aus Einnahmen abzüglich Ausgaben. Je nach Intervallen bei den Betriebs- und Unterhaltskosten kann es auch Jahre mit negativen Kapitalflüssen geben. 
Zudem wird die Kapitalentwicklung netto (Cash Flow netto) und die Kapitalentwicklung NPV mit dem angegebenen Kalkulationszinssatz des Eigenkapitals dargestellt.
</t>
  </si>
  <si>
    <t xml:space="preserve">Für die Sensitivitätsanalysen werden jeweils zwei Parameter in einer Matrix variiert und der Einfluss auf die Rendite dargestellt. Dabei wird die Wirtschaftlichkeitsrechnung für jedes Wertepaar neu berechnet. 
Bei einer Wirtschaftlichkeitsberechnung über eine lange Laufzeit werden immer gewisse Vereinfachungen gemacht und Annahmen getroffen. Mit der Sensitivitätsanalyse können kritische Parameter identifiziert werden, die gegebenenfalls noch genauer analysiert werden müssen.
</t>
  </si>
  <si>
    <t>Ja/Nein</t>
  </si>
  <si>
    <t>Nutzung der Netzebenen</t>
  </si>
  <si>
    <t>NE 5</t>
  </si>
  <si>
    <t>NE 7</t>
  </si>
  <si>
    <t>NE 5 &amp; 7</t>
  </si>
  <si>
    <t>Beispiel 2</t>
  </si>
  <si>
    <t>Beispiel 3</t>
  </si>
  <si>
    <t>Beispiel 4</t>
  </si>
  <si>
    <t>Beispiel 5</t>
  </si>
  <si>
    <t>Beispiel 6</t>
  </si>
  <si>
    <t>Beispiel 8</t>
  </si>
  <si>
    <t>(Aufwand für die Abrechung der LEG (Einnahmen))</t>
  </si>
  <si>
    <t>Dach Angebaut</t>
  </si>
  <si>
    <t>Strom Privat Basic</t>
  </si>
  <si>
    <t>Beispiel 1</t>
  </si>
  <si>
    <t>HS Sensitivitätsanalyse</t>
  </si>
  <si>
    <t>Dach Integriert</t>
  </si>
  <si>
    <t>Flachdach 90 kWp mit Speicher, ohne ZEV, ohne LEG</t>
  </si>
  <si>
    <t xml:space="preserve">Dachsanierung Schrägdach 10 kWp ohne Speicher, ohne ZEV, ohne LEG </t>
  </si>
  <si>
    <t>Dachsanierung Schrägdach 10 kWp mit Speicher, ohne ZEV, ohne LEG</t>
  </si>
  <si>
    <t>Stromprodukt G1</t>
  </si>
  <si>
    <t>Aktivierung Debug Modus mit Beispielen</t>
  </si>
  <si>
    <t>Beispiele</t>
  </si>
  <si>
    <t>Auswahl vom Beispiel</t>
  </si>
  <si>
    <t>gewähltes Beispiel</t>
  </si>
  <si>
    <t>Beispiel 7</t>
  </si>
  <si>
    <t>(Resultat wird als Rechenwert für die Anlagenleistung übernommen)</t>
  </si>
  <si>
    <t>(wird als Rechenwert Betriebskosten LEG übernommen)</t>
  </si>
  <si>
    <t>(wird als Rechenwert Betriebskosten ZEV übernommen)</t>
  </si>
  <si>
    <t>Rechenwert Zinssatz [%]</t>
  </si>
  <si>
    <t>Rechenwert
Laufzeit [Jahre]</t>
  </si>
  <si>
    <t>Flachdach 90 kWp ohne Speicher, mit ZEV, ohne LEG</t>
  </si>
  <si>
    <t>Betrieb und Unterhalts- Batteriespeicher
[CHF]</t>
  </si>
  <si>
    <t>Betriebs und Unterhaltskosten PV- Anlage</t>
  </si>
  <si>
    <t>Betriebs und Unterhaltskosten Batteriespeicher</t>
  </si>
  <si>
    <t>Unterhaltskosten Batteriespeicher</t>
  </si>
  <si>
    <t>Ø Unterhaltskosten PV- Anlage</t>
  </si>
  <si>
    <t>Ø Unterhaltskosten Batteriespeicher</t>
  </si>
  <si>
    <t>CHF/Monat/Teilnehmer</t>
  </si>
  <si>
    <t>Grundkosten Abrechnung ZEV pro Teilnehmer</t>
  </si>
  <si>
    <t>Ø Unterhaltsaufwand und Ersatz</t>
  </si>
  <si>
    <t>Ø Unterhaltsaufwand</t>
  </si>
  <si>
    <t>Betriebs- und Unterhaltsaufwand (alle Angaben inkl. MWSt.)</t>
  </si>
  <si>
    <t>Betriebskosten LEG (Admin und Abrechnung)</t>
  </si>
  <si>
    <t>(Durch Batteriespeicher reduzierte, abrechnungsrelevante Leistungsspitzen pro Monat über ein Jahr aufsummiert)</t>
  </si>
  <si>
    <t>(Abzug für die Funktion Notstrom zur Wirtschaftlichkeitsberechnung, exkl. MWSt.)</t>
  </si>
  <si>
    <t>Mindestens notwendige Definitionen für eine Berechnung</t>
  </si>
  <si>
    <t>Abrechnungsgebühr ZEV mit Grundkosten
[CHF]</t>
  </si>
  <si>
    <t>Ø MWST-Vorsteuer (Unterhalt und Ersatz Batteriespeicher)</t>
  </si>
  <si>
    <t>Es wird kein Rechenwert für die Kosten für "Investitionskosten ZEV" vorgeschlagen</t>
  </si>
  <si>
    <t>Es wird mit einem Wechselrichterersatz in der Mitte der Lebensdauer kalkuliert. Die Kosten werden mit einer Pauschale von 500 CHF + 150 CHF/kWp berechnet.</t>
  </si>
  <si>
    <t>Wirkungsgrad des Speichers</t>
  </si>
  <si>
    <t>(Reduktion der abrechnungsrelevanten Leistungsspitzen pro Monat über ein Jahr aufsummiert)</t>
  </si>
  <si>
    <t>(wird nur für die Förderungen von Pronovo berücksichtigt)</t>
  </si>
  <si>
    <t>(wird direkt den Investitionskosten abgezogen)</t>
  </si>
  <si>
    <t>Jahre (Wenn Kosten eingetragen wird die Speicherlebensdauer verlängert)</t>
  </si>
  <si>
    <t>(Der Abschlag auf die Netzkosten ist abhängig davon, wieviele Netzebenen genutzt werden)</t>
  </si>
  <si>
    <t>Für die Abrechnungskosten der LEG werden 1.5 Rp./kWh angenommen.</t>
  </si>
  <si>
    <t>Anzahl separat gemessene Teilnehmer ZEV</t>
  </si>
  <si>
    <t>Flachdach 90 kWp mit Speicher, mit ZEV, mit LEG</t>
  </si>
  <si>
    <t>Vergütung
Stromverkauf LEG inkl. Abrechnunggebühr
[CHF]</t>
  </si>
  <si>
    <t>V2.1</t>
  </si>
  <si>
    <t>Fehlerkorrektur Berechnung Abnahmevergütung ohne LEG</t>
  </si>
  <si>
    <t>V2.2</t>
  </si>
  <si>
    <t>Präzisierung Berechnung Unterhaltskosten, Korrektes Einblenden von ZEV und LEG Betriebskosten</t>
  </si>
  <si>
    <t>Es wird mit keiner jährlichen Gründachpflege  gerechnet. Die Kosten werden bei einem Gründach oft mit einer Pauschale von 500 CHF + 3 CHF/m2 Modulfläche kalkuliert.</t>
  </si>
  <si>
    <t>Es wird mit Kontrollgängen alle 5 Jahre gerechnet. Die Kosten werden mit einer Pauschale von 800 CHF + 2 ‰ der Investitionssumme kalkuliert.</t>
  </si>
  <si>
    <t>Die jährlichen Kosten für die Überwachung werden mit einer Grundgebühr von 60 CHF und 2 CHF/kWp berechnet.</t>
  </si>
  <si>
    <t>Die jährlichen Kosten für die Administration werden mit einer Grundgebühr von 90 CHF und 2 CHF/kWp berechnet.</t>
  </si>
  <si>
    <t>Leistungsspitzen/ Leistungskosten</t>
  </si>
  <si>
    <t>(Einnahmen für die Abrechnung der ZEV pro Teilnehmer)</t>
  </si>
  <si>
    <t>Die Abnahmevergütung ist orts- und leistungsabhängig, es wird eine Mindestvergütung angenommen</t>
  </si>
  <si>
    <t>Der Herkunftsnachweis ist orts- und leistungsabhängig, es wird ein Mindest-HKN-Tarif angenommen</t>
  </si>
  <si>
    <t>(Anzahl der Verbraucher, welche am Eigenverbrauch am Ort der Produktion teilnehmen)</t>
  </si>
  <si>
    <t>(Teuerung berücksichtigt, exkl. Batterie)</t>
  </si>
  <si>
    <t>Fläche wird berechnet mit 240 W/m2</t>
  </si>
  <si>
    <t>Es wird ein Wert in der Mitte des typischen Bereiches verwendet</t>
  </si>
  <si>
    <t>Für Anlagen ohne ZEV wird der Median des Strompreises H4 Total (Mai / 2025) von https://www.strompreis.elcom.admin.ch/ verwendet.
Für den internen Stromverkauf in der ZEV wird 80% davon abzgl. den Abrechnungskosten ZEV verwendet.</t>
  </si>
  <si>
    <t>Es können 80% des Grundpreises EVU der einzelnen Teilnehmer verrechnet werden. Es wird von einem Grundpreis von 10 CHF/Monat ausgegangen</t>
  </si>
  <si>
    <t>Als PV- Stromtarif in der LEG wird 1/3 des Strompreisees H4 Total (Mai / 2025) von https://www.strompreis.elcom.admin.ch/ verwendet.</t>
  </si>
  <si>
    <t>Es werden keine Abzüge für den Wert der Notstromfunktion vorgeschlagen.</t>
  </si>
  <si>
    <t>Es wird mit jährlichen Kosten von 3.2 ‰ der Investitionskosten kalkuliert</t>
  </si>
  <si>
    <t>Es werden keine Defaultwerte Mietkosten vorgeschlagen</t>
  </si>
  <si>
    <t>Es werden keine Defaultwerte Trafokosten vorgeschlagen</t>
  </si>
  <si>
    <t>Es wird mit dem Ersatz des Batteriespeichers nach der Lebensdauer gerechnet. Die Kosten betragen 70% der Investitionskosten des ersten Batteriespeichers.</t>
  </si>
  <si>
    <t>(Bei Privaten 20% der Investitionskosten nach Abzug Förderung; wird direkt den Investitionskosten abgezogen)</t>
  </si>
  <si>
    <t>Beschreibung des vorgeschlagenen Rechenwertes</t>
  </si>
  <si>
    <t>V2.3</t>
  </si>
  <si>
    <t>(Energiekosten für den Verbraucher in der LEG exkl. Netzkosten des VNB)</t>
  </si>
  <si>
    <t>Der Defaultwert wird so berechnet, dass der komplette Überschuss (ohne Eigenverbrauch und Eigenverbrauch Batterie) in der LEG verkauft wird.</t>
  </si>
  <si>
    <t>ZEV oder vZEV</t>
  </si>
  <si>
    <t>Hilfsberechnung über Modulleistung</t>
  </si>
  <si>
    <t>Behebung von Schriftfehlern und fehlerhaften Bezügen</t>
  </si>
  <si>
    <t>direkter Eigenverbrauchsanteil PV- Anlage</t>
  </si>
  <si>
    <t>Anlagenennleistung (STC)</t>
  </si>
  <si>
    <t>Anlagelebensdauer</t>
  </si>
  <si>
    <t>Investition PVA für Wirtschaftlichkeit</t>
  </si>
  <si>
    <t>Funktion Gebäudehülle</t>
  </si>
  <si>
    <t>direkte Förderung</t>
  </si>
  <si>
    <t>Einmalvergütung (EIV)</t>
  </si>
  <si>
    <t>Fassadenbonus (FB)</t>
  </si>
  <si>
    <t>Höhenbonus (HB)</t>
  </si>
  <si>
    <t>Parkflächenbonus (PB)</t>
  </si>
  <si>
    <t>Total Fördergelder</t>
  </si>
  <si>
    <t>Auszahlungsfrist EIV und Boni</t>
  </si>
  <si>
    <t>Steuereinsparungen</t>
  </si>
  <si>
    <t>Investition PVA netto</t>
  </si>
  <si>
    <t>Investition Batterie für Wirtschaftlichkeit</t>
  </si>
  <si>
    <t>Total Fördergelder Batterie</t>
  </si>
  <si>
    <t>Investition Batterie netto</t>
  </si>
  <si>
    <t>V2.4</t>
  </si>
  <si>
    <t>davon Ø  Abnahmevergütung</t>
  </si>
  <si>
    <t>davon Ø  an  LEG</t>
  </si>
  <si>
    <t>Eigenverbrauchsanteil mit Batterie</t>
  </si>
  <si>
    <t>Es wird mit einer durchschnittlichen Erhöhung des Eigenverbrauchsanteils um 20% gerechnet, was im Wohnbereich ein zu erwartender Wert ist</t>
  </si>
  <si>
    <t>Erhöhung Eigenverbrauchsanteil mit Batterie</t>
  </si>
  <si>
    <t>Wird berechnet aus der Differenz zwischen Eigenverbrauchsanteils mit Batterie und Eigenverbrauchsanteil am Ort der Produktion</t>
  </si>
  <si>
    <t>Eigenverbrauchsanteil mit Batteriespeicher</t>
  </si>
  <si>
    <t>Eigenverbrauchsanteil</t>
  </si>
  <si>
    <t xml:space="preserve">Die Degradation (von lat. degradere „herabsetzen“) wird in der Photovoltaik die Leistungsminderung der Solarzellen über einen definierten Zeitraum bezeichnet. 
In den Kalkulationen wird beim Berechnen des mittleren Jahresenergieertrags und der Kapitalverzinsung die Degradation jeweils berücksichtigt.
Ein Richtwert für die Degradation der Anlagen- Nennleistung liegt bei 0.6% / Jahr.
Auch Batteriespeicher unterliegen einer Degradation der Speicherkapazität. 
Das Ende der Lebensdauer eines Batteriespeichers wird oft bei einer Degradation von 20% festgelegt.
Die Degradation des Batteriespeichers reduziert auch die Erhöhung des Eigenverbrauchsanteils durch die Batterie. Dies wird in der Berechnung der Wirtschaftlichkeit entsprechend berücksichtigt.
</t>
  </si>
  <si>
    <t xml:space="preserve">Die Lebensdauer einer PV- Anlage wird meist an der Lebensdauer der PV- Module festgelegt. Der Ersatz von Komponenten mit tieferer Lebensdauer (wie z.B. der Wechselrichter) werden in den Betriebs- und Unterhaltskosten berücksichtigt.
Batteriespeicher weisen meist eine geringere Lebensdauer auf als die PV- Anlage. Soll die PV- Anlage über die gesamte Lebensdauer mit einer Batterie betrieben werden, ist ein Ersatz des Batteriespeichers bei den Unterhaltskosten einzuplanen. Mit dem Ersatz des Batteriespeichers wird die Lebensdauer des Batteriespeichers automatisch verlängert (bis maximal der Anlagenlebensdauer der PV- Anlage).
</t>
  </si>
  <si>
    <t xml:space="preserve">Eigenverbrauch gilt am Ort der Produktion. Dieser kann entweder mit einem Endverrbaucher gemacht werden oder es gibt einen Zusammenschluss von Verbrauchern zum Eigenverbrauch.
Beim Zusammenschluss zum Eigenverbrauch (ZEV) schliessen sich mehrere Verbraucher zusammen und verbrauchen den Solarstrom ohne Nutzung ves öffentlichen Stromnetzes. Die Netznutzungsgebühren und Abgaben können entsprechend eingespart werden.
Sind Mieter im ZEV integriert, wird der Solarstromtarif (inkl. Abrechnungskosten) meist auf 80% des Stromtarifs (Energie und Netznutzung) des Mieters ohne ZEV festgelegt.
Als weiteres Modell gilt auch das Praxismodell von Verteilnetzbetreibern (VNB) als Eigenverbrauch am Ort der Produktion und kann bei der Berechnung wie eine ZEV behandelt werden. Im Praxismodell VNB gelten keine Mieterschutzbestimmungen und der Solarstromtarif kann beliebig festgelegt werden.
</t>
  </si>
  <si>
    <t xml:space="preserve">Für die Abrechnung des Solarstroms in der ZEV können auf den Solarstromtarif zusätzlich Abrechnungskosten erhoben werden. Diese werden entweder pro kWh Eigenverbrauch oder als Pauschale pro Verbraucher abgerechnet. Den zusätzlichen Einnahmen über die Abrechnungskosten der ZEV stehen die Betriebskosten ZEV bei den Unterhaltskosten gegenüber. 
Diese beinhalten alle externen Kosten wie Softwarelizenz, Zählereichung etc., welche für die Messung und Abrechnung des ZEV anfallen. Diese werden separat unter den Betriebskosten erfasst.
</t>
  </si>
  <si>
    <t xml:space="preserve">Der Eigenverbrauchsanteil gibt an, welcher Anteil der von der Photovoltaikanlage erzeugten Energie selbst genutzt (ins gemessene Netz eingespiesen) und nicht verkauft wird.
Beispiele zum Eigenverbrauchsanteil:
- ca. 15-20% ohne Berücksichtigung des täglichen Solarstrom-Produktionsverlaufs
- ca. 30-40% bei Berücksichtung des täglichen Solarstrom-Produktionsverlaufs
- bis ca. 80% mit Hilfe von elektronischen Schaltgeräten, die den zeitlichen Stromverbrauch dem täglichen Solarstrom-Produktionsverlaufs anpassen (Smart Metering)
Die Erhöhung des Eigenverbrauchsanteils durch den Batteriespeicher wird separat angegeben und in den Berechnungen berücksichtigt.
</t>
  </si>
  <si>
    <t xml:space="preserve">Der Stromverkauf in der LEG entspricht einem Anteil der Stromproduktion nach Abzug des Eigenverbrauchs. Der Anteil des Stromverkaufs in der LEG wird in % der Gesamtproduktionsmenge festgelegt. 
</t>
  </si>
  <si>
    <t xml:space="preserve">Der Solarstrom, der nicht im Eigenverbrauch verbraucht oder im ZEV verkauft wird, wird ins Stromnetz verkauft. Dies erfolgt meist über das lokale Energieversorgungsunternehmen oder alternativ über einen Stromhändler.
Wird eine Photovoltaikanlage ohne Eigenverbrauch betrieben, wird die gesamte Energie an das lokale Stromnetz abgeben.
Künftig werden die Abnahmevergütungen dynamisch erhoben, dies kann sich auf saisonale Unterschiede beschränken oder sogar von der Tageszeit abhängig gemacht werden. 
Die Wirtschaftlichkeitsberechnung hat eine Jahresauflösung. Die eingesetzte Abnahmevergütung muss also saisonal und zeitlich auf das zu erwartende Rücklieferprofil gewichtet und gemittelt werden. 
Wird das Förderungsmodell der gleitenden Marktprämie gewählt, ist ein entsprechend gewichteter und gemittelter Markttarif als Rückliefertarif zu verwenden.
</t>
  </si>
  <si>
    <t xml:space="preserve">Die Photovoltaikanlage beeinflusst auch die Leistungsspitze des Elektrizitätsbezugs vom Netzbetreiber. Die Absenkung der Leistungsspitzen durch die PV- Anlage kann entsprechend auch weiterverrechnet werden.
Die meisten Netzbetreiber erheben Leistungskosten erst ab einer gewissen Grösse der Verbraucher. Bei einem Zusammenschluss zum Eigenverbrauch gilt man als ein Verbraucher gegenüber dem Netzbetreiber und erreicht diese Schwelle entsprechend schneller.
Die Leistungskosten werden meist monatlich auf die maximale mittlere Leistung in 15 Minuten erhoben. Die mögliche Einsparung der Leistungsspitzen betrifft also die Summe der Einsparungen über ein ganzes Jahr.
Die mögliche Einsparung der Leistungsspitzen ist insbesondre beim Einsatz eines Batteriespeichers relevant. Dieser kann sogar in der Funktion so programmiert werden, dass die Reduktion der Leistungsspitzen optimiert wird.
 </t>
  </si>
  <si>
    <t xml:space="preserve">Die Förderung auf die Investitionssumme beinhaltet die nationale Förderung des Bundes über Pronovo (Einmalvergütung) und weitere direkte Förderungen von Kanton oder Gemeinde.
Die Förderung durch Pronovo kann im Tarifrechner von Pronovo Online berechnet werden. Die einzelnen Boni werden separat eingegeben. Für die Auszahlungsfrist der Förderung durch Pronovo kann das Auszahlungsjahr eingegeben werden.
Die sonstige Förderung sowie auch allfällige steuerliche Einsparungen durch Abzüge werden direkt von der Investitionssumme abgezogen.
</t>
  </si>
  <si>
    <t xml:space="preserve">Für die Wartungs-, Betriebs- und Unterhaltskosten sind Rückstellungen vorzunehmen. 
Entweder wird pro produzierte kWh ein fixer Betrag als Rückstellung berücksichtigt. Für die Festlegung des Betrags müssen mindestens folgende Punkte berücksichtigt werden.
- allgemeine Wartung der PV-Anlage
- Reinigung der Module
- Fernüberwachung
- Service und Instandhaltung der Wechselrichter
- allenfalls Service-Vertrag
Für eine genauere Kalkulation können in einer Wartungstabelle die einzelnen Kosten und deren Regelmässigkeit eingegeben werden. in der Wirtschaftlichkeitsberechnung werden die Kosten anhand deren Regelmässigkeit berücksichtigt.
Wechselrichter und Batteriespeicher weisen eine wesentlich geringere Lebensdauer als die PV- Anlage auf. Entsprechend muss deren Ersatz bei den Betriebs- und Unterhaltskosten berücksichtigt werden.
</t>
  </si>
  <si>
    <t xml:space="preserve"> = Net Present Value (oder Nettobarwert, Discounted Cash Flow, Nettogegenwartswert, Barwert aller Zahlungen)
Der Kapitalwert zum Zeitpunkt 0 ist die Summe aller mit dem Kalkulationszinssatz abgezinsten Zahlungen (Ein- und Auszahlungen). Der Kapitalwert dient u. a. der Beurteilung von Investitionsobjekten. Der Kalkulationszinssatz (Verzinsung des Investitionsprojekts) wird in der Höhe einer alternativen Investitions-Rendite angegeben. (siehe Zinssatz Eigenkapital)
Ist der Kapitalwert positiv, ist die Investition gegenüber einer alternativen Investition mit dem eingesetzten Kalkulationszinssatz sehr vorteilhaft.
</t>
  </si>
  <si>
    <t>(Ø Eigenverbrauch pro Jahr über Anlagenlebensdauer)</t>
  </si>
  <si>
    <t>(Einnahmen für die Abrechnung des Solarstroms in der ZEV)</t>
  </si>
  <si>
    <t>PV-Stromtarif LEG exkl. Abrechnung</t>
  </si>
  <si>
    <t>PV- Stromtarif LEG inkl. Abrechnung</t>
  </si>
  <si>
    <t>Anteil Solarstrom mit Abnahmevergütung in %</t>
  </si>
  <si>
    <t>Anteil Solarstrom mit Abnahmevergütung in kWh</t>
  </si>
  <si>
    <t>(Ø Anteil Solarstrom mit Abnahmevergütung pro Jahr über Anlagenlebensdauer)</t>
  </si>
  <si>
    <t>(konstant über Lebensdauer)</t>
  </si>
  <si>
    <t>Es wird der Preis aus der Preisbeobachtungsstudie 2024 berechnet. Das ist der mittlere Preis für eine Aufdachanlage.</t>
  </si>
  <si>
    <r>
      <t>m</t>
    </r>
    <r>
      <rPr>
        <vertAlign val="superscript"/>
        <sz val="11"/>
        <color theme="1"/>
        <rFont val="Aptos"/>
        <family val="2"/>
      </rPr>
      <t>2</t>
    </r>
  </si>
  <si>
    <t>(Im 1. Betriebsjahr)</t>
  </si>
  <si>
    <t>Jahresenergieertrag</t>
  </si>
  <si>
    <t>(Jahresenergieverbrauch aller Solarstromkonsumenten exkl LEG)</t>
  </si>
  <si>
    <t>Leistungstarif mit Teuerung [CHF/kW/m]</t>
  </si>
  <si>
    <t>Anteil Solarstrom an LEG in %</t>
  </si>
  <si>
    <t>Anteil Solarstrom an LEG in kWh</t>
  </si>
  <si>
    <t>Defaultwerte BUK Preis pro kWh, Einfügung Anteile Solarstrom in kWh, Aktualisierung Preisbeobachtungsstudie, Anpassung Darstellung ZEV, BUK ZEV und LEG nach oben transferiert, Bericht für Eingabe 0 kWp optimiert.</t>
  </si>
  <si>
    <t>Betriebskosten LEG</t>
  </si>
  <si>
    <t>(Resultat wird als Rechenwert für die Betriebskosten LEG übernommen)</t>
  </si>
  <si>
    <t>Solarstrom an LEG</t>
  </si>
  <si>
    <t>Ø Kosten eingelagerte Energie (zum Tarif Abnahmevergütung)</t>
  </si>
  <si>
    <t>Hilfsberechnung Betriebskosten über Kosten pro kWh</t>
  </si>
  <si>
    <t>Teuerungsrate (inflation rate)</t>
  </si>
  <si>
    <t>(Wird angewendet auf alle jährlichen Einnahmen und Ausgaben) (Applies to all annual income and expenses)</t>
  </si>
  <si>
    <t>Anzahl (number)</t>
  </si>
  <si>
    <t>maintenance schedule</t>
  </si>
  <si>
    <t>(Fixed costs, excluding VAT)</t>
  </si>
  <si>
    <t>(Investment amount minus fixed costs)</t>
  </si>
  <si>
    <t>AF</t>
  </si>
  <si>
    <t>AG</t>
  </si>
  <si>
    <t>AH</t>
  </si>
  <si>
    <t>AI</t>
  </si>
  <si>
    <t>AJ</t>
  </si>
  <si>
    <t>AK</t>
  </si>
  <si>
    <t>AL</t>
  </si>
  <si>
    <t>AM</t>
  </si>
  <si>
    <t>AN</t>
  </si>
  <si>
    <t>AO</t>
  </si>
  <si>
    <t>AP</t>
  </si>
  <si>
    <t>AQ</t>
  </si>
  <si>
    <t>AR</t>
  </si>
  <si>
    <t>AS</t>
  </si>
  <si>
    <t>AT</t>
  </si>
  <si>
    <t>AU</t>
  </si>
  <si>
    <t>Abnahmevergütung (feed-in- tariff)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</si>
</sst>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quot;CHF&quot;\ #,##0"/>
    <numFmt numFmtId="166" formatCode="#,##0.000"/>
    <numFmt numFmtId="167" formatCode="0.0"/>
    <numFmt numFmtId="168" formatCode="#,##0.0"/>
    <numFmt numFmtId="169" formatCode="&quot;CHF&quot;\ #,##0.00"/>
    <numFmt numFmtId="170" formatCode="0.0%"/>
    <numFmt numFmtId="171" formatCode="#,##0\ &quot;Jahre&quot;"/>
    <numFmt numFmtId="172" formatCode="#,##0.0\ &quot;Rp./kWh&quot;"/>
    <numFmt numFmtId="173" formatCode="&quot;CHF&quot;\ #,##0.000"/>
    <numFmt numFmtId="174" formatCode="#,##0\ &quot;CHF/m2&quot;"/>
    <numFmt numFmtId="175" formatCode="0\ &quot;Jahre&quot;"/>
    <numFmt numFmtId="176" formatCode="#,##0.00\ \k\W\p"/>
    <numFmt numFmtId="177" formatCode="#,##0\ &quot;CHF&quot;"/>
    <numFmt numFmtId="178" formatCode="0.0000"/>
  </numFmts>
  <fonts count="28" x14ac:knownFonts="1">
    <font>
      <sz val="11"/>
      <color theme="1"/>
      <name val="Calibri"/>
      <family val="2"/>
      <scheme val="minor"/>
    </font>
    <font>
      <b/>
      <sz val="11"/>
      <color theme="1"/>
      <name val="Calibri"/>
      <family val="2"/>
      <scheme val="minor"/>
    </font>
    <font>
      <sz val="11"/>
      <color theme="1"/>
      <name val="Aptos"/>
      <family val="2"/>
    </font>
    <font>
      <b/>
      <sz val="12"/>
      <color theme="1"/>
      <name val="Aptos"/>
      <family val="2"/>
    </font>
    <font>
      <b/>
      <sz val="11"/>
      <color theme="1"/>
      <name val="Aptos"/>
      <family val="2"/>
    </font>
    <font>
      <i/>
      <sz val="11"/>
      <color theme="1"/>
      <name val="Aptos"/>
      <family val="2"/>
    </font>
    <font>
      <b/>
      <sz val="16"/>
      <color theme="1"/>
      <name val="Aptos"/>
      <family val="2"/>
    </font>
    <font>
      <i/>
      <sz val="10"/>
      <color theme="1"/>
      <name val="Aptos"/>
      <family val="2"/>
    </font>
    <font>
      <i/>
      <sz val="9"/>
      <color theme="1"/>
      <name val="Aptos"/>
      <family val="2"/>
    </font>
    <font>
      <sz val="11"/>
      <name val="Aptos"/>
      <family val="2"/>
    </font>
    <font>
      <sz val="11"/>
      <color theme="0"/>
      <name val="Aptos"/>
      <family val="2"/>
    </font>
    <font>
      <b/>
      <sz val="12"/>
      <color theme="0"/>
      <name val="Aptos"/>
      <family val="2"/>
    </font>
    <font>
      <b/>
      <sz val="11"/>
      <color theme="0"/>
      <name val="Aptos"/>
      <family val="2"/>
    </font>
    <font>
      <sz val="8"/>
      <name val="Calibri"/>
      <family val="2"/>
      <scheme val="minor"/>
    </font>
    <font>
      <u/>
      <sz val="11"/>
      <color theme="10"/>
      <name val="Calibri"/>
      <family val="2"/>
      <scheme val="minor"/>
    </font>
    <font>
      <b/>
      <sz val="16"/>
      <color theme="1"/>
      <name val="Calibri"/>
      <family val="2"/>
      <scheme val="minor"/>
    </font>
    <font>
      <sz val="16"/>
      <color theme="1"/>
      <name val="Calibri"/>
      <family val="2"/>
      <scheme val="minor"/>
    </font>
    <font>
      <i/>
      <u/>
      <sz val="11"/>
      <color theme="10"/>
      <name val="Calibri"/>
      <family val="2"/>
      <scheme val="minor"/>
    </font>
    <font>
      <b/>
      <sz val="11"/>
      <color rgb="FFFF0000"/>
      <name val="Aptos"/>
      <family val="2"/>
    </font>
    <font>
      <i/>
      <sz val="11"/>
      <color theme="0"/>
      <name val="Aptos"/>
      <family val="2"/>
    </font>
    <font>
      <vertAlign val="superscript"/>
      <sz val="11"/>
      <color theme="1"/>
      <name val="Aptos"/>
      <family val="2"/>
    </font>
    <font>
      <b/>
      <sz val="11"/>
      <color theme="1"/>
      <name val="Aptos"/>
    </font>
    <font>
      <sz val="11"/>
      <color theme="0"/>
      <name val="Aptos"/>
    </font>
    <font>
      <b/>
      <sz val="11"/>
      <color theme="0"/>
      <name val="Aptos"/>
    </font>
    <font>
      <sz val="11"/>
      <color theme="1"/>
      <name val="Aptos"/>
    </font>
    <font>
      <sz val="10"/>
      <color rgb="FF000000"/>
      <name val="Tahoma"/>
      <family val="2"/>
    </font>
    <font>
      <b/>
      <sz val="10"/>
      <color rgb="FF000000"/>
      <name val="Tahoma"/>
      <family val="2"/>
    </font>
    <font>
      <i/>
      <sz val="11"/>
      <color rgb="FFFF0000"/>
      <name val="Aptos"/>
      <family val="2"/>
    </font>
  </fonts>
  <fills count="2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3"/>
        <bgColor indexed="64"/>
      </patternFill>
    </fill>
    <fill>
      <patternFill patternType="solid">
        <fgColor theme="6" tint="0.59999389629810485"/>
        <bgColor indexed="64"/>
      </patternFill>
    </fill>
    <fill>
      <patternFill patternType="solid">
        <fgColor theme="2" tint="-0.14999847407452621"/>
        <bgColor indexed="64"/>
      </patternFill>
    </fill>
    <fill>
      <patternFill patternType="solid">
        <fgColor theme="1"/>
        <bgColor indexed="64"/>
      </patternFill>
    </fill>
    <fill>
      <patternFill patternType="solid">
        <fgColor theme="0" tint="-0.34998626667073579"/>
        <bgColor indexed="64"/>
      </patternFill>
    </fill>
    <fill>
      <patternFill patternType="solid">
        <fgColor theme="6"/>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7" tint="0.39997558519241921"/>
        <bgColor indexed="64"/>
      </patternFill>
    </fill>
  </fills>
  <borders count="2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thin">
        <color indexed="64"/>
      </top>
      <bottom style="double">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thin">
        <color theme="0"/>
      </top>
      <bottom/>
      <diagonal/>
    </border>
    <border>
      <left/>
      <right/>
      <top/>
      <bottom style="thin">
        <color theme="0"/>
      </bottom>
      <diagonal/>
    </border>
    <border>
      <left/>
      <right/>
      <top style="thin">
        <color theme="0"/>
      </top>
      <bottom style="thin">
        <color theme="0"/>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top style="hair">
        <color indexed="64"/>
      </top>
      <bottom style="hair">
        <color indexed="64"/>
      </bottom>
      <diagonal/>
    </border>
    <border>
      <left/>
      <right/>
      <top style="hair">
        <color indexed="64"/>
      </top>
      <bottom/>
      <diagonal/>
    </border>
    <border>
      <left/>
      <right/>
      <top style="thin">
        <color theme="3"/>
      </top>
      <bottom/>
      <diagonal/>
    </border>
    <border>
      <left/>
      <right/>
      <top/>
      <bottom style="thin">
        <color theme="3"/>
      </bottom>
      <diagonal/>
    </border>
    <border>
      <left/>
      <right/>
      <top/>
      <bottom style="thick">
        <color indexed="64"/>
      </bottom>
      <diagonal/>
    </border>
    <border>
      <left/>
      <right/>
      <top style="thick">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4" fillId="0" borderId="0" applyNumberFormat="0" applyFill="0" applyBorder="0" applyAlignment="0" applyProtection="0"/>
  </cellStyleXfs>
  <cellXfs count="389">
    <xf numFmtId="0" fontId="0" fillId="0" borderId="0" xfId="0"/>
    <xf numFmtId="0" fontId="1" fillId="0" borderId="0" xfId="0" applyFont="1"/>
    <xf numFmtId="0" fontId="2" fillId="0" borderId="0" xfId="0" applyFont="1"/>
    <xf numFmtId="0" fontId="4" fillId="0" borderId="0" xfId="0" applyFont="1"/>
    <xf numFmtId="0" fontId="4" fillId="5" borderId="0" xfId="0" applyFont="1" applyFill="1"/>
    <xf numFmtId="0" fontId="4" fillId="0" borderId="0" xfId="0" applyFont="1" applyAlignment="1">
      <alignment horizontal="left"/>
    </xf>
    <xf numFmtId="0" fontId="2" fillId="5" borderId="0" xfId="0" applyFont="1" applyFill="1"/>
    <xf numFmtId="0" fontId="2" fillId="5" borderId="0" xfId="0" applyFont="1" applyFill="1" applyAlignment="1">
      <alignment horizontal="right"/>
    </xf>
    <xf numFmtId="4" fontId="2" fillId="5" borderId="0" xfId="0" applyNumberFormat="1" applyFont="1" applyFill="1"/>
    <xf numFmtId="3" fontId="2" fillId="5" borderId="0" xfId="0" applyNumberFormat="1" applyFont="1" applyFill="1"/>
    <xf numFmtId="0" fontId="4" fillId="0" borderId="0" xfId="0" applyFont="1" applyAlignment="1">
      <alignment vertical="top"/>
    </xf>
    <xf numFmtId="0" fontId="2" fillId="5" borderId="0" xfId="0" applyFont="1" applyFill="1" applyAlignment="1">
      <alignment vertical="top"/>
    </xf>
    <xf numFmtId="0" fontId="4" fillId="0" borderId="0" xfId="0" applyFont="1" applyAlignment="1">
      <alignment horizontal="right"/>
    </xf>
    <xf numFmtId="167" fontId="2" fillId="5" borderId="0" xfId="0" applyNumberFormat="1" applyFont="1" applyFill="1"/>
    <xf numFmtId="166" fontId="4" fillId="5" borderId="0" xfId="0" applyNumberFormat="1" applyFont="1" applyFill="1"/>
    <xf numFmtId="164" fontId="2" fillId="5" borderId="0" xfId="0" applyNumberFormat="1" applyFont="1" applyFill="1"/>
    <xf numFmtId="165" fontId="2" fillId="5" borderId="0" xfId="0" applyNumberFormat="1" applyFont="1" applyFill="1"/>
    <xf numFmtId="2" fontId="2" fillId="5" borderId="0" xfId="0" applyNumberFormat="1" applyFont="1" applyFill="1"/>
    <xf numFmtId="0" fontId="2" fillId="0" borderId="7" xfId="0" applyFont="1" applyBorder="1"/>
    <xf numFmtId="164" fontId="2" fillId="5" borderId="7" xfId="0" applyNumberFormat="1" applyFont="1" applyFill="1" applyBorder="1"/>
    <xf numFmtId="0" fontId="2" fillId="5" borderId="7" xfId="0" applyFont="1" applyFill="1" applyBorder="1"/>
    <xf numFmtId="0" fontId="2" fillId="3" borderId="0" xfId="0" applyFont="1" applyFill="1"/>
    <xf numFmtId="3" fontId="2" fillId="3" borderId="0" xfId="0" applyNumberFormat="1" applyFont="1" applyFill="1"/>
    <xf numFmtId="0" fontId="2" fillId="3" borderId="0" xfId="0" applyFont="1" applyFill="1" applyAlignment="1">
      <alignment horizontal="right"/>
    </xf>
    <xf numFmtId="0" fontId="4" fillId="0" borderId="12" xfId="0" applyFont="1" applyBorder="1"/>
    <xf numFmtId="9" fontId="2" fillId="5" borderId="0" xfId="0" applyNumberFormat="1" applyFont="1" applyFill="1"/>
    <xf numFmtId="170" fontId="2" fillId="0" borderId="0" xfId="0" applyNumberFormat="1" applyFont="1"/>
    <xf numFmtId="172" fontId="2" fillId="5" borderId="0" xfId="0" applyNumberFormat="1" applyFont="1" applyFill="1"/>
    <xf numFmtId="10" fontId="2" fillId="5" borderId="0" xfId="0" applyNumberFormat="1" applyFont="1" applyFill="1"/>
    <xf numFmtId="0" fontId="3" fillId="0" borderId="0" xfId="0" applyFont="1"/>
    <xf numFmtId="0" fontId="2" fillId="2" borderId="0" xfId="0" applyFont="1" applyFill="1"/>
    <xf numFmtId="0" fontId="4" fillId="4" borderId="1" xfId="0" applyFont="1" applyFill="1" applyBorder="1"/>
    <xf numFmtId="0" fontId="2" fillId="4" borderId="2" xfId="0" applyFont="1" applyFill="1" applyBorder="1"/>
    <xf numFmtId="0" fontId="2" fillId="4" borderId="3" xfId="0" applyFont="1" applyFill="1" applyBorder="1"/>
    <xf numFmtId="0" fontId="2" fillId="4" borderId="4" xfId="0" applyFont="1" applyFill="1" applyBorder="1"/>
    <xf numFmtId="2" fontId="2" fillId="0" borderId="0" xfId="0" applyNumberFormat="1" applyFont="1" applyProtection="1">
      <protection locked="0"/>
    </xf>
    <xf numFmtId="0" fontId="2" fillId="0" borderId="5" xfId="0" applyFont="1" applyBorder="1"/>
    <xf numFmtId="0" fontId="2" fillId="4" borderId="6" xfId="0" applyFont="1" applyFill="1" applyBorder="1"/>
    <xf numFmtId="0" fontId="2" fillId="4" borderId="0" xfId="0" applyFont="1" applyFill="1"/>
    <xf numFmtId="0" fontId="2" fillId="4" borderId="5" xfId="0" applyFont="1" applyFill="1" applyBorder="1"/>
    <xf numFmtId="4" fontId="2" fillId="6" borderId="0" xfId="0" applyNumberFormat="1" applyFont="1" applyFill="1" applyProtection="1">
      <protection locked="0"/>
    </xf>
    <xf numFmtId="4" fontId="2" fillId="4" borderId="0" xfId="0" applyNumberFormat="1" applyFont="1" applyFill="1"/>
    <xf numFmtId="168" fontId="2" fillId="4" borderId="0" xfId="0" applyNumberFormat="1" applyFont="1" applyFill="1"/>
    <xf numFmtId="1" fontId="2" fillId="0" borderId="0" xfId="0" applyNumberFormat="1" applyFont="1" applyProtection="1">
      <protection locked="0"/>
    </xf>
    <xf numFmtId="1" fontId="2" fillId="4" borderId="0" xfId="0" applyNumberFormat="1" applyFont="1" applyFill="1"/>
    <xf numFmtId="3" fontId="2" fillId="0" borderId="0" xfId="0" applyNumberFormat="1" applyFont="1" applyProtection="1">
      <protection locked="0"/>
    </xf>
    <xf numFmtId="3" fontId="2" fillId="4" borderId="0" xfId="0" applyNumberFormat="1" applyFont="1" applyFill="1"/>
    <xf numFmtId="2" fontId="2" fillId="4" borderId="0" xfId="0" applyNumberFormat="1" applyFont="1" applyFill="1"/>
    <xf numFmtId="2" fontId="2" fillId="4" borderId="0" xfId="0" applyNumberFormat="1" applyFont="1" applyFill="1" applyAlignment="1">
      <alignment horizontal="right"/>
    </xf>
    <xf numFmtId="1" fontId="2" fillId="6" borderId="7" xfId="0" applyNumberFormat="1" applyFont="1" applyFill="1" applyBorder="1" applyProtection="1">
      <protection locked="0"/>
    </xf>
    <xf numFmtId="1" fontId="2" fillId="4" borderId="7" xfId="0" applyNumberFormat="1" applyFont="1" applyFill="1" applyBorder="1"/>
    <xf numFmtId="0" fontId="2" fillId="4" borderId="7" xfId="0" applyFont="1" applyFill="1" applyBorder="1"/>
    <xf numFmtId="0" fontId="5" fillId="4" borderId="7" xfId="0" applyFont="1" applyFill="1" applyBorder="1"/>
    <xf numFmtId="0" fontId="2" fillId="4" borderId="8" xfId="0" applyFont="1" applyFill="1" applyBorder="1"/>
    <xf numFmtId="0" fontId="5" fillId="4" borderId="0" xfId="0" applyFont="1" applyFill="1"/>
    <xf numFmtId="3" fontId="2" fillId="4" borderId="7" xfId="0" applyNumberFormat="1" applyFont="1" applyFill="1" applyBorder="1"/>
    <xf numFmtId="0" fontId="7" fillId="4" borderId="2" xfId="0" applyFont="1" applyFill="1" applyBorder="1"/>
    <xf numFmtId="3" fontId="2" fillId="0" borderId="7" xfId="0" applyNumberFormat="1" applyFont="1" applyBorder="1" applyProtection="1">
      <protection locked="0"/>
    </xf>
    <xf numFmtId="0" fontId="8" fillId="4" borderId="2" xfId="0" applyFont="1" applyFill="1" applyBorder="1"/>
    <xf numFmtId="0" fontId="4" fillId="4" borderId="4" xfId="0" applyFont="1" applyFill="1" applyBorder="1"/>
    <xf numFmtId="0" fontId="4" fillId="4" borderId="0" xfId="0" applyFont="1" applyFill="1"/>
    <xf numFmtId="3" fontId="2" fillId="0" borderId="0" xfId="0" applyNumberFormat="1" applyFont="1"/>
    <xf numFmtId="2" fontId="2" fillId="0" borderId="7" xfId="0" applyNumberFormat="1" applyFont="1" applyBorder="1" applyProtection="1">
      <protection locked="0"/>
    </xf>
    <xf numFmtId="164" fontId="2" fillId="4" borderId="0" xfId="0" applyNumberFormat="1" applyFont="1" applyFill="1"/>
    <xf numFmtId="0" fontId="9" fillId="3" borderId="0" xfId="0" applyFont="1" applyFill="1"/>
    <xf numFmtId="166" fontId="2" fillId="4" borderId="7" xfId="0" applyNumberFormat="1" applyFont="1" applyFill="1" applyBorder="1"/>
    <xf numFmtId="0" fontId="2" fillId="0" borderId="0" xfId="0" applyFont="1" applyAlignment="1">
      <alignment horizontal="left"/>
    </xf>
    <xf numFmtId="164" fontId="2" fillId="4" borderId="7" xfId="0" applyNumberFormat="1" applyFont="1" applyFill="1" applyBorder="1"/>
    <xf numFmtId="0" fontId="2" fillId="4" borderId="1" xfId="0" applyFont="1" applyFill="1" applyBorder="1"/>
    <xf numFmtId="164" fontId="2" fillId="4" borderId="2" xfId="0" applyNumberFormat="1" applyFont="1" applyFill="1" applyBorder="1"/>
    <xf numFmtId="0" fontId="4" fillId="0" borderId="7" xfId="0" applyFont="1" applyBorder="1"/>
    <xf numFmtId="0" fontId="4" fillId="0" borderId="7" xfId="0" applyFont="1" applyBorder="1" applyAlignment="1">
      <alignment wrapText="1"/>
    </xf>
    <xf numFmtId="0" fontId="4" fillId="6" borderId="7" xfId="0" applyFont="1" applyFill="1" applyBorder="1" applyAlignment="1">
      <alignment wrapText="1"/>
    </xf>
    <xf numFmtId="0" fontId="4" fillId="9" borderId="7" xfId="0" applyFont="1" applyFill="1" applyBorder="1" applyAlignment="1">
      <alignment wrapText="1"/>
    </xf>
    <xf numFmtId="0" fontId="4" fillId="8" borderId="7" xfId="0" applyFont="1" applyFill="1" applyBorder="1" applyAlignment="1">
      <alignment wrapText="1"/>
    </xf>
    <xf numFmtId="0" fontId="4" fillId="3" borderId="7" xfId="0" applyFont="1" applyFill="1" applyBorder="1" applyAlignment="1">
      <alignment wrapText="1"/>
    </xf>
    <xf numFmtId="0" fontId="4" fillId="7" borderId="7" xfId="0" applyFont="1" applyFill="1" applyBorder="1" applyAlignment="1">
      <alignment wrapText="1"/>
    </xf>
    <xf numFmtId="0" fontId="4" fillId="7" borderId="8" xfId="0" applyFont="1" applyFill="1" applyBorder="1" applyAlignment="1">
      <alignment wrapText="1"/>
    </xf>
    <xf numFmtId="0" fontId="4" fillId="5" borderId="7" xfId="0" applyFont="1" applyFill="1" applyBorder="1" applyAlignment="1">
      <alignment wrapText="1"/>
    </xf>
    <xf numFmtId="0" fontId="4" fillId="5" borderId="8" xfId="0" applyFont="1" applyFill="1" applyBorder="1" applyAlignment="1">
      <alignment wrapText="1"/>
    </xf>
    <xf numFmtId="0" fontId="2" fillId="0" borderId="0" xfId="0" applyFont="1" applyAlignment="1">
      <alignment wrapText="1"/>
    </xf>
    <xf numFmtId="0" fontId="2" fillId="6" borderId="0" xfId="0" applyFont="1" applyFill="1" applyAlignment="1">
      <alignment wrapText="1"/>
    </xf>
    <xf numFmtId="164" fontId="2" fillId="6" borderId="0" xfId="0" applyNumberFormat="1" applyFont="1" applyFill="1" applyAlignment="1">
      <alignment wrapText="1"/>
    </xf>
    <xf numFmtId="0" fontId="2" fillId="9" borderId="0" xfId="0" applyFont="1" applyFill="1" applyAlignment="1">
      <alignment wrapText="1"/>
    </xf>
    <xf numFmtId="0" fontId="2" fillId="8" borderId="0" xfId="0" applyFont="1" applyFill="1" applyAlignment="1">
      <alignment wrapText="1"/>
    </xf>
    <xf numFmtId="165" fontId="2" fillId="3" borderId="0" xfId="0" applyNumberFormat="1" applyFont="1" applyFill="1"/>
    <xf numFmtId="165" fontId="2" fillId="0" borderId="0" xfId="0" applyNumberFormat="1" applyFont="1"/>
    <xf numFmtId="0" fontId="2" fillId="7" borderId="0" xfId="0" applyFont="1" applyFill="1" applyAlignment="1">
      <alignment wrapText="1"/>
    </xf>
    <xf numFmtId="0" fontId="2" fillId="7" borderId="5" xfId="0" applyFont="1" applyFill="1" applyBorder="1" applyAlignment="1">
      <alignment wrapText="1"/>
    </xf>
    <xf numFmtId="0" fontId="2" fillId="5" borderId="5" xfId="0" applyFont="1" applyFill="1" applyBorder="1"/>
    <xf numFmtId="165" fontId="2" fillId="6" borderId="0" xfId="0" applyNumberFormat="1" applyFont="1" applyFill="1"/>
    <xf numFmtId="4" fontId="2" fillId="0" borderId="0" xfId="0" applyNumberFormat="1" applyFont="1"/>
    <xf numFmtId="165" fontId="2" fillId="9" borderId="0" xfId="0" applyNumberFormat="1" applyFont="1" applyFill="1"/>
    <xf numFmtId="165" fontId="2" fillId="8" borderId="0" xfId="0" applyNumberFormat="1" applyFont="1" applyFill="1"/>
    <xf numFmtId="169" fontId="2" fillId="0" borderId="0" xfId="0" applyNumberFormat="1" applyFont="1"/>
    <xf numFmtId="165" fontId="2" fillId="7" borderId="0" xfId="0" applyNumberFormat="1" applyFont="1" applyFill="1"/>
    <xf numFmtId="165" fontId="2" fillId="7" borderId="5" xfId="0" applyNumberFormat="1" applyFont="1" applyFill="1" applyBorder="1"/>
    <xf numFmtId="165" fontId="2" fillId="5" borderId="5" xfId="0" applyNumberFormat="1" applyFont="1" applyFill="1" applyBorder="1"/>
    <xf numFmtId="164" fontId="2" fillId="6" borderId="7" xfId="0" applyNumberFormat="1" applyFont="1" applyFill="1" applyBorder="1" applyAlignment="1">
      <alignment wrapText="1"/>
    </xf>
    <xf numFmtId="165" fontId="2" fillId="0" borderId="7" xfId="0" applyNumberFormat="1" applyFont="1" applyBorder="1"/>
    <xf numFmtId="4" fontId="2" fillId="0" borderId="7" xfId="0" applyNumberFormat="1" applyFont="1" applyBorder="1"/>
    <xf numFmtId="165" fontId="2" fillId="7" borderId="7" xfId="0" applyNumberFormat="1" applyFont="1" applyFill="1" applyBorder="1"/>
    <xf numFmtId="0" fontId="2" fillId="0" borderId="6" xfId="0" applyFont="1" applyBorder="1"/>
    <xf numFmtId="0" fontId="4" fillId="0" borderId="1" xfId="0" applyFont="1" applyBorder="1"/>
    <xf numFmtId="0" fontId="4" fillId="0" borderId="2" xfId="0" applyFont="1" applyBorder="1"/>
    <xf numFmtId="165" fontId="4" fillId="0" borderId="2" xfId="0" applyNumberFormat="1" applyFont="1" applyBorder="1"/>
    <xf numFmtId="165" fontId="4" fillId="6" borderId="2" xfId="0" applyNumberFormat="1" applyFont="1" applyFill="1" applyBorder="1"/>
    <xf numFmtId="165" fontId="4" fillId="9" borderId="2" xfId="0" applyNumberFormat="1" applyFont="1" applyFill="1" applyBorder="1"/>
    <xf numFmtId="165" fontId="4" fillId="8" borderId="2" xfId="0" applyNumberFormat="1" applyFont="1" applyFill="1" applyBorder="1"/>
    <xf numFmtId="165" fontId="4" fillId="3" borderId="2" xfId="0" applyNumberFormat="1" applyFont="1" applyFill="1" applyBorder="1"/>
    <xf numFmtId="165" fontId="4" fillId="7" borderId="2" xfId="0" applyNumberFormat="1" applyFont="1" applyFill="1" applyBorder="1"/>
    <xf numFmtId="165" fontId="4" fillId="7" borderId="3" xfId="0" applyNumberFormat="1" applyFont="1" applyFill="1" applyBorder="1"/>
    <xf numFmtId="165" fontId="4" fillId="5" borderId="2" xfId="0" applyNumberFormat="1" applyFont="1" applyFill="1" applyBorder="1"/>
    <xf numFmtId="165" fontId="4" fillId="5" borderId="3" xfId="0" applyNumberFormat="1" applyFont="1" applyFill="1" applyBorder="1"/>
    <xf numFmtId="0" fontId="4" fillId="0" borderId="6" xfId="0" applyFont="1" applyBorder="1"/>
    <xf numFmtId="165" fontId="4" fillId="0" borderId="7" xfId="0" applyNumberFormat="1" applyFont="1" applyBorder="1"/>
    <xf numFmtId="165" fontId="4" fillId="6" borderId="7" xfId="0" applyNumberFormat="1" applyFont="1" applyFill="1" applyBorder="1"/>
    <xf numFmtId="165" fontId="4" fillId="9" borderId="7" xfId="0" applyNumberFormat="1" applyFont="1" applyFill="1" applyBorder="1"/>
    <xf numFmtId="165" fontId="4" fillId="8" borderId="7" xfId="0" applyNumberFormat="1" applyFont="1" applyFill="1" applyBorder="1"/>
    <xf numFmtId="165" fontId="4" fillId="3" borderId="7" xfId="0" applyNumberFormat="1" applyFont="1" applyFill="1" applyBorder="1"/>
    <xf numFmtId="165" fontId="4" fillId="7" borderId="7" xfId="0" applyNumberFormat="1" applyFont="1" applyFill="1" applyBorder="1"/>
    <xf numFmtId="165" fontId="4" fillId="7" borderId="8" xfId="0" applyNumberFormat="1" applyFont="1" applyFill="1" applyBorder="1"/>
    <xf numFmtId="165" fontId="4" fillId="5" borderId="7" xfId="0" applyNumberFormat="1" applyFont="1" applyFill="1" applyBorder="1"/>
    <xf numFmtId="165" fontId="4" fillId="5" borderId="8" xfId="0" applyNumberFormat="1" applyFont="1" applyFill="1" applyBorder="1"/>
    <xf numFmtId="0" fontId="6" fillId="0" borderId="0" xfId="0" applyFont="1"/>
    <xf numFmtId="0" fontId="2" fillId="2" borderId="0" xfId="0" applyFont="1" applyFill="1" applyAlignment="1">
      <alignment wrapText="1"/>
    </xf>
    <xf numFmtId="170" fontId="2" fillId="11" borderId="0" xfId="0" applyNumberFormat="1" applyFont="1" applyFill="1" applyAlignment="1">
      <alignment horizontal="right"/>
    </xf>
    <xf numFmtId="4" fontId="2" fillId="3" borderId="0" xfId="0" applyNumberFormat="1" applyFont="1" applyFill="1"/>
    <xf numFmtId="0" fontId="4" fillId="12" borderId="7" xfId="0" applyFont="1" applyFill="1" applyBorder="1" applyAlignment="1">
      <alignment wrapText="1"/>
    </xf>
    <xf numFmtId="1" fontId="2" fillId="3" borderId="0" xfId="0" applyNumberFormat="1" applyFont="1" applyFill="1" applyAlignment="1">
      <alignment horizontal="right"/>
    </xf>
    <xf numFmtId="173" fontId="4" fillId="6" borderId="7" xfId="0" applyNumberFormat="1" applyFont="1" applyFill="1" applyBorder="1"/>
    <xf numFmtId="2" fontId="2" fillId="6" borderId="0" xfId="0" applyNumberFormat="1" applyFont="1" applyFill="1" applyAlignment="1">
      <alignment wrapText="1"/>
    </xf>
    <xf numFmtId="2" fontId="2" fillId="6" borderId="0" xfId="0" applyNumberFormat="1" applyFont="1" applyFill="1"/>
    <xf numFmtId="2" fontId="4" fillId="6" borderId="2" xfId="0" applyNumberFormat="1" applyFont="1" applyFill="1" applyBorder="1"/>
    <xf numFmtId="2" fontId="4" fillId="6" borderId="7" xfId="0" applyNumberFormat="1" applyFont="1" applyFill="1" applyBorder="1"/>
    <xf numFmtId="164" fontId="2" fillId="0" borderId="0" xfId="0" applyNumberFormat="1" applyFont="1"/>
    <xf numFmtId="0" fontId="4" fillId="0" borderId="6" xfId="0" applyFont="1" applyBorder="1" applyAlignment="1">
      <alignment wrapText="1"/>
    </xf>
    <xf numFmtId="0" fontId="4" fillId="0" borderId="8" xfId="0" applyFont="1" applyBorder="1" applyAlignment="1">
      <alignment wrapText="1"/>
    </xf>
    <xf numFmtId="166" fontId="2" fillId="0" borderId="0" xfId="0" applyNumberFormat="1" applyFont="1" applyAlignment="1">
      <alignment wrapText="1"/>
    </xf>
    <xf numFmtId="3" fontId="2" fillId="0" borderId="0" xfId="0" applyNumberFormat="1" applyFont="1" applyAlignment="1">
      <alignment wrapText="1"/>
    </xf>
    <xf numFmtId="168" fontId="2" fillId="0" borderId="0" xfId="0" applyNumberFormat="1" applyFont="1" applyAlignment="1">
      <alignment wrapText="1"/>
    </xf>
    <xf numFmtId="168" fontId="2" fillId="0" borderId="5" xfId="0" applyNumberFormat="1" applyFont="1" applyBorder="1" applyAlignment="1">
      <alignment wrapText="1"/>
    </xf>
    <xf numFmtId="3" fontId="2" fillId="0" borderId="5" xfId="0" applyNumberFormat="1" applyFont="1" applyBorder="1" applyAlignment="1">
      <alignment wrapText="1"/>
    </xf>
    <xf numFmtId="3" fontId="4" fillId="0" borderId="2" xfId="0" applyNumberFormat="1" applyFont="1" applyBorder="1"/>
    <xf numFmtId="3" fontId="4" fillId="0" borderId="3" xfId="0" applyNumberFormat="1" applyFont="1" applyBorder="1"/>
    <xf numFmtId="3" fontId="4" fillId="0" borderId="7" xfId="0" applyNumberFormat="1" applyFont="1" applyBorder="1"/>
    <xf numFmtId="3" fontId="4" fillId="0" borderId="8" xfId="0" applyNumberFormat="1" applyFont="1" applyBorder="1"/>
    <xf numFmtId="0" fontId="2" fillId="12" borderId="0" xfId="0" applyFont="1" applyFill="1" applyAlignment="1">
      <alignment wrapText="1"/>
    </xf>
    <xf numFmtId="165" fontId="2" fillId="12" borderId="0" xfId="0" applyNumberFormat="1" applyFont="1" applyFill="1"/>
    <xf numFmtId="165" fontId="4" fillId="12" borderId="2" xfId="0" applyNumberFormat="1" applyFont="1" applyFill="1" applyBorder="1"/>
    <xf numFmtId="165" fontId="4" fillId="12" borderId="7" xfId="0" applyNumberFormat="1" applyFont="1" applyFill="1" applyBorder="1"/>
    <xf numFmtId="3" fontId="2" fillId="6" borderId="0" xfId="0" applyNumberFormat="1" applyFont="1" applyFill="1" applyProtection="1">
      <protection locked="0"/>
    </xf>
    <xf numFmtId="3" fontId="4" fillId="4" borderId="0" xfId="0" applyNumberFormat="1" applyFont="1" applyFill="1"/>
    <xf numFmtId="0" fontId="4" fillId="13" borderId="7" xfId="0" applyFont="1" applyFill="1" applyBorder="1" applyAlignment="1">
      <alignment wrapText="1"/>
    </xf>
    <xf numFmtId="0" fontId="2" fillId="13" borderId="0" xfId="0" applyFont="1" applyFill="1" applyAlignment="1">
      <alignment wrapText="1"/>
    </xf>
    <xf numFmtId="165" fontId="2" fillId="13" borderId="0" xfId="0" applyNumberFormat="1" applyFont="1" applyFill="1"/>
    <xf numFmtId="165" fontId="2" fillId="13" borderId="7" xfId="0" applyNumberFormat="1" applyFont="1" applyFill="1" applyBorder="1"/>
    <xf numFmtId="165" fontId="4" fillId="13" borderId="2" xfId="0" applyNumberFormat="1" applyFont="1" applyFill="1" applyBorder="1"/>
    <xf numFmtId="165" fontId="4" fillId="13" borderId="7" xfId="0" applyNumberFormat="1" applyFont="1" applyFill="1" applyBorder="1"/>
    <xf numFmtId="0" fontId="2" fillId="0" borderId="5" xfId="0" applyFont="1" applyBorder="1" applyAlignment="1">
      <alignment wrapText="1"/>
    </xf>
    <xf numFmtId="3" fontId="2" fillId="0" borderId="5" xfId="0" applyNumberFormat="1" applyFont="1" applyBorder="1"/>
    <xf numFmtId="0" fontId="4" fillId="0" borderId="3" xfId="0" applyFont="1" applyBorder="1"/>
    <xf numFmtId="0" fontId="4" fillId="0" borderId="8" xfId="0" applyFont="1" applyBorder="1"/>
    <xf numFmtId="0" fontId="5" fillId="0" borderId="0" xfId="0" applyFont="1"/>
    <xf numFmtId="0" fontId="4" fillId="0" borderId="0" xfId="0" applyFont="1" applyAlignment="1">
      <alignment wrapText="1"/>
    </xf>
    <xf numFmtId="164" fontId="2" fillId="0" borderId="7" xfId="0" applyNumberFormat="1" applyFont="1" applyBorder="1" applyProtection="1">
      <protection locked="0"/>
    </xf>
    <xf numFmtId="2" fontId="2" fillId="0" borderId="0" xfId="0" applyNumberFormat="1" applyFont="1"/>
    <xf numFmtId="0" fontId="2" fillId="0" borderId="0" xfId="0" applyFont="1" applyAlignment="1">
      <alignment vertical="top" wrapText="1"/>
    </xf>
    <xf numFmtId="0" fontId="2" fillId="0" borderId="0" xfId="0" applyFont="1" applyAlignment="1">
      <alignment vertical="top"/>
    </xf>
    <xf numFmtId="0" fontId="4" fillId="0" borderId="0" xfId="0" applyFont="1" applyAlignment="1">
      <alignment vertical="top" wrapText="1"/>
    </xf>
    <xf numFmtId="2" fontId="2" fillId="4" borderId="7" xfId="0" applyNumberFormat="1" applyFont="1" applyFill="1" applyBorder="1"/>
    <xf numFmtId="0" fontId="2" fillId="4" borderId="6" xfId="0" applyFont="1" applyFill="1" applyBorder="1" applyAlignment="1">
      <alignment vertical="top"/>
    </xf>
    <xf numFmtId="164" fontId="2" fillId="10" borderId="7" xfId="0" applyNumberFormat="1" applyFont="1" applyFill="1" applyBorder="1"/>
    <xf numFmtId="1" fontId="2" fillId="6" borderId="0" xfId="0" applyNumberFormat="1" applyFont="1" applyFill="1" applyProtection="1">
      <protection locked="0"/>
    </xf>
    <xf numFmtId="0" fontId="4" fillId="14" borderId="7" xfId="0" applyFont="1" applyFill="1" applyBorder="1" applyAlignment="1">
      <alignment wrapText="1"/>
    </xf>
    <xf numFmtId="0" fontId="2" fillId="14" borderId="0" xfId="0" applyFont="1" applyFill="1" applyAlignment="1">
      <alignment wrapText="1"/>
    </xf>
    <xf numFmtId="165" fontId="2" fillId="14" borderId="0" xfId="0" applyNumberFormat="1" applyFont="1" applyFill="1"/>
    <xf numFmtId="165" fontId="4" fillId="14" borderId="2" xfId="0" applyNumberFormat="1" applyFont="1" applyFill="1" applyBorder="1"/>
    <xf numFmtId="165" fontId="4" fillId="14" borderId="7" xfId="0" applyNumberFormat="1" applyFont="1" applyFill="1" applyBorder="1"/>
    <xf numFmtId="0" fontId="4" fillId="15" borderId="7" xfId="0" applyFont="1" applyFill="1" applyBorder="1" applyAlignment="1">
      <alignment wrapText="1"/>
    </xf>
    <xf numFmtId="0" fontId="2" fillId="15" borderId="0" xfId="0" applyFont="1" applyFill="1" applyAlignment="1">
      <alignment wrapText="1"/>
    </xf>
    <xf numFmtId="165" fontId="2" fillId="15" borderId="0" xfId="0" applyNumberFormat="1" applyFont="1" applyFill="1"/>
    <xf numFmtId="165" fontId="4" fillId="15" borderId="2" xfId="0" applyNumberFormat="1" applyFont="1" applyFill="1" applyBorder="1"/>
    <xf numFmtId="165" fontId="4" fillId="15" borderId="7" xfId="0" applyNumberFormat="1" applyFont="1" applyFill="1" applyBorder="1"/>
    <xf numFmtId="0" fontId="10" fillId="16" borderId="0" xfId="0" applyFont="1" applyFill="1"/>
    <xf numFmtId="3" fontId="10" fillId="16" borderId="0" xfId="0" applyNumberFormat="1" applyFont="1" applyFill="1"/>
    <xf numFmtId="0" fontId="11" fillId="16" borderId="0" xfId="0" applyFont="1" applyFill="1"/>
    <xf numFmtId="0" fontId="12" fillId="16" borderId="0" xfId="0" applyFont="1" applyFill="1"/>
    <xf numFmtId="0" fontId="10" fillId="16" borderId="0" xfId="0" applyFont="1" applyFill="1" applyAlignment="1">
      <alignment horizontal="right"/>
    </xf>
    <xf numFmtId="167" fontId="12" fillId="16" borderId="0" xfId="0" applyNumberFormat="1" applyFont="1" applyFill="1" applyAlignment="1">
      <alignment horizontal="right"/>
    </xf>
    <xf numFmtId="167" fontId="10" fillId="16" borderId="0" xfId="0" applyNumberFormat="1" applyFont="1" applyFill="1" applyAlignment="1">
      <alignment horizontal="right"/>
    </xf>
    <xf numFmtId="0" fontId="12" fillId="16" borderId="0" xfId="0" applyFont="1" applyFill="1" applyAlignment="1">
      <alignment horizontal="right"/>
    </xf>
    <xf numFmtId="3" fontId="10" fillId="16" borderId="13" xfId="0" applyNumberFormat="1" applyFont="1" applyFill="1" applyBorder="1"/>
    <xf numFmtId="0" fontId="10" fillId="16" borderId="14" xfId="0" applyFont="1" applyFill="1" applyBorder="1"/>
    <xf numFmtId="3" fontId="12" fillId="16" borderId="15" xfId="0" applyNumberFormat="1" applyFont="1" applyFill="1" applyBorder="1"/>
    <xf numFmtId="0" fontId="12" fillId="16" borderId="15" xfId="0" applyFont="1" applyFill="1" applyBorder="1"/>
    <xf numFmtId="168" fontId="2" fillId="0" borderId="0" xfId="0" applyNumberFormat="1" applyFont="1" applyProtection="1">
      <protection locked="0"/>
    </xf>
    <xf numFmtId="2" fontId="2" fillId="11" borderId="0" xfId="0" applyNumberFormat="1" applyFont="1" applyFill="1" applyAlignment="1" applyProtection="1">
      <alignment horizontal="right"/>
      <protection locked="0"/>
    </xf>
    <xf numFmtId="2" fontId="2" fillId="11" borderId="0" xfId="0" applyNumberFormat="1" applyFont="1" applyFill="1" applyProtection="1">
      <protection locked="0"/>
    </xf>
    <xf numFmtId="3" fontId="2" fillId="11" borderId="0" xfId="0" applyNumberFormat="1" applyFont="1" applyFill="1" applyProtection="1">
      <protection locked="0"/>
    </xf>
    <xf numFmtId="1" fontId="2" fillId="11" borderId="0" xfId="0" applyNumberFormat="1" applyFont="1" applyFill="1" applyProtection="1">
      <protection locked="0"/>
    </xf>
    <xf numFmtId="164" fontId="2" fillId="11" borderId="0" xfId="0" applyNumberFormat="1" applyFont="1" applyFill="1" applyProtection="1">
      <protection locked="0"/>
    </xf>
    <xf numFmtId="164" fontId="2" fillId="11" borderId="2" xfId="0" applyNumberFormat="1" applyFont="1" applyFill="1" applyBorder="1" applyProtection="1">
      <protection locked="0"/>
    </xf>
    <xf numFmtId="0" fontId="2" fillId="11" borderId="0" xfId="0" applyFont="1" applyFill="1" applyProtection="1">
      <protection locked="0"/>
    </xf>
    <xf numFmtId="0" fontId="0" fillId="0" borderId="17" xfId="0" applyBorder="1" applyAlignment="1">
      <alignment horizontal="left" vertical="top" wrapText="1"/>
    </xf>
    <xf numFmtId="0" fontId="0" fillId="0" borderId="17" xfId="0" quotePrefix="1" applyBorder="1" applyAlignment="1">
      <alignment horizontal="left" vertical="top" wrapText="1"/>
    </xf>
    <xf numFmtId="0" fontId="0" fillId="0" borderId="19" xfId="0" applyBorder="1" applyAlignment="1">
      <alignment horizontal="left" vertical="top" wrapText="1"/>
    </xf>
    <xf numFmtId="0" fontId="15" fillId="0" borderId="0" xfId="0" applyFont="1"/>
    <xf numFmtId="0" fontId="2" fillId="0" borderId="0" xfId="0" applyFont="1" applyAlignment="1" applyProtection="1">
      <alignment horizontal="right"/>
      <protection locked="0"/>
    </xf>
    <xf numFmtId="0" fontId="1" fillId="4" borderId="16" xfId="0" applyFont="1" applyFill="1" applyBorder="1" applyAlignment="1">
      <alignment horizontal="left" vertical="top" wrapText="1"/>
    </xf>
    <xf numFmtId="0" fontId="1" fillId="4" borderId="18" xfId="0" applyFont="1" applyFill="1" applyBorder="1" applyAlignment="1">
      <alignment horizontal="left" vertical="top" wrapText="1"/>
    </xf>
    <xf numFmtId="0" fontId="1" fillId="4" borderId="20" xfId="0" applyFont="1" applyFill="1" applyBorder="1" applyAlignment="1">
      <alignment horizontal="left" vertical="top" wrapText="1"/>
    </xf>
    <xf numFmtId="0" fontId="1" fillId="4" borderId="21" xfId="0" applyFont="1" applyFill="1" applyBorder="1" applyAlignment="1">
      <alignment horizontal="left" vertical="top" wrapText="1"/>
    </xf>
    <xf numFmtId="0" fontId="16" fillId="2" borderId="0" xfId="0" applyFont="1" applyFill="1"/>
    <xf numFmtId="0" fontId="1" fillId="0" borderId="0" xfId="0" applyFont="1" applyAlignment="1">
      <alignment horizontal="left" vertical="top"/>
    </xf>
    <xf numFmtId="3" fontId="2" fillId="4" borderId="5" xfId="0" applyNumberFormat="1" applyFont="1" applyFill="1" applyBorder="1" applyAlignment="1">
      <alignment horizontal="left"/>
    </xf>
    <xf numFmtId="3" fontId="2" fillId="4" borderId="8" xfId="0" applyNumberFormat="1" applyFont="1" applyFill="1" applyBorder="1" applyAlignment="1">
      <alignment horizontal="left"/>
    </xf>
    <xf numFmtId="4" fontId="2" fillId="0" borderId="0" xfId="0" applyNumberFormat="1" applyFont="1" applyAlignment="1">
      <alignment wrapText="1"/>
    </xf>
    <xf numFmtId="0" fontId="4" fillId="17" borderId="7" xfId="0" applyFont="1" applyFill="1" applyBorder="1" applyAlignment="1">
      <alignment wrapText="1"/>
    </xf>
    <xf numFmtId="164" fontId="2" fillId="17" borderId="0" xfId="0" applyNumberFormat="1" applyFont="1" applyFill="1" applyAlignment="1">
      <alignment wrapText="1"/>
    </xf>
    <xf numFmtId="0" fontId="2" fillId="17" borderId="0" xfId="0" applyFont="1" applyFill="1" applyAlignment="1">
      <alignment wrapText="1"/>
    </xf>
    <xf numFmtId="165" fontId="2" fillId="17" borderId="0" xfId="0" applyNumberFormat="1" applyFont="1" applyFill="1"/>
    <xf numFmtId="164" fontId="2" fillId="17" borderId="7" xfId="0" applyNumberFormat="1" applyFont="1" applyFill="1" applyBorder="1" applyAlignment="1">
      <alignment wrapText="1"/>
    </xf>
    <xf numFmtId="165" fontId="4" fillId="17" borderId="2" xfId="0" applyNumberFormat="1" applyFont="1" applyFill="1" applyBorder="1"/>
    <xf numFmtId="173" fontId="4" fillId="17" borderId="7" xfId="0" applyNumberFormat="1" applyFont="1" applyFill="1" applyBorder="1"/>
    <xf numFmtId="165" fontId="4" fillId="17" borderId="7" xfId="0" applyNumberFormat="1" applyFont="1" applyFill="1" applyBorder="1"/>
    <xf numFmtId="4" fontId="2" fillId="0" borderId="0" xfId="0" applyNumberFormat="1" applyFont="1" applyProtection="1">
      <protection locked="0"/>
    </xf>
    <xf numFmtId="164" fontId="4" fillId="4" borderId="0" xfId="0" applyNumberFormat="1" applyFont="1" applyFill="1"/>
    <xf numFmtId="0" fontId="2" fillId="4" borderId="4" xfId="0" applyFont="1" applyFill="1" applyBorder="1" applyAlignment="1">
      <alignment vertical="top"/>
    </xf>
    <xf numFmtId="0" fontId="2" fillId="5" borderId="0" xfId="0" applyFont="1" applyFill="1" applyAlignment="1">
      <alignment wrapText="1"/>
    </xf>
    <xf numFmtId="3" fontId="2" fillId="0" borderId="6" xfId="0" applyNumberFormat="1" applyFont="1" applyBorder="1" applyProtection="1">
      <protection locked="0"/>
    </xf>
    <xf numFmtId="0" fontId="2" fillId="4" borderId="0" xfId="0" applyFont="1" applyFill="1" applyAlignment="1">
      <alignment vertical="top"/>
    </xf>
    <xf numFmtId="164" fontId="2" fillId="11" borderId="0" xfId="0" applyNumberFormat="1" applyFont="1" applyFill="1" applyAlignment="1" applyProtection="1">
      <alignment vertical="top"/>
      <protection locked="0"/>
    </xf>
    <xf numFmtId="164" fontId="2" fillId="4" borderId="0" xfId="0" applyNumberFormat="1" applyFont="1" applyFill="1" applyAlignment="1">
      <alignment vertical="top"/>
    </xf>
    <xf numFmtId="0" fontId="5" fillId="4" borderId="0" xfId="0" applyFont="1" applyFill="1" applyAlignment="1">
      <alignment vertical="top"/>
    </xf>
    <xf numFmtId="2" fontId="10" fillId="16" borderId="0" xfId="0" applyNumberFormat="1" applyFont="1" applyFill="1"/>
    <xf numFmtId="164" fontId="2" fillId="5" borderId="11" xfId="0" applyNumberFormat="1" applyFont="1" applyFill="1" applyBorder="1"/>
    <xf numFmtId="0" fontId="2" fillId="5" borderId="11" xfId="0" applyFont="1" applyFill="1" applyBorder="1"/>
    <xf numFmtId="14" fontId="0" fillId="0" borderId="17" xfId="0" applyNumberFormat="1" applyBorder="1" applyAlignment="1">
      <alignment horizontal="left" vertical="top" wrapText="1"/>
    </xf>
    <xf numFmtId="0" fontId="5" fillId="4" borderId="2" xfId="0" applyFont="1" applyFill="1" applyBorder="1"/>
    <xf numFmtId="0" fontId="5" fillId="4" borderId="5" xfId="0" applyFont="1" applyFill="1" applyBorder="1"/>
    <xf numFmtId="0" fontId="5" fillId="4" borderId="8" xfId="0" applyFont="1" applyFill="1" applyBorder="1"/>
    <xf numFmtId="0" fontId="17" fillId="4" borderId="0" xfId="1" applyFont="1" applyFill="1"/>
    <xf numFmtId="0" fontId="2" fillId="0" borderId="0" xfId="0" applyFont="1" applyAlignment="1">
      <alignment horizontal="right"/>
    </xf>
    <xf numFmtId="0" fontId="3" fillId="5" borderId="9" xfId="0" applyFont="1" applyFill="1" applyBorder="1" applyAlignment="1">
      <alignment horizontal="right"/>
    </xf>
    <xf numFmtId="0" fontId="2" fillId="5" borderId="9" xfId="0" applyFont="1" applyFill="1" applyBorder="1" applyAlignment="1">
      <alignment horizontal="right"/>
    </xf>
    <xf numFmtId="167" fontId="2" fillId="4" borderId="0" xfId="0" applyNumberFormat="1" applyFont="1" applyFill="1" applyAlignment="1">
      <alignment horizontal="right"/>
    </xf>
    <xf numFmtId="3" fontId="2" fillId="5" borderId="0" xfId="0" applyNumberFormat="1" applyFont="1" applyFill="1" applyAlignment="1">
      <alignment horizontal="right"/>
    </xf>
    <xf numFmtId="9" fontId="2" fillId="0" borderId="0" xfId="0" applyNumberFormat="1" applyFont="1" applyAlignment="1">
      <alignment horizontal="right"/>
    </xf>
    <xf numFmtId="0" fontId="2" fillId="6" borderId="0" xfId="0" applyFont="1" applyFill="1" applyAlignment="1">
      <alignment horizontal="right"/>
    </xf>
    <xf numFmtId="3" fontId="2" fillId="6" borderId="0" xfId="0" applyNumberFormat="1" applyFont="1" applyFill="1" applyAlignment="1">
      <alignment horizontal="right"/>
    </xf>
    <xf numFmtId="0" fontId="2" fillId="0" borderId="0" xfId="0" applyFont="1" applyAlignment="1">
      <alignment horizontal="right" wrapText="1"/>
    </xf>
    <xf numFmtId="0" fontId="18" fillId="0" borderId="0" xfId="0" applyFont="1"/>
    <xf numFmtId="0" fontId="9" fillId="0" borderId="0" xfId="0" applyFont="1"/>
    <xf numFmtId="3" fontId="2" fillId="4" borderId="0" xfId="0" applyNumberFormat="1" applyFont="1" applyFill="1" applyAlignment="1">
      <alignment horizontal="left"/>
    </xf>
    <xf numFmtId="0" fontId="2" fillId="4" borderId="0" xfId="0" applyFont="1" applyFill="1" applyAlignment="1">
      <alignment wrapText="1"/>
    </xf>
    <xf numFmtId="0" fontId="2" fillId="4" borderId="5" xfId="0" applyFont="1" applyFill="1" applyBorder="1" applyAlignment="1">
      <alignment wrapText="1"/>
    </xf>
    <xf numFmtId="4" fontId="2" fillId="4" borderId="0" xfId="0" applyNumberFormat="1" applyFont="1" applyFill="1" applyAlignment="1">
      <alignment horizontal="right"/>
    </xf>
    <xf numFmtId="4" fontId="2" fillId="4" borderId="7" xfId="0" applyNumberFormat="1" applyFont="1" applyFill="1" applyBorder="1" applyAlignment="1">
      <alignment horizontal="right"/>
    </xf>
    <xf numFmtId="0" fontId="2" fillId="2" borderId="5" xfId="0" applyFont="1" applyFill="1" applyBorder="1"/>
    <xf numFmtId="0" fontId="2" fillId="3" borderId="5" xfId="0" applyFont="1" applyFill="1" applyBorder="1"/>
    <xf numFmtId="0" fontId="2" fillId="0" borderId="5" xfId="0" applyFont="1" applyBorder="1" applyAlignment="1">
      <alignment horizontal="right"/>
    </xf>
    <xf numFmtId="0" fontId="2" fillId="0" borderId="5" xfId="0" applyFont="1" applyBorder="1" applyAlignment="1">
      <alignment horizontal="right" wrapText="1"/>
    </xf>
    <xf numFmtId="0" fontId="2" fillId="2" borderId="0" xfId="0" applyFont="1" applyFill="1" applyAlignment="1">
      <alignment horizontal="left"/>
    </xf>
    <xf numFmtId="0" fontId="4" fillId="2" borderId="0" xfId="0" applyFont="1" applyFill="1" applyAlignment="1">
      <alignment horizontal="left"/>
    </xf>
    <xf numFmtId="0" fontId="4" fillId="2" borderId="5" xfId="0" applyFont="1" applyFill="1" applyBorder="1" applyAlignment="1">
      <alignment horizontal="left"/>
    </xf>
    <xf numFmtId="3" fontId="2" fillId="4" borderId="2" xfId="0" applyNumberFormat="1" applyFont="1" applyFill="1" applyBorder="1"/>
    <xf numFmtId="166" fontId="2" fillId="4" borderId="2" xfId="0" applyNumberFormat="1" applyFont="1" applyFill="1" applyBorder="1"/>
    <xf numFmtId="165" fontId="4" fillId="5" borderId="0" xfId="0" applyNumberFormat="1" applyFont="1" applyFill="1"/>
    <xf numFmtId="3" fontId="4" fillId="5" borderId="0" xfId="0" applyNumberFormat="1" applyFont="1" applyFill="1"/>
    <xf numFmtId="1" fontId="2" fillId="0" borderId="7" xfId="0" applyNumberFormat="1" applyFont="1" applyBorder="1" applyProtection="1">
      <protection locked="0"/>
    </xf>
    <xf numFmtId="0" fontId="18" fillId="5" borderId="0" xfId="0" applyFont="1" applyFill="1" applyAlignment="1">
      <alignment horizontal="left"/>
    </xf>
    <xf numFmtId="0" fontId="4" fillId="5" borderId="0" xfId="0" applyFont="1" applyFill="1" applyAlignment="1">
      <alignment horizontal="left"/>
    </xf>
    <xf numFmtId="0" fontId="2" fillId="5" borderId="5" xfId="0" applyFont="1" applyFill="1" applyBorder="1" applyAlignment="1">
      <alignment horizontal="right"/>
    </xf>
    <xf numFmtId="0" fontId="2" fillId="0" borderId="0" xfId="0" applyFont="1" applyAlignment="1" applyProtection="1">
      <alignment horizontal="right" wrapText="1"/>
      <protection locked="0"/>
    </xf>
    <xf numFmtId="0" fontId="2" fillId="0" borderId="5" xfId="0" applyFont="1" applyBorder="1" applyAlignment="1" applyProtection="1">
      <alignment horizontal="right" wrapText="1"/>
      <protection locked="0"/>
    </xf>
    <xf numFmtId="0" fontId="2" fillId="0" borderId="5" xfId="0" applyFont="1" applyBorder="1" applyAlignment="1" applyProtection="1">
      <alignment horizontal="right"/>
      <protection locked="0"/>
    </xf>
    <xf numFmtId="0" fontId="2" fillId="5" borderId="0" xfId="0" applyFont="1" applyFill="1" applyAlignment="1" applyProtection="1">
      <alignment horizontal="right"/>
      <protection locked="0"/>
    </xf>
    <xf numFmtId="0" fontId="2" fillId="5" borderId="5" xfId="0" applyFont="1" applyFill="1" applyBorder="1" applyAlignment="1" applyProtection="1">
      <alignment horizontal="right"/>
      <protection locked="0"/>
    </xf>
    <xf numFmtId="0" fontId="4" fillId="0" borderId="22" xfId="0" applyFont="1" applyBorder="1"/>
    <xf numFmtId="0" fontId="10" fillId="16" borderId="23" xfId="0" applyFont="1" applyFill="1" applyBorder="1"/>
    <xf numFmtId="0" fontId="11" fillId="16" borderId="23" xfId="0" applyFont="1" applyFill="1" applyBorder="1"/>
    <xf numFmtId="0" fontId="12" fillId="16" borderId="23" xfId="0" applyFont="1" applyFill="1" applyBorder="1"/>
    <xf numFmtId="0" fontId="2" fillId="0" borderId="22" xfId="0" applyFont="1" applyBorder="1"/>
    <xf numFmtId="0" fontId="4" fillId="5" borderId="22" xfId="0" applyFont="1" applyFill="1" applyBorder="1"/>
    <xf numFmtId="3" fontId="19" fillId="16" borderId="0" xfId="0" applyNumberFormat="1" applyFont="1" applyFill="1"/>
    <xf numFmtId="0" fontId="19" fillId="16" borderId="0" xfId="0" applyFont="1" applyFill="1"/>
    <xf numFmtId="0" fontId="19" fillId="16" borderId="14" xfId="0" applyFont="1" applyFill="1" applyBorder="1"/>
    <xf numFmtId="0" fontId="5" fillId="0" borderId="0" xfId="0" applyFont="1" applyAlignment="1">
      <alignment horizontal="left" indent="3"/>
    </xf>
    <xf numFmtId="0" fontId="5" fillId="0" borderId="7" xfId="0" applyFont="1" applyBorder="1" applyAlignment="1">
      <alignment horizontal="left" indent="3"/>
    </xf>
    <xf numFmtId="1" fontId="2" fillId="18" borderId="0" xfId="0" applyNumberFormat="1" applyFont="1" applyFill="1"/>
    <xf numFmtId="0" fontId="8" fillId="4" borderId="0" xfId="0" applyFont="1" applyFill="1"/>
    <xf numFmtId="3" fontId="2" fillId="18" borderId="0" xfId="0" applyNumberFormat="1" applyFont="1" applyFill="1"/>
    <xf numFmtId="2" fontId="2" fillId="11" borderId="2" xfId="0" applyNumberFormat="1" applyFont="1" applyFill="1" applyBorder="1" applyAlignment="1" applyProtection="1">
      <alignment horizontal="right"/>
      <protection locked="0"/>
    </xf>
    <xf numFmtId="2" fontId="2" fillId="4" borderId="2" xfId="0" applyNumberFormat="1" applyFont="1" applyFill="1" applyBorder="1" applyAlignment="1">
      <alignment horizontal="right"/>
    </xf>
    <xf numFmtId="3" fontId="10" fillId="16" borderId="0" xfId="0" applyNumberFormat="1" applyFont="1" applyFill="1" applyAlignment="1">
      <alignment horizontal="right"/>
    </xf>
    <xf numFmtId="164" fontId="10" fillId="16" borderId="0" xfId="0" applyNumberFormat="1" applyFont="1" applyFill="1" applyAlignment="1">
      <alignment horizontal="right"/>
    </xf>
    <xf numFmtId="1" fontId="2" fillId="5" borderId="0" xfId="0" applyNumberFormat="1" applyFont="1" applyFill="1" applyAlignment="1">
      <alignment vertical="top"/>
    </xf>
    <xf numFmtId="3" fontId="5" fillId="4" borderId="7" xfId="0" applyNumberFormat="1" applyFont="1" applyFill="1" applyBorder="1"/>
    <xf numFmtId="164" fontId="2" fillId="10" borderId="0" xfId="0" applyNumberFormat="1" applyFont="1" applyFill="1"/>
    <xf numFmtId="164" fontId="2" fillId="10" borderId="2" xfId="0" applyNumberFormat="1" applyFont="1" applyFill="1" applyBorder="1"/>
    <xf numFmtId="4" fontId="2" fillId="0" borderId="6" xfId="0" applyNumberFormat="1" applyFont="1" applyBorder="1" applyProtection="1">
      <protection locked="0"/>
    </xf>
    <xf numFmtId="177" fontId="2" fillId="4" borderId="8" xfId="0" applyNumberFormat="1" applyFont="1" applyFill="1" applyBorder="1" applyAlignment="1">
      <alignment horizontal="left"/>
    </xf>
    <xf numFmtId="3" fontId="2" fillId="11" borderId="7" xfId="0" applyNumberFormat="1" applyFont="1" applyFill="1" applyBorder="1" applyProtection="1">
      <protection locked="0"/>
    </xf>
    <xf numFmtId="4" fontId="2" fillId="4" borderId="7" xfId="0" applyNumberFormat="1" applyFont="1" applyFill="1" applyBorder="1"/>
    <xf numFmtId="1" fontId="2" fillId="18" borderId="7" xfId="0" applyNumberFormat="1" applyFont="1" applyFill="1" applyBorder="1"/>
    <xf numFmtId="0" fontId="0" fillId="0" borderId="0" xfId="0" applyAlignment="1">
      <alignment vertical="top" wrapText="1"/>
    </xf>
    <xf numFmtId="0" fontId="12" fillId="16" borderId="0" xfId="0" applyFont="1" applyFill="1" applyAlignment="1">
      <alignment vertical="top" wrapText="1"/>
    </xf>
    <xf numFmtId="0" fontId="0" fillId="0" borderId="0" xfId="0" applyAlignment="1">
      <alignment vertical="top" wrapText="1" readingOrder="1"/>
    </xf>
    <xf numFmtId="0" fontId="12" fillId="16" borderId="0" xfId="0" applyFont="1" applyFill="1" applyAlignment="1">
      <alignment vertical="top" wrapText="1" readingOrder="1"/>
    </xf>
    <xf numFmtId="0" fontId="2" fillId="19" borderId="0" xfId="0" applyFont="1" applyFill="1"/>
    <xf numFmtId="0" fontId="4" fillId="19" borderId="0" xfId="0" applyFont="1" applyFill="1"/>
    <xf numFmtId="0" fontId="21" fillId="0" borderId="0" xfId="0" applyFont="1"/>
    <xf numFmtId="0" fontId="21" fillId="0" borderId="0" xfId="0" applyFont="1" applyAlignment="1">
      <alignment vertical="top"/>
    </xf>
    <xf numFmtId="0" fontId="2" fillId="0" borderId="0" xfId="0" applyFont="1" applyAlignment="1">
      <alignment horizontal="left" indent="4"/>
    </xf>
    <xf numFmtId="0" fontId="2" fillId="0" borderId="7" xfId="0" applyFont="1" applyBorder="1" applyAlignment="1">
      <alignment horizontal="left" indent="4"/>
    </xf>
    <xf numFmtId="0" fontId="21" fillId="0" borderId="24" xfId="0" applyFont="1" applyBorder="1"/>
    <xf numFmtId="0" fontId="22" fillId="16" borderId="0" xfId="0" applyFont="1" applyFill="1"/>
    <xf numFmtId="0" fontId="21" fillId="0" borderId="2" xfId="0" applyFont="1" applyBorder="1"/>
    <xf numFmtId="0" fontId="2" fillId="0" borderId="25" xfId="0" applyFont="1" applyBorder="1"/>
    <xf numFmtId="0" fontId="23" fillId="16" borderId="0" xfId="0" applyFont="1" applyFill="1"/>
    <xf numFmtId="0" fontId="21" fillId="0" borderId="0" xfId="0" applyFont="1" applyAlignment="1">
      <alignment horizontal="left"/>
    </xf>
    <xf numFmtId="0" fontId="21" fillId="20" borderId="0" xfId="0" applyFont="1" applyFill="1"/>
    <xf numFmtId="0" fontId="24" fillId="20" borderId="0" xfId="0" applyFont="1" applyFill="1"/>
    <xf numFmtId="0" fontId="4" fillId="21" borderId="0" xfId="0" applyFont="1" applyFill="1"/>
    <xf numFmtId="0" fontId="2" fillId="19" borderId="0" xfId="0" applyFont="1" applyFill="1" applyAlignment="1">
      <alignment horizontal="left"/>
    </xf>
    <xf numFmtId="0" fontId="2" fillId="19" borderId="0" xfId="0" applyFont="1" applyFill="1" applyAlignment="1">
      <alignment horizontal="right"/>
    </xf>
    <xf numFmtId="0" fontId="2" fillId="19" borderId="0" xfId="0" applyFont="1" applyFill="1" applyAlignment="1">
      <alignment horizontal="right" wrapText="1"/>
    </xf>
    <xf numFmtId="0" fontId="2" fillId="19" borderId="0" xfId="0" applyFont="1" applyFill="1" applyAlignment="1">
      <alignment wrapText="1"/>
    </xf>
    <xf numFmtId="0" fontId="21" fillId="4" borderId="3" xfId="0" applyFont="1" applyFill="1" applyBorder="1"/>
    <xf numFmtId="0" fontId="24" fillId="0" borderId="22" xfId="0" applyFont="1" applyBorder="1"/>
    <xf numFmtId="0" fontId="24" fillId="0" borderId="0" xfId="0" applyFont="1"/>
    <xf numFmtId="0" fontId="24" fillId="0" borderId="0" xfId="0" applyFont="1" applyAlignment="1">
      <alignment vertical="top"/>
    </xf>
    <xf numFmtId="0" fontId="2" fillId="16" borderId="0" xfId="0" applyFont="1" applyFill="1"/>
    <xf numFmtId="0" fontId="4" fillId="16" borderId="8" xfId="0" applyFont="1" applyFill="1" applyBorder="1" applyAlignment="1">
      <alignment wrapText="1"/>
    </xf>
    <xf numFmtId="0" fontId="2" fillId="16" borderId="26" xfId="0" applyFont="1" applyFill="1" applyBorder="1"/>
    <xf numFmtId="0" fontId="2" fillId="16" borderId="27" xfId="0" applyFont="1" applyFill="1" applyBorder="1"/>
    <xf numFmtId="0" fontId="4" fillId="16" borderId="28" xfId="0" applyFont="1" applyFill="1" applyBorder="1" applyAlignment="1">
      <alignment wrapText="1"/>
    </xf>
    <xf numFmtId="165" fontId="2" fillId="5" borderId="27" xfId="0" applyNumberFormat="1" applyFont="1" applyFill="1" applyBorder="1"/>
    <xf numFmtId="165" fontId="4" fillId="5" borderId="26" xfId="0" applyNumberFormat="1" applyFont="1" applyFill="1" applyBorder="1"/>
    <xf numFmtId="165" fontId="4" fillId="5" borderId="28" xfId="0" applyNumberFormat="1" applyFont="1" applyFill="1" applyBorder="1"/>
    <xf numFmtId="0" fontId="0" fillId="0" borderId="27" xfId="0" applyBorder="1"/>
    <xf numFmtId="178" fontId="2" fillId="6" borderId="0" xfId="0" applyNumberFormat="1" applyFont="1" applyFill="1" applyAlignment="1">
      <alignment wrapText="1"/>
    </xf>
    <xf numFmtId="0" fontId="27" fillId="23" borderId="0" xfId="0" applyFont="1" applyFill="1"/>
    <xf numFmtId="176" fontId="2" fillId="3" borderId="0" xfId="0" applyNumberFormat="1" applyFont="1" applyFill="1"/>
    <xf numFmtId="164" fontId="2" fillId="0" borderId="0" xfId="0" applyNumberFormat="1" applyFont="1" applyProtection="1">
      <protection locked="0"/>
    </xf>
    <xf numFmtId="0" fontId="2" fillId="24" borderId="4" xfId="0" applyFont="1" applyFill="1" applyBorder="1"/>
    <xf numFmtId="165" fontId="2" fillId="5" borderId="0" xfId="0" applyNumberFormat="1" applyFont="1" applyFill="1" applyAlignment="1">
      <alignment horizontal="right"/>
    </xf>
    <xf numFmtId="0" fontId="2" fillId="0" borderId="0" xfId="0" applyFont="1" applyAlignment="1">
      <alignment horizontal="left" vertical="top" wrapText="1"/>
    </xf>
    <xf numFmtId="0" fontId="2" fillId="5" borderId="0" xfId="0" applyFont="1" applyFill="1" applyAlignment="1">
      <alignment horizontal="left" vertical="top" wrapText="1"/>
    </xf>
    <xf numFmtId="0" fontId="2" fillId="5" borderId="0" xfId="0" applyFont="1" applyFill="1" applyAlignment="1">
      <alignment horizontal="left"/>
    </xf>
    <xf numFmtId="165" fontId="2" fillId="5" borderId="10" xfId="0" applyNumberFormat="1" applyFont="1" applyFill="1" applyBorder="1" applyAlignment="1">
      <alignment horizontal="right"/>
    </xf>
    <xf numFmtId="174" fontId="5" fillId="0" borderId="0" xfId="0" applyNumberFormat="1" applyFont="1" applyAlignment="1">
      <alignment horizontal="right"/>
    </xf>
    <xf numFmtId="175" fontId="5" fillId="0" borderId="0" xfId="0" applyNumberFormat="1" applyFont="1" applyAlignment="1">
      <alignment horizontal="right"/>
    </xf>
    <xf numFmtId="165" fontId="4" fillId="5" borderId="10" xfId="0" applyNumberFormat="1" applyFont="1" applyFill="1" applyBorder="1" applyAlignment="1">
      <alignment horizontal="right"/>
    </xf>
    <xf numFmtId="0" fontId="4" fillId="0" borderId="0" xfId="0" applyFont="1" applyAlignment="1">
      <alignment horizontal="center"/>
    </xf>
    <xf numFmtId="0" fontId="4" fillId="0" borderId="0" xfId="0" applyFont="1" applyAlignment="1">
      <alignment horizontal="left" vertical="center" wrapText="1"/>
    </xf>
    <xf numFmtId="171" fontId="2" fillId="5" borderId="0" xfId="0" applyNumberFormat="1" applyFont="1" applyFill="1" applyAlignment="1">
      <alignment horizontal="right"/>
    </xf>
    <xf numFmtId="0" fontId="23" fillId="16" borderId="0" xfId="0" applyFont="1" applyFill="1"/>
    <xf numFmtId="9" fontId="2" fillId="5" borderId="0" xfId="0" applyNumberFormat="1" applyFont="1" applyFill="1" applyAlignment="1">
      <alignment horizontal="right"/>
    </xf>
    <xf numFmtId="0" fontId="2" fillId="0" borderId="0" xfId="0" applyFont="1" applyAlignment="1" applyProtection="1">
      <alignment horizontal="left"/>
      <protection locked="0"/>
    </xf>
    <xf numFmtId="0" fontId="2" fillId="0" borderId="5" xfId="0" applyFont="1" applyBorder="1" applyAlignment="1" applyProtection="1">
      <alignment horizontal="left"/>
      <protection locked="0"/>
    </xf>
    <xf numFmtId="0" fontId="2" fillId="6" borderId="0" xfId="0" applyFont="1" applyFill="1" applyAlignment="1">
      <alignment horizontal="left"/>
    </xf>
    <xf numFmtId="0" fontId="2" fillId="6" borderId="0" xfId="0" applyFont="1" applyFill="1" applyAlignment="1" applyProtection="1">
      <alignment horizontal="left"/>
      <protection locked="0"/>
    </xf>
    <xf numFmtId="0" fontId="2" fillId="6" borderId="5" xfId="0" applyFont="1" applyFill="1" applyBorder="1" applyAlignment="1" applyProtection="1">
      <alignment horizontal="left"/>
      <protection locked="0"/>
    </xf>
    <xf numFmtId="0" fontId="14" fillId="4" borderId="0" xfId="1" applyFill="1" applyBorder="1" applyAlignment="1">
      <alignment horizontal="left" vertical="top" wrapText="1"/>
    </xf>
    <xf numFmtId="0" fontId="17" fillId="4" borderId="0" xfId="1" applyFont="1" applyFill="1" applyBorder="1" applyAlignment="1">
      <alignment horizontal="left" vertical="top" wrapText="1"/>
    </xf>
    <xf numFmtId="0" fontId="5" fillId="4" borderId="5" xfId="0" applyFont="1" applyFill="1" applyBorder="1" applyAlignment="1">
      <alignment horizontal="left" vertical="top" wrapText="1"/>
    </xf>
    <xf numFmtId="0" fontId="2" fillId="4" borderId="5" xfId="0" applyFont="1" applyFill="1" applyBorder="1" applyAlignment="1">
      <alignment horizontal="left" vertical="top" wrapText="1"/>
    </xf>
    <xf numFmtId="0" fontId="2" fillId="0" borderId="0" xfId="0" applyFont="1" applyAlignment="1">
      <alignment horizontal="right"/>
    </xf>
    <xf numFmtId="0" fontId="5" fillId="4" borderId="7" xfId="0" applyFont="1" applyFill="1" applyBorder="1" applyAlignment="1">
      <alignment horizontal="left"/>
    </xf>
    <xf numFmtId="0" fontId="5" fillId="4" borderId="8" xfId="0" applyFont="1" applyFill="1" applyBorder="1" applyAlignment="1">
      <alignment horizontal="left"/>
    </xf>
    <xf numFmtId="0" fontId="5" fillId="4" borderId="0" xfId="0" applyFont="1" applyFill="1" applyAlignment="1">
      <alignment horizontal="left"/>
    </xf>
    <xf numFmtId="0" fontId="5" fillId="4" borderId="5" xfId="0" applyFont="1" applyFill="1" applyBorder="1" applyAlignment="1">
      <alignment horizontal="left"/>
    </xf>
    <xf numFmtId="0" fontId="2" fillId="0" borderId="0" xfId="0" applyFont="1" applyAlignment="1">
      <alignment horizontal="right" vertical="center" wrapText="1"/>
    </xf>
    <xf numFmtId="0" fontId="2" fillId="4" borderId="0" xfId="0" applyFont="1" applyFill="1" applyAlignment="1">
      <alignment horizontal="left"/>
    </xf>
    <xf numFmtId="0" fontId="2" fillId="4" borderId="5" xfId="0" applyFont="1" applyFill="1" applyBorder="1" applyAlignment="1">
      <alignment horizontal="left"/>
    </xf>
    <xf numFmtId="176" fontId="2" fillId="4" borderId="7" xfId="0" applyNumberFormat="1" applyFont="1" applyFill="1" applyBorder="1" applyAlignment="1">
      <alignment horizontal="left"/>
    </xf>
    <xf numFmtId="176" fontId="2" fillId="4" borderId="8" xfId="0" applyNumberFormat="1" applyFont="1" applyFill="1" applyBorder="1" applyAlignment="1">
      <alignment horizontal="left"/>
    </xf>
    <xf numFmtId="0" fontId="2" fillId="5" borderId="0" xfId="0" applyFont="1" applyFill="1" applyAlignment="1" applyProtection="1">
      <alignment horizontal="center"/>
      <protection locked="0"/>
    </xf>
    <xf numFmtId="0" fontId="2" fillId="5" borderId="5" xfId="0" applyFont="1" applyFill="1" applyBorder="1" applyAlignment="1" applyProtection="1">
      <alignment horizontal="center"/>
      <protection locked="0"/>
    </xf>
    <xf numFmtId="0" fontId="2" fillId="5" borderId="0" xfId="0" applyFont="1" applyFill="1" applyAlignment="1" applyProtection="1">
      <alignment horizontal="right"/>
      <protection locked="0"/>
    </xf>
    <xf numFmtId="0" fontId="2" fillId="5" borderId="5" xfId="0" applyFont="1" applyFill="1" applyBorder="1" applyAlignment="1" applyProtection="1">
      <alignment horizontal="right"/>
      <protection locked="0"/>
    </xf>
    <xf numFmtId="0" fontId="2" fillId="0" borderId="7" xfId="0" applyFont="1" applyBorder="1" applyAlignment="1" applyProtection="1">
      <alignment horizontal="left" vertical="top" wrapText="1"/>
      <protection locked="0"/>
    </xf>
    <xf numFmtId="0" fontId="2" fillId="0" borderId="7" xfId="0" applyFont="1" applyBorder="1" applyAlignment="1" applyProtection="1">
      <alignment horizontal="left" vertical="top"/>
      <protection locked="0"/>
    </xf>
    <xf numFmtId="0" fontId="2" fillId="0" borderId="8" xfId="0" applyFont="1" applyBorder="1" applyAlignment="1" applyProtection="1">
      <alignment horizontal="left" vertical="top"/>
      <protection locked="0"/>
    </xf>
    <xf numFmtId="0" fontId="2" fillId="0" borderId="0" xfId="0" applyFont="1" applyAlignment="1">
      <alignment horizontal="center"/>
    </xf>
    <xf numFmtId="0" fontId="4" fillId="4" borderId="0" xfId="0" applyFont="1" applyFill="1" applyAlignment="1">
      <alignment horizontal="center" wrapText="1"/>
    </xf>
    <xf numFmtId="0" fontId="2" fillId="22" borderId="0" xfId="0" applyFont="1" applyFill="1" applyAlignment="1">
      <alignment horizontal="center"/>
    </xf>
  </cellXfs>
  <cellStyles count="2">
    <cellStyle name="Hyperlink" xfId="1" builtinId="8"/>
    <cellStyle name="Normal" xfId="0" builtinId="0"/>
  </cellStyles>
  <dxfs count="36">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font>
      <fill>
        <patternFill>
          <bgColor theme="0" tint="-0.499984740745262"/>
        </patternFill>
      </fill>
    </dxf>
    <dxf>
      <font>
        <color theme="0"/>
      </font>
      <fill>
        <patternFill>
          <bgColor theme="0" tint="-0.499984740745262"/>
        </patternFill>
      </fill>
    </dxf>
    <dxf>
      <fill>
        <patternFill patternType="solid">
          <fgColor theme="7" tint="0.39985351115451523"/>
          <bgColor rgb="FFF8696B"/>
        </patternFill>
      </fill>
    </dxf>
    <dxf>
      <font>
        <color theme="0"/>
      </font>
      <fill>
        <patternFill>
          <bgColor theme="0" tint="-0.499984740745262"/>
        </patternFill>
      </fill>
    </dxf>
    <dxf>
      <font>
        <color theme="0"/>
      </font>
      <fill>
        <patternFill patternType="none">
          <bgColor auto="1"/>
        </patternFill>
      </fill>
      <border>
        <left/>
        <right/>
        <top/>
        <bottom/>
        <vertical/>
        <horizontal/>
      </border>
    </dxf>
    <dxf>
      <font>
        <color theme="0"/>
      </font>
      <fill>
        <patternFill patternType="none">
          <bgColor auto="1"/>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border>
    </dxf>
    <dxf>
      <font>
        <color theme="0"/>
      </font>
      <fill>
        <patternFill patternType="none">
          <bgColor auto="1"/>
        </patternFill>
      </fill>
    </dxf>
    <dxf>
      <font>
        <color theme="0"/>
      </font>
      <fill>
        <patternFill patternType="none">
          <bgColor auto="1"/>
        </patternFill>
      </fill>
      <border>
        <left/>
        <right/>
        <top/>
        <bottom/>
        <vertical/>
        <horizontal/>
      </border>
    </dxf>
    <dxf>
      <font>
        <color theme="0"/>
      </font>
      <fill>
        <patternFill patternType="none">
          <bgColor auto="1"/>
        </patternFill>
      </fill>
    </dxf>
    <dxf>
      <font>
        <color theme="0"/>
      </font>
      <fill>
        <patternFill patternType="none">
          <bgColor auto="1"/>
        </patternFill>
      </fill>
      <border>
        <left/>
        <right/>
        <top/>
        <bottom/>
      </border>
    </dxf>
    <dxf>
      <font>
        <color theme="3"/>
      </font>
    </dxf>
    <dxf>
      <font>
        <color theme="0"/>
      </font>
      <fill>
        <patternFill patternType="none">
          <bgColor auto="1"/>
        </patternFill>
      </fill>
      <border>
        <left/>
        <right/>
        <top/>
        <bottom/>
        <vertical/>
        <horizontal/>
      </border>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dxf>
    <dxf>
      <font>
        <color theme="0"/>
      </font>
      <fill>
        <patternFill patternType="none">
          <bgColor auto="1"/>
        </patternFill>
      </fill>
      <border>
        <left/>
        <right/>
        <top/>
        <bottom/>
        <vertical/>
        <horizontal/>
      </border>
    </dxf>
    <dxf>
      <font>
        <color theme="3"/>
      </font>
    </dxf>
    <dxf>
      <font>
        <color theme="0"/>
      </font>
      <fill>
        <patternFill patternType="none">
          <bgColor auto="1"/>
        </patternFill>
      </fill>
    </dxf>
  </dxfs>
  <tableStyles count="0" defaultTableStyle="TableStyleMedium2" defaultPivotStyle="PivotStyleMedium9"/>
  <colors>
    <mruColors>
      <color rgb="FFF8696B"/>
      <color rgb="FFFF3300"/>
      <color rgb="FF0042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5382164930996526E-2"/>
          <c:y val="2.422239942545925E-2"/>
          <c:w val="0.89268235119803574"/>
          <c:h val="0.85273856159173589"/>
        </c:manualLayout>
      </c:layout>
      <c:barChart>
        <c:barDir val="col"/>
        <c:grouping val="clustered"/>
        <c:varyColors val="0"/>
        <c:ser>
          <c:idx val="0"/>
          <c:order val="0"/>
          <c:tx>
            <c:strRef>
              <c:f>Berechnungen!$BO$6</c:f>
              <c:strCache>
                <c:ptCount val="1"/>
                <c:pt idx="0">
                  <c:v>Kapitalentwicklung Cash Flow netto [CHF]</c:v>
                </c:pt>
              </c:strCache>
            </c:strRef>
          </c:tx>
          <c:spPr>
            <a:solidFill>
              <a:schemeClr val="tx2"/>
            </a:solidFill>
            <a:ln>
              <a:noFill/>
            </a:ln>
            <a:effectLst/>
          </c:spPr>
          <c:invertIfNegative val="0"/>
          <c:cat>
            <c:numRef>
              <c:f>Berechnungen!$B$7:$B$52</c:f>
              <c:numCache>
                <c:formatCode>General</c:formatCode>
                <c:ptCount val="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numCache>
            </c:numRef>
          </c:cat>
          <c:val>
            <c:numRef>
              <c:f>Berechnungen!$BO$7:$BO$52</c:f>
              <c:numCache>
                <c:formatCode>"CHF"\ #,##0</c:formatCode>
                <c:ptCount val="46"/>
                <c:pt idx="1">
                  <c:v>-15016.17875480588</c:v>
                </c:pt>
                <c:pt idx="2">
                  <c:v>-14689.281623244973</c:v>
                </c:pt>
                <c:pt idx="3">
                  <c:v>-14363.326041984743</c:v>
                </c:pt>
                <c:pt idx="4">
                  <c:v>-14038.329598956483</c:v>
                </c:pt>
                <c:pt idx="5">
                  <c:v>-14493.095244391108</c:v>
                </c:pt>
                <c:pt idx="6">
                  <c:v>-14170.070452066608</c:v>
                </c:pt>
                <c:pt idx="7">
                  <c:v>-13848.058480153157</c:v>
                </c:pt>
                <c:pt idx="8">
                  <c:v>-15688.843405830814</c:v>
                </c:pt>
                <c:pt idx="9">
                  <c:v>-15368.911842928946</c:v>
                </c:pt>
                <c:pt idx="10">
                  <c:v>-15848.49869560333</c:v>
                </c:pt>
                <c:pt idx="11">
                  <c:v>-15530.721616318162</c:v>
                </c:pt>
                <c:pt idx="12">
                  <c:v>-15214.049954897802</c:v>
                </c:pt>
                <c:pt idx="13">
                  <c:v>-14898.502709947879</c:v>
                </c:pt>
                <c:pt idx="14">
                  <c:v>-14584.099042424632</c:v>
                </c:pt>
                <c:pt idx="15">
                  <c:v>-15089.470665211235</c:v>
                </c:pt>
                <c:pt idx="16">
                  <c:v>-18190.886024398042</c:v>
                </c:pt>
                <c:pt idx="17">
                  <c:v>-17880.029695671081</c:v>
                </c:pt>
                <c:pt idx="18">
                  <c:v>-17570.395234784348</c:v>
                </c:pt>
                <c:pt idx="19">
                  <c:v>-17262.00263182446</c:v>
                </c:pt>
                <c:pt idx="20">
                  <c:v>-17794.155423294</c:v>
                </c:pt>
                <c:pt idx="21">
                  <c:v>-17488.307185058136</c:v>
                </c:pt>
                <c:pt idx="22">
                  <c:v>-17183.761795916864</c:v>
                </c:pt>
                <c:pt idx="23">
                  <c:v>-16880.539930567084</c:v>
                </c:pt>
                <c:pt idx="24">
                  <c:v>-18920.008691126488</c:v>
                </c:pt>
                <c:pt idx="25">
                  <c:v>-19479.972929440461</c:v>
                </c:pt>
                <c:pt idx="26">
                  <c:v>-19180.847431536327</c:v>
                </c:pt>
                <c:pt idx="27">
                  <c:v>-18883.129910257132</c:v>
                </c:pt>
                <c:pt idx="28">
                  <c:v>-18586.84192350657</c:v>
                </c:pt>
                <c:pt idx="29">
                  <c:v>-18292.00520956796</c:v>
                </c:pt>
                <c:pt idx="30">
                  <c:v>-18880.846128153462</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0-40F0-4407-AEDB-7B84B7922E4A}"/>
            </c:ext>
          </c:extLst>
        </c:ser>
        <c:ser>
          <c:idx val="1"/>
          <c:order val="1"/>
          <c:tx>
            <c:strRef>
              <c:f>Berechnungen!$BQ$6</c:f>
              <c:strCache>
                <c:ptCount val="1"/>
                <c:pt idx="0">
                  <c:v>Kapitalentwicklung NPV [CHF]</c:v>
                </c:pt>
              </c:strCache>
            </c:strRef>
          </c:tx>
          <c:spPr>
            <a:solidFill>
              <a:schemeClr val="tx2">
                <a:lumMod val="75000"/>
              </a:schemeClr>
            </a:solidFill>
            <a:ln>
              <a:noFill/>
            </a:ln>
            <a:effectLst/>
          </c:spPr>
          <c:invertIfNegative val="0"/>
          <c:cat>
            <c:numRef>
              <c:f>Berechnungen!$B$7:$B$52</c:f>
              <c:numCache>
                <c:formatCode>General</c:formatCode>
                <c:ptCount val="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numCache>
            </c:numRef>
          </c:cat>
          <c:val>
            <c:numRef>
              <c:f>Berechnungen!$BQ$7:$BQ$52</c:f>
              <c:numCache>
                <c:formatCode>"CHF"\ #,##0</c:formatCode>
                <c:ptCount val="46"/>
                <c:pt idx="1">
                  <c:v>-15016.17875480588</c:v>
                </c:pt>
                <c:pt idx="2">
                  <c:v>-14689.281623244973</c:v>
                </c:pt>
                <c:pt idx="3">
                  <c:v>-14363.326041984743</c:v>
                </c:pt>
                <c:pt idx="4">
                  <c:v>-14038.329598956483</c:v>
                </c:pt>
                <c:pt idx="5">
                  <c:v>-14493.095244391108</c:v>
                </c:pt>
                <c:pt idx="6">
                  <c:v>-14170.070452066608</c:v>
                </c:pt>
                <c:pt idx="7">
                  <c:v>-13848.058480153157</c:v>
                </c:pt>
                <c:pt idx="8">
                  <c:v>-15688.843405830814</c:v>
                </c:pt>
                <c:pt idx="9">
                  <c:v>-15368.911842928946</c:v>
                </c:pt>
                <c:pt idx="10">
                  <c:v>-15848.49869560333</c:v>
                </c:pt>
                <c:pt idx="11">
                  <c:v>-15530.721616318162</c:v>
                </c:pt>
                <c:pt idx="12">
                  <c:v>-15214.049954897802</c:v>
                </c:pt>
                <c:pt idx="13">
                  <c:v>-14898.502709947879</c:v>
                </c:pt>
                <c:pt idx="14">
                  <c:v>-14584.099042424632</c:v>
                </c:pt>
                <c:pt idx="15">
                  <c:v>-15089.470665211235</c:v>
                </c:pt>
                <c:pt idx="16">
                  <c:v>-18190.886024398042</c:v>
                </c:pt>
                <c:pt idx="17">
                  <c:v>-17880.029695671081</c:v>
                </c:pt>
                <c:pt idx="18">
                  <c:v>-17570.395234784348</c:v>
                </c:pt>
                <c:pt idx="19">
                  <c:v>-17262.00263182446</c:v>
                </c:pt>
                <c:pt idx="20">
                  <c:v>-17794.155423294</c:v>
                </c:pt>
                <c:pt idx="21">
                  <c:v>-17488.307185058136</c:v>
                </c:pt>
                <c:pt idx="22">
                  <c:v>-17183.761795916864</c:v>
                </c:pt>
                <c:pt idx="23">
                  <c:v>-16880.539930567084</c:v>
                </c:pt>
                <c:pt idx="24">
                  <c:v>-18920.008691126488</c:v>
                </c:pt>
                <c:pt idx="25">
                  <c:v>-19479.972929440461</c:v>
                </c:pt>
                <c:pt idx="26">
                  <c:v>-19180.847431536327</c:v>
                </c:pt>
                <c:pt idx="27">
                  <c:v>-18883.129910257132</c:v>
                </c:pt>
                <c:pt idx="28">
                  <c:v>-18586.84192350657</c:v>
                </c:pt>
                <c:pt idx="29">
                  <c:v>-18292.00520956796</c:v>
                </c:pt>
                <c:pt idx="30">
                  <c:v>-18880.846128153462</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1-40F0-4407-AEDB-7B84B7922E4A}"/>
            </c:ext>
          </c:extLst>
        </c:ser>
        <c:ser>
          <c:idx val="2"/>
          <c:order val="2"/>
          <c:tx>
            <c:strRef>
              <c:f>Berechnungen!$BM$6</c:f>
              <c:strCache>
                <c:ptCount val="1"/>
                <c:pt idx="0">
                  <c:v>Cash Flow netto [CHF]</c:v>
                </c:pt>
              </c:strCache>
            </c:strRef>
          </c:tx>
          <c:spPr>
            <a:solidFill>
              <a:schemeClr val="accent5"/>
            </a:solidFill>
            <a:ln>
              <a:noFill/>
            </a:ln>
            <a:effectLst/>
          </c:spPr>
          <c:invertIfNegative val="0"/>
          <c:cat>
            <c:numRef>
              <c:f>Berechnungen!$B$7:$B$52</c:f>
              <c:numCache>
                <c:formatCode>General</c:formatCode>
                <c:ptCount val="4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numCache>
            </c:numRef>
          </c:cat>
          <c:val>
            <c:numRef>
              <c:f>Berechnungen!$BM$7:$BM$52</c:f>
              <c:numCache>
                <c:formatCode>"CHF"\ #,##0</c:formatCode>
                <c:ptCount val="46"/>
                <c:pt idx="0">
                  <c:v>-15344</c:v>
                </c:pt>
                <c:pt idx="1">
                  <c:v>327.82124519412048</c:v>
                </c:pt>
                <c:pt idx="2">
                  <c:v>326.89713156090659</c:v>
                </c:pt>
                <c:pt idx="3">
                  <c:v>325.95558126023087</c:v>
                </c:pt>
                <c:pt idx="4">
                  <c:v>324.99644302825919</c:v>
                </c:pt>
                <c:pt idx="5">
                  <c:v>-454.76564543462564</c:v>
                </c:pt>
                <c:pt idx="6">
                  <c:v>323.02479232449974</c:v>
                </c:pt>
                <c:pt idx="7">
                  <c:v>322.01197191345034</c:v>
                </c:pt>
                <c:pt idx="8">
                  <c:v>-1840.7849256776567</c:v>
                </c:pt>
                <c:pt idx="9">
                  <c:v>319.93156290186755</c:v>
                </c:pt>
                <c:pt idx="10">
                  <c:v>-479.58685267438386</c:v>
                </c:pt>
                <c:pt idx="11">
                  <c:v>317.77707928516719</c:v>
                </c:pt>
                <c:pt idx="12">
                  <c:v>316.67166142036046</c:v>
                </c:pt>
                <c:pt idx="13">
                  <c:v>315.54724494992348</c:v>
                </c:pt>
                <c:pt idx="14">
                  <c:v>314.40366752324661</c:v>
                </c:pt>
                <c:pt idx="15">
                  <c:v>-505.37162278660338</c:v>
                </c:pt>
                <c:pt idx="16">
                  <c:v>-3101.4153591868067</c:v>
                </c:pt>
                <c:pt idx="17">
                  <c:v>310.85632872696016</c:v>
                </c:pt>
                <c:pt idx="18">
                  <c:v>309.63446088673447</c:v>
                </c:pt>
                <c:pt idx="19">
                  <c:v>308.39260295988845</c:v>
                </c:pt>
                <c:pt idx="20">
                  <c:v>-532.15279146953935</c:v>
                </c:pt>
                <c:pt idx="21">
                  <c:v>305.84823823586498</c:v>
                </c:pt>
                <c:pt idx="22">
                  <c:v>304.54538914127403</c:v>
                </c:pt>
                <c:pt idx="23">
                  <c:v>303.22186534978158</c:v>
                </c:pt>
                <c:pt idx="24">
                  <c:v>-2039.468760559404</c:v>
                </c:pt>
                <c:pt idx="25">
                  <c:v>-559.96423831397112</c:v>
                </c:pt>
                <c:pt idx="26">
                  <c:v>299.12549790413226</c:v>
                </c:pt>
                <c:pt idx="27">
                  <c:v>297.71752127919507</c:v>
                </c:pt>
                <c:pt idx="28">
                  <c:v>296.28798675056117</c:v>
                </c:pt>
                <c:pt idx="29">
                  <c:v>294.83671393860868</c:v>
                </c:pt>
                <c:pt idx="30">
                  <c:v>-588.84091858550244</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2-40F0-4407-AEDB-7B84B7922E4A}"/>
            </c:ext>
          </c:extLst>
        </c:ser>
        <c:dLbls>
          <c:showLegendKey val="0"/>
          <c:showVal val="0"/>
          <c:showCatName val="0"/>
          <c:showSerName val="0"/>
          <c:showPercent val="0"/>
          <c:showBubbleSize val="0"/>
        </c:dLbls>
        <c:gapWidth val="150"/>
        <c:axId val="126255360"/>
        <c:axId val="126258496"/>
      </c:barChart>
      <c:catAx>
        <c:axId val="126255360"/>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de-DE"/>
          </a:p>
        </c:txPr>
        <c:crossAx val="126258496"/>
        <c:crosses val="autoZero"/>
        <c:auto val="1"/>
        <c:lblAlgn val="ctr"/>
        <c:lblOffset val="100"/>
        <c:noMultiLvlLbl val="0"/>
      </c:catAx>
      <c:valAx>
        <c:axId val="1262584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CHF&quot;\ #,##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de-DE"/>
          </a:p>
        </c:txPr>
        <c:crossAx val="126255360"/>
        <c:crosses val="autoZero"/>
        <c:crossBetween val="midCat"/>
      </c:valAx>
      <c:spPr>
        <a:solidFill>
          <a:schemeClr val="bg1">
            <a:lumMod val="95000"/>
          </a:schemeClr>
        </a:solidFill>
        <a:ln>
          <a:noFill/>
        </a:ln>
        <a:effectLst/>
      </c:spPr>
    </c:plotArea>
    <c:legend>
      <c:legendPos val="b"/>
      <c:layout>
        <c:manualLayout>
          <c:xMode val="edge"/>
          <c:yMode val="edge"/>
          <c:x val="0.10546577343154687"/>
          <c:y val="0.90173334935444793"/>
          <c:w val="0.87508985267970552"/>
          <c:h val="8.505443277711977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e-DE"/>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28576</xdr:colOff>
      <xdr:row>6</xdr:row>
      <xdr:rowOff>90487</xdr:rowOff>
    </xdr:from>
    <xdr:to>
      <xdr:col>7</xdr:col>
      <xdr:colOff>1283804</xdr:colOff>
      <xdr:row>29</xdr:row>
      <xdr:rowOff>173935</xdr:rowOff>
    </xdr:to>
    <xdr:graphicFrame macro="">
      <xdr:nvGraphicFramePr>
        <xdr:cNvPr id="2" name="Diagramm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Swissolar">
      <a:dk1>
        <a:sysClr val="windowText" lastClr="000000"/>
      </a:dk1>
      <a:lt1>
        <a:sysClr val="window" lastClr="FFFFFF"/>
      </a:lt1>
      <a:dk2>
        <a:srgbClr val="ED7D31"/>
      </a:dk2>
      <a:lt2>
        <a:srgbClr val="FFFFFF"/>
      </a:lt2>
      <a:accent1>
        <a:srgbClr val="6699FF"/>
      </a:accent1>
      <a:accent2>
        <a:srgbClr val="FFC000"/>
      </a:accent2>
      <a:accent3>
        <a:srgbClr val="ED7D31"/>
      </a:accent3>
      <a:accent4>
        <a:srgbClr val="CC3300"/>
      </a:accent4>
      <a:accent5>
        <a:srgbClr val="70AD47"/>
      </a:accent5>
      <a:accent6>
        <a:srgbClr val="954F72"/>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656DB9-350C-0548-B46C-870B569766CF}">
  <we:reference id="wa200005281" version="1.0.0.0" store="en-US" storeType="OMEX"/>
  <we:alternateReferences>
    <we:reference id="WA200005281"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_xldudf_NUM_AI</we:customFunctionIds>
        <we:customFunctionIds>_xldudf_NUM_WRITE</we:customFunctionIds>
        <we:customFunctionIds>_xldudf_NUM_INFER</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3.bin"/><Relationship Id="rId1" Type="http://schemas.openxmlformats.org/officeDocument/2006/relationships/hyperlink" Target="https://pronovo.ch/de/services/tarifrechner/" TargetMode="External"/><Relationship Id="rId5" Type="http://schemas.openxmlformats.org/officeDocument/2006/relationships/comments" Target="../comments1.xml"/><Relationship Id="rId4" Type="http://schemas.openxmlformats.org/officeDocument/2006/relationships/vmlDrawing" Target="../drawings/vmlDrawing4.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vmlDrawing" Target="../drawings/vmlDrawing5.v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39997558519241921"/>
    <pageSetUpPr fitToPage="1"/>
  </sheetPr>
  <dimension ref="A1:P101"/>
  <sheetViews>
    <sheetView tabSelected="1" zoomScale="90" zoomScaleNormal="90" zoomScaleSheetLayoutView="70" zoomScalePageLayoutView="40" workbookViewId="0">
      <selection activeCell="Q25" sqref="Q25"/>
    </sheetView>
  </sheetViews>
  <sheetFormatPr baseColWidth="10" defaultColWidth="11.5" defaultRowHeight="15" x14ac:dyDescent="0.2"/>
  <cols>
    <col min="1" max="1" width="48.6640625" style="2" customWidth="1"/>
    <col min="2" max="2" width="14.6640625" style="2" customWidth="1"/>
    <col min="3" max="3" width="11.5" style="2" customWidth="1"/>
    <col min="4" max="4" width="10.33203125" style="2" customWidth="1"/>
    <col min="5" max="5" width="6.33203125" style="2" customWidth="1"/>
    <col min="6" max="6" width="39" style="2" customWidth="1"/>
    <col min="7" max="7" width="16.5" style="2" customWidth="1"/>
    <col min="8" max="8" width="12.33203125" style="2" customWidth="1"/>
    <col min="9" max="9" width="16" style="2" customWidth="1"/>
    <col min="10" max="10" width="3.6640625" style="310" customWidth="1"/>
    <col min="11" max="11" width="48.5" style="2" bestFit="1" customWidth="1"/>
    <col min="12" max="13" width="11.5" style="2"/>
    <col min="14" max="14" width="54.5" style="2" bestFit="1" customWidth="1"/>
    <col min="15" max="15" width="18.6640625" style="2" customWidth="1"/>
    <col min="16" max="16" width="19" style="2" customWidth="1"/>
    <col min="17" max="16384" width="11.5" style="2"/>
  </cols>
  <sheetData>
    <row r="1" spans="1:16" ht="16" customHeight="1" x14ac:dyDescent="0.2">
      <c r="A1" s="281" t="s">
        <v>1</v>
      </c>
      <c r="B1" s="280"/>
      <c r="C1" s="280"/>
      <c r="D1" s="280"/>
      <c r="E1" s="280"/>
      <c r="F1" s="280"/>
      <c r="G1" s="280"/>
      <c r="H1" s="280"/>
      <c r="I1" s="280"/>
      <c r="K1" s="280" t="str">
        <f>_xlfn.TRANSLATE(A1,"de", "en")</f>
        <v>Project information</v>
      </c>
    </row>
    <row r="2" spans="1:16" x14ac:dyDescent="0.2">
      <c r="A2" s="279" t="s">
        <v>79</v>
      </c>
      <c r="B2" s="4" t="str">
        <f>_Projektbezeichnung&amp;", "&amp;_Standort</f>
        <v xml:space="preserve">, </v>
      </c>
      <c r="C2" s="4"/>
      <c r="D2" s="4"/>
      <c r="E2" s="4"/>
      <c r="F2" s="4"/>
      <c r="G2" s="4"/>
      <c r="H2" s="4"/>
      <c r="I2" s="4"/>
      <c r="K2" s="313" t="str">
        <f t="shared" ref="K2:K65" si="0">_xlfn.TRANSLATE(A2,"de", "en")</f>
        <v>Project name:</v>
      </c>
    </row>
    <row r="3" spans="1:16" ht="10" customHeight="1" x14ac:dyDescent="0.2">
      <c r="A3" s="3"/>
      <c r="B3" s="5"/>
      <c r="C3" s="5"/>
      <c r="D3" s="5"/>
      <c r="E3" s="5"/>
      <c r="F3" s="5"/>
      <c r="G3" s="5"/>
      <c r="H3" s="5"/>
      <c r="I3" s="5"/>
      <c r="K3" s="313" t="str">
        <f t="shared" si="0"/>
        <v/>
      </c>
    </row>
    <row r="4" spans="1:16" x14ac:dyDescent="0.2">
      <c r="A4" s="3" t="s">
        <v>80</v>
      </c>
      <c r="B4" s="350" t="str">
        <f>IF(_Projektnummer&lt;&gt;"",_Projektnummer,"")</f>
        <v/>
      </c>
      <c r="C4" s="350"/>
      <c r="F4" s="4" t="s">
        <v>81</v>
      </c>
      <c r="G4" s="350" t="str">
        <f>IF(_Projektleiter&lt;&gt;"",_Projektleiter,"")</f>
        <v/>
      </c>
      <c r="H4" s="350"/>
      <c r="I4" s="350"/>
      <c r="K4" s="313" t="str">
        <f t="shared" si="0"/>
        <v>Project number:</v>
      </c>
    </row>
    <row r="5" spans="1:16" x14ac:dyDescent="0.2">
      <c r="A5" s="3" t="s">
        <v>273</v>
      </c>
      <c r="B5" s="6" t="str">
        <f>IF(_Betreiber&lt;&gt;"",_Betreiber,"")</f>
        <v/>
      </c>
      <c r="C5" s="6"/>
      <c r="F5" s="4" t="s">
        <v>82</v>
      </c>
      <c r="G5" s="350" t="str">
        <f>_MWStPflicht</f>
        <v>MWSt. pflichtig</v>
      </c>
      <c r="H5" s="350"/>
      <c r="I5" s="350"/>
      <c r="K5" s="313" t="str">
        <f t="shared" si="0"/>
        <v>Operator / Investor:</v>
      </c>
    </row>
    <row r="6" spans="1:16" ht="10" customHeight="1" x14ac:dyDescent="0.2">
      <c r="A6" s="3"/>
      <c r="K6" s="313" t="str">
        <f t="shared" si="0"/>
        <v/>
      </c>
    </row>
    <row r="7" spans="1:16" ht="55.5" customHeight="1" x14ac:dyDescent="0.2">
      <c r="A7" s="10" t="s">
        <v>270</v>
      </c>
      <c r="B7" s="349" t="str">
        <f>IF(_Bemerkungen&lt;&gt;"",_Bemerkungen,"")</f>
        <v/>
      </c>
      <c r="C7" s="349"/>
      <c r="D7" s="349"/>
      <c r="E7" s="349"/>
      <c r="F7" s="349"/>
      <c r="G7" s="349"/>
      <c r="H7" s="349"/>
      <c r="I7" s="349"/>
      <c r="K7" s="313" t="str">
        <f t="shared" si="0"/>
        <v>Remarks:</v>
      </c>
    </row>
    <row r="8" spans="1:16" x14ac:dyDescent="0.2">
      <c r="A8" s="10" t="s">
        <v>274</v>
      </c>
      <c r="B8" s="349" t="str">
        <f>IF(Eingaben!B10&lt;&gt;"",Eingaben!B10,"")</f>
        <v/>
      </c>
      <c r="C8" s="349"/>
      <c r="D8" s="349"/>
      <c r="E8" s="349"/>
      <c r="F8" s="349"/>
      <c r="G8" s="349"/>
      <c r="H8" s="349"/>
      <c r="I8" s="349"/>
      <c r="K8" s="313" t="str">
        <f t="shared" si="0"/>
        <v>Common carrier:</v>
      </c>
    </row>
    <row r="9" spans="1:16" ht="10" customHeight="1" x14ac:dyDescent="0.2">
      <c r="K9" s="313" t="str">
        <f t="shared" si="0"/>
        <v/>
      </c>
    </row>
    <row r="10" spans="1:16" ht="16" x14ac:dyDescent="0.2">
      <c r="A10" s="281" t="s">
        <v>96</v>
      </c>
      <c r="B10" s="280"/>
      <c r="C10" s="280"/>
      <c r="D10" s="280"/>
      <c r="E10" s="184"/>
      <c r="F10" s="280"/>
      <c r="G10" s="184"/>
      <c r="H10" s="184"/>
      <c r="I10" s="188" t="str">
        <f ca="1">"Version Swissolar: " &amp; _Version</f>
        <v>Version Swissolar: V2.4</v>
      </c>
      <c r="K10" s="280" t="str">
        <f t="shared" si="0"/>
        <v>Profitability calculation</v>
      </c>
      <c r="L10" s="187"/>
      <c r="M10" s="187"/>
      <c r="N10" s="187"/>
    </row>
    <row r="11" spans="1:16" ht="10" customHeight="1" x14ac:dyDescent="0.2">
      <c r="E11" s="283"/>
      <c r="H11" s="283"/>
      <c r="I11" s="283"/>
      <c r="K11" s="2" t="str">
        <f t="shared" si="0"/>
        <v/>
      </c>
    </row>
    <row r="12" spans="1:16" x14ac:dyDescent="0.2">
      <c r="A12" s="187" t="s">
        <v>189</v>
      </c>
      <c r="B12" s="184"/>
      <c r="C12" s="184"/>
      <c r="D12" s="184"/>
      <c r="F12" s="187" t="s">
        <v>190</v>
      </c>
      <c r="G12" s="184"/>
      <c r="H12" s="184"/>
      <c r="I12" s="184"/>
      <c r="K12" s="187" t="str">
        <f t="shared" si="0"/>
        <v>Key figures for PV systems</v>
      </c>
      <c r="N12" s="187" t="str">
        <f>_xlfn.TRANSLATE(F12,"de","en")</f>
        <v>Key figures for PV systems and battery storage systems</v>
      </c>
      <c r="O12" s="187"/>
      <c r="P12" s="187"/>
    </row>
    <row r="13" spans="1:16" x14ac:dyDescent="0.2">
      <c r="A13" s="184"/>
      <c r="B13" s="187"/>
      <c r="C13" s="184"/>
      <c r="D13" s="184"/>
      <c r="F13" s="184"/>
      <c r="G13" s="191" t="s">
        <v>194</v>
      </c>
      <c r="H13" s="191" t="s">
        <v>195</v>
      </c>
      <c r="I13" s="184"/>
      <c r="K13" s="184" t="str">
        <f t="shared" si="0"/>
        <v/>
      </c>
      <c r="N13" s="187" t="str">
        <f t="shared" ref="N13:N76" si="1">_xlfn.TRANSLATE(F13,"de","en")</f>
        <v/>
      </c>
      <c r="O13" s="187" t="str">
        <f>_xlfn.TRANSLATE(G13,"de","en")</f>
        <v>PVA and battery</v>
      </c>
      <c r="P13" s="187" t="str">
        <f>_xlfn.TRANSLATE(H13,"de","en")</f>
        <v>Battery only</v>
      </c>
    </row>
    <row r="14" spans="1:16" x14ac:dyDescent="0.2">
      <c r="A14" s="184" t="s">
        <v>97</v>
      </c>
      <c r="B14" s="296">
        <f>IF(_Anlagenleistung=0,"--",-1*(_Summe_Betrieb_Unterhalt+_Summe_MWSt_Umsatz+_Summe_MWSt_Betrieb_Unterhalt+_Summe_Eigenkapital+_Summe_FK1+_Summe_FK2)/_Gesamtenergieertrag)</f>
        <v>0.30068889173971253</v>
      </c>
      <c r="C14" s="184" t="s">
        <v>19</v>
      </c>
      <c r="D14" s="184"/>
      <c r="F14" s="184" t="s">
        <v>97</v>
      </c>
      <c r="G14" s="296" t="str">
        <f>IF(_Speicherkapazität=0,"--",-1*(_Summe_Betrieb_Unterhalt+_Summe_Betrieb_Unterhalt_Batterie+_Summe_MWSt_Umsatz+_Summe_MWSt_Betrieb_Unterhalt+_Summe_MWSt_Betrieb_Unterhalt_Batterie+_Summe_Eigenkapital+_Summe_Eigenkapital_Batterie+_Summe_FK1+_Summe_FK2+_Summe_FK1_Batterie)/_Gesamtenergieertrag)</f>
        <v>--</v>
      </c>
      <c r="H14" s="296" t="str">
        <f>IF(_Speicherkapazität=0,"--",-1*(_Summe_Betrieb_Unterhalt_Batterie+_Summe_MWSt_Betrieb_Unterhalt_Batterie+_Summe_Eigenkapital_Batterie+_Summe_FK1_Batterie)/_Gesamtspeichermenge)</f>
        <v>--</v>
      </c>
      <c r="I14" s="184" t="s">
        <v>19</v>
      </c>
      <c r="K14" s="184" t="str">
        <f t="shared" si="0"/>
        <v>kWh costs (production costs)</v>
      </c>
      <c r="N14" s="317" t="str">
        <f t="shared" si="1"/>
        <v>kWh costs (production costs)</v>
      </c>
      <c r="O14" s="187"/>
      <c r="P14" s="187"/>
    </row>
    <row r="15" spans="1:16" x14ac:dyDescent="0.2">
      <c r="A15" s="184" t="s">
        <v>98</v>
      </c>
      <c r="B15" s="188" t="str">
        <f>IF(_Amortisationszeit&gt;0,_Amortisationszeit,"--")</f>
        <v>--</v>
      </c>
      <c r="C15" s="184" t="s">
        <v>16</v>
      </c>
      <c r="D15" s="184"/>
      <c r="F15" s="184" t="s">
        <v>98</v>
      </c>
      <c r="G15" s="188" t="str">
        <f>IF(_Amortisationszeit_PVA_Batterie&gt;0,_Amortisationszeit_PVA_Batterie,"--")</f>
        <v>--</v>
      </c>
      <c r="H15" s="188" t="str">
        <f>IF(_Amortisationszeit_Batterie&gt;0,_Amortisationszeit_Batterie,"--")</f>
        <v>--</v>
      </c>
      <c r="I15" s="184" t="s">
        <v>16</v>
      </c>
      <c r="K15" s="184" t="str">
        <f t="shared" si="0"/>
        <v>Payback (dyn. amortization calculation)</v>
      </c>
      <c r="N15" s="317" t="str">
        <f t="shared" si="1"/>
        <v>Payback (dyn. amortization calculation)</v>
      </c>
      <c r="O15" s="187"/>
      <c r="P15" s="187"/>
    </row>
    <row r="16" spans="1:16" x14ac:dyDescent="0.2">
      <c r="A16" s="184" t="s">
        <v>101</v>
      </c>
      <c r="B16" s="295">
        <f>IF(_Anlagenleistung&gt;0,_NPV,"--")</f>
        <v>-18880.846128153462</v>
      </c>
      <c r="C16" s="184" t="s">
        <v>20</v>
      </c>
      <c r="D16" s="184"/>
      <c r="F16" s="184" t="s">
        <v>101</v>
      </c>
      <c r="G16" s="185">
        <f>_NPV_PVA_Batterie</f>
        <v>-18880.846128153462</v>
      </c>
      <c r="H16" s="185">
        <f>_NPV_Batterie</f>
        <v>0</v>
      </c>
      <c r="I16" s="184" t="s">
        <v>20</v>
      </c>
      <c r="K16" s="184" t="str">
        <f t="shared" si="0"/>
        <v>Net present value (NPV with annuity)</v>
      </c>
      <c r="N16" s="317" t="str">
        <f t="shared" si="1"/>
        <v>Net present value (NPV with annuity)</v>
      </c>
      <c r="O16" s="187"/>
      <c r="P16" s="187"/>
    </row>
    <row r="17" spans="1:16" x14ac:dyDescent="0.2">
      <c r="A17" s="187" t="s">
        <v>111</v>
      </c>
      <c r="B17" s="189" t="str">
        <f>IF(ISNUMBER(IRR(Berechnungen!BN7:BN52)*100),IF(IRR(Berechnungen!BN7:BN52)*100&gt;0,IRR(Berechnungen!BN7:BN52)*100,"--"),"--")</f>
        <v>--</v>
      </c>
      <c r="C17" s="187" t="s">
        <v>34</v>
      </c>
      <c r="D17" s="187"/>
      <c r="F17" s="187" t="s">
        <v>111</v>
      </c>
      <c r="G17" s="189" t="str">
        <f>IF(ISNUMBER(IRR(Berechnungen!BT7:BT52)*100),IF(IRR(Berechnungen!BT7:BT52)*100&gt;0,IRR(Berechnungen!BT7:BT52)*100,"--"),"--")</f>
        <v>--</v>
      </c>
      <c r="H17" s="189" t="str">
        <f>IF(ISNUMBER(IRR(Berechnungen!BZ7:BZ52)),IF(IRR(Berechnungen!BZ7:BZ52)*100&gt;0,IRR(Berechnungen!BZ7:BZ52)*100,"--"),"--")</f>
        <v>--</v>
      </c>
      <c r="I17" s="187" t="s">
        <v>34</v>
      </c>
      <c r="K17" s="184" t="str">
        <f t="shared" si="0"/>
        <v>Project ROI (Project IRR)</v>
      </c>
      <c r="N17" s="317" t="str">
        <f t="shared" si="1"/>
        <v>Project ROI (Project IRR)</v>
      </c>
      <c r="O17" s="187"/>
      <c r="P17" s="187"/>
    </row>
    <row r="18" spans="1:16" x14ac:dyDescent="0.2">
      <c r="A18" s="184" t="s">
        <v>110</v>
      </c>
      <c r="B18" s="190" t="e">
        <f>IF(IRR(Berechnungen!BM7:BM52)*100&gt;0,IRR(Berechnungen!BM7:BM52)*100,"--")</f>
        <v>#NUM!</v>
      </c>
      <c r="C18" s="184" t="s">
        <v>34</v>
      </c>
      <c r="D18" s="184"/>
      <c r="F18" s="184" t="s">
        <v>110</v>
      </c>
      <c r="G18" s="190" t="e">
        <f>IF(IRR(Berechnungen!BS7:BS52)*100&gt;0,IRR(Berechnungen!BS7:BS52)*100,"--")</f>
        <v>#NUM!</v>
      </c>
      <c r="H18" s="190" t="e">
        <f>IF(IRR(Berechnungen!BY7:BY52)*100&gt;0,IRR(Berechnungen!BY7:BY52)*100,"--")</f>
        <v>#NUM!</v>
      </c>
      <c r="I18" s="184" t="s">
        <v>34</v>
      </c>
      <c r="K18" s="184" t="str">
        <f t="shared" si="0"/>
        <v>Return on equity (IRR)</v>
      </c>
      <c r="N18" s="317" t="str">
        <f t="shared" si="1"/>
        <v>Return on equity (IRR)</v>
      </c>
      <c r="O18" s="187"/>
      <c r="P18" s="187"/>
    </row>
    <row r="19" spans="1:16" s="3" customFormat="1" ht="10" customHeight="1" x14ac:dyDescent="0.2">
      <c r="E19" s="2"/>
      <c r="F19" s="2"/>
      <c r="G19" s="2"/>
      <c r="H19" s="2"/>
      <c r="I19" s="2"/>
      <c r="J19" s="311"/>
      <c r="K19" s="2" t="str">
        <f t="shared" si="0"/>
        <v/>
      </c>
      <c r="N19" s="2" t="str">
        <f t="shared" si="1"/>
        <v/>
      </c>
    </row>
    <row r="20" spans="1:16" x14ac:dyDescent="0.2">
      <c r="A20" s="3" t="s">
        <v>196</v>
      </c>
      <c r="F20" s="3" t="s">
        <v>198</v>
      </c>
      <c r="K20" s="312" t="str">
        <f t="shared" si="0"/>
        <v>Average values PV system</v>
      </c>
      <c r="N20" s="312" t="str">
        <f t="shared" si="1"/>
        <v>Average values battery storage</v>
      </c>
    </row>
    <row r="21" spans="1:16" x14ac:dyDescent="0.2">
      <c r="A21" s="2" t="s">
        <v>92</v>
      </c>
      <c r="C21" s="185">
        <f>_Durchschnittlicher_Energieertrag</f>
        <v>4239</v>
      </c>
      <c r="D21" s="184" t="s">
        <v>99</v>
      </c>
      <c r="E21" s="3"/>
      <c r="F21" s="18" t="s">
        <v>199</v>
      </c>
      <c r="G21" s="18"/>
      <c r="H21" s="185" t="e">
        <f>_durchschnittlich_Energie_eingelagert</f>
        <v>#DIV/0!</v>
      </c>
      <c r="I21" s="193" t="s">
        <v>99</v>
      </c>
      <c r="K21" s="2" t="str">
        <f t="shared" si="0"/>
        <v>Ø Annual energy yield</v>
      </c>
      <c r="N21" s="18" t="str">
        <f t="shared" si="1"/>
        <v>Ø stored energy</v>
      </c>
    </row>
    <row r="22" spans="1:16" x14ac:dyDescent="0.2">
      <c r="A22" s="288" t="str">
        <f>"davon Ø "&amp;(IF(_ZEV="ja","Eigenverbrauch ZEV oder vZEV","Eigenverbrauch"))</f>
        <v>davon Ø Eigenverbrauch ZEV oder vZEV</v>
      </c>
      <c r="C22" s="285">
        <f>_Eigennutzungsgrad/100*_Durchschnittlicher_Energieertrag</f>
        <v>1410.3332610684347</v>
      </c>
      <c r="D22" s="286" t="s">
        <v>99</v>
      </c>
      <c r="E22" s="3"/>
      <c r="F22" s="2" t="str">
        <f>"Ø "&amp;IF(_ZEV=_NEIN,"Einsparung Bezug",IF(_ZEV=_JA,"Stromverkauf ZEV","Fehler"))</f>
        <v>Ø Stromverkauf ZEV</v>
      </c>
      <c r="H22" s="192" t="e">
        <f>_Durchschnittlicher_Verkauf_Batteriestrom</f>
        <v>#DIV/0!</v>
      </c>
      <c r="I22" s="184" t="s">
        <v>95</v>
      </c>
      <c r="K22" s="314" t="str">
        <f t="shared" si="0"/>
        <v>of which Ø self-consumption ZEV or vZEV</v>
      </c>
      <c r="N22" s="2" t="str">
        <f t="shared" si="1"/>
        <v>Ø Electricity sales ZEV</v>
      </c>
    </row>
    <row r="23" spans="1:16" x14ac:dyDescent="0.2">
      <c r="A23" s="288" t="s">
        <v>482</v>
      </c>
      <c r="C23" s="285">
        <f>(1-_Eigennutzungsgrad/100-_Anteil_LEG/100)*_Durchschnittlicher_Energieertrag</f>
        <v>-4.7062354013860386E-13</v>
      </c>
      <c r="D23" s="286" t="s">
        <v>99</v>
      </c>
      <c r="E23" s="3"/>
      <c r="F23" s="2" t="str">
        <f>"Ø "&amp;IF(_ZEV=_NEIN,"Einsparung Leistung",IF(_ZEV=_JA,"ZEV Verkauf Batterieleistung","Fehler"))</f>
        <v>Ø ZEV Verkauf Batterieleistung</v>
      </c>
      <c r="H23" s="185" t="e">
        <f>_durchschnittliche_Einsparung_Leistung_Batterie</f>
        <v>#DIV/0!</v>
      </c>
      <c r="I23" s="184" t="s">
        <v>95</v>
      </c>
      <c r="K23" s="314" t="str">
        <f t="shared" si="0"/>
        <v>of which Ø Purchase remuneration</v>
      </c>
      <c r="N23" s="2" t="str">
        <f t="shared" si="1"/>
        <v>Ø ZEV Sale Battery Power</v>
      </c>
    </row>
    <row r="24" spans="1:16" x14ac:dyDescent="0.2">
      <c r="A24" s="289" t="s">
        <v>483</v>
      </c>
      <c r="B24" s="18"/>
      <c r="C24" s="285">
        <f>_Anteil_LEG/100*_Durchschnittlicher_Energieertrag</f>
        <v>2828.6667389315653</v>
      </c>
      <c r="D24" s="287" t="s">
        <v>99</v>
      </c>
      <c r="E24" s="3"/>
      <c r="F24" s="2" t="s">
        <v>521</v>
      </c>
      <c r="H24" s="185" t="e">
        <f>_durchschnittliche_Kosten_Energie_Speicher</f>
        <v>#DIV/0!</v>
      </c>
      <c r="I24" s="184" t="s">
        <v>95</v>
      </c>
      <c r="K24" s="315" t="str">
        <f t="shared" si="0"/>
        <v>of which Ø to LEG</v>
      </c>
      <c r="N24" s="2" t="str">
        <f t="shared" si="1"/>
        <v>Ø Costs of stored energy (at the tariff for purchase remuneration)</v>
      </c>
    </row>
    <row r="25" spans="1:16" x14ac:dyDescent="0.2">
      <c r="A25" s="2" t="s">
        <v>316</v>
      </c>
      <c r="C25" s="192">
        <f>_Durchschnittliche_Vergütung_Rücklieferung</f>
        <v>-4.0447042940464531E-14</v>
      </c>
      <c r="D25" s="184" t="s">
        <v>95</v>
      </c>
      <c r="F25" s="2" t="s">
        <v>411</v>
      </c>
      <c r="H25" s="185" t="e">
        <f>_Durchschnittliche_Kost_Ersatz_Batterie</f>
        <v>#DIV/0!</v>
      </c>
      <c r="I25" s="184" t="s">
        <v>95</v>
      </c>
      <c r="K25" s="2" t="str">
        <f t="shared" si="0"/>
        <v>Ø Purchase remuneration</v>
      </c>
      <c r="N25" s="2" t="str">
        <f t="shared" si="1"/>
        <v>Ø Maintenance costs and replacement</v>
      </c>
    </row>
    <row r="26" spans="1:16" x14ac:dyDescent="0.2">
      <c r="A26" s="2" t="str">
        <f>"Ø "&amp;IF(_ZEV=_NEIN,"Einsparung Bezug",IF(_ZEV=_JA,"Stromverkauf ZEV","Fehler"))</f>
        <v>Ø Stromverkauf ZEV</v>
      </c>
      <c r="C26" s="185">
        <f>_Durchschnittlicher_Verkauf_Solarstrom</f>
        <v>351.50610797454129</v>
      </c>
      <c r="D26" s="184" t="s">
        <v>95</v>
      </c>
      <c r="F26" s="2" t="s">
        <v>419</v>
      </c>
      <c r="H26" s="185" t="e">
        <f>_Durchschnittliche_Vorsteuer_Batterieersatz</f>
        <v>#DIV/0!</v>
      </c>
      <c r="I26" s="184" t="s">
        <v>95</v>
      </c>
      <c r="K26" s="2" t="str">
        <f t="shared" si="0"/>
        <v>Ø Electricity sales ZEV</v>
      </c>
      <c r="N26" s="2" t="str">
        <f t="shared" si="1"/>
        <v>Ø VAT input tax (maintenance and replacement of battery storage)</v>
      </c>
    </row>
    <row r="27" spans="1:16" x14ac:dyDescent="0.2">
      <c r="A27" s="2" t="str">
        <f>"Ø "&amp;IF(_ZEV=_NEIN,"Einsparung Leistung",IF(_ZEV=_JA,"ZEV Verkauf Leistung","Fehler"))</f>
        <v>Ø ZEV Verkauf Leistung</v>
      </c>
      <c r="C27" s="185">
        <f>_durchschnittliche_Einsparung_Leistung</f>
        <v>0</v>
      </c>
      <c r="D27" s="184" t="s">
        <v>95</v>
      </c>
      <c r="F27" s="2" t="s">
        <v>93</v>
      </c>
      <c r="H27" s="185" t="e">
        <f>_Durchschnittliche_Eigenkapitalkosten_Batterie</f>
        <v>#DIV/0!</v>
      </c>
      <c r="I27" s="184" t="s">
        <v>95</v>
      </c>
      <c r="K27" s="2" t="str">
        <f t="shared" si="0"/>
        <v>Ø ZEV Sales Performance</v>
      </c>
      <c r="N27" s="2" t="str">
        <f t="shared" si="1"/>
        <v>Ø Cost of equity</v>
      </c>
    </row>
    <row r="28" spans="1:16" x14ac:dyDescent="0.2">
      <c r="A28" s="2" t="str">
        <f>IF(_ZEV=_NEIN,"",IF(_ZEV=_JA,"Ø ZEV Abrechnungsgebühren","Fehler"))</f>
        <v>Ø ZEV Abrechnungsgebühren</v>
      </c>
      <c r="C28" s="185">
        <f>IF(_ZEV="NEIN","",_Durchschnittlicher_Abrechnungsgebühren_ZEV)</f>
        <v>0</v>
      </c>
      <c r="D28" s="184" t="str">
        <f>IF(_ZEV="NEIN","","CHF/Jahr")</f>
        <v>CHF/Jahr</v>
      </c>
      <c r="F28" s="2" t="s">
        <v>94</v>
      </c>
      <c r="H28" s="185" t="e">
        <f>_Durchschnittlicher_Zins_FK_Batterie</f>
        <v>#DIV/0!</v>
      </c>
      <c r="I28" s="184" t="s">
        <v>95</v>
      </c>
      <c r="K28" s="2" t="str">
        <f t="shared" si="0"/>
        <v>Ø ZEV Billing Fees</v>
      </c>
      <c r="N28" s="18" t="str">
        <f t="shared" si="1"/>
        <v>Ø Borrowing costs</v>
      </c>
    </row>
    <row r="29" spans="1:16" ht="16" thickBot="1" x14ac:dyDescent="0.25">
      <c r="A29" s="2" t="str">
        <f>IF(_LEG=_NEIN,"",IF(_LEG=_JA,"Ø Stromverkauf LEG (inkl. Abrechnungsgebühr)","Fehler"))</f>
        <v>Ø Stromverkauf LEG (inkl. Abrechnungsgebühr)</v>
      </c>
      <c r="C29" s="185">
        <f>IF(_LEG="NEIN","",_durchschnittlicher_Verkauf_LEG)</f>
        <v>293.75256650498443</v>
      </c>
      <c r="D29" s="184" t="str">
        <f>IF(_LEG="NEIN","","CHF/Jahr")</f>
        <v>CHF/Jahr</v>
      </c>
      <c r="F29" s="24" t="s">
        <v>201</v>
      </c>
      <c r="G29" s="24"/>
      <c r="H29" s="194" t="e">
        <f>SUM(H22:H28)</f>
        <v>#DIV/0!</v>
      </c>
      <c r="I29" s="195" t="s">
        <v>95</v>
      </c>
      <c r="K29" s="2" t="str">
        <f t="shared" si="0"/>
        <v>Ø Electricity sale LEG (incl. billing fee)</v>
      </c>
      <c r="N29" s="318" t="str">
        <f t="shared" si="1"/>
        <v>Ø Net yield battery storage</v>
      </c>
    </row>
    <row r="30" spans="1:16" ht="16" thickTop="1" x14ac:dyDescent="0.2">
      <c r="A30" s="2" t="str">
        <f>IF(_ZEV=_NEIN,"",IF(_ZEV=_JA,"Ø Betriebs- und Abrechnungskosten ZEV","Fehler"))</f>
        <v>Ø Betriebs- und Abrechnungskosten ZEV</v>
      </c>
      <c r="C30" s="185">
        <f>IF(_ZEV="NEIN","",_Durchschnittliche_Betriebskosten_ZEV)</f>
        <v>0</v>
      </c>
      <c r="D30" s="184" t="str">
        <f>IF(_ZEV="NEIN","","CHF/Jahr")</f>
        <v>CHF/Jahr</v>
      </c>
      <c r="K30" s="2" t="str">
        <f t="shared" si="0"/>
        <v>Ø Operating and billing costs ZEV</v>
      </c>
      <c r="N30" s="319" t="str">
        <f t="shared" si="1"/>
        <v/>
      </c>
    </row>
    <row r="31" spans="1:16" x14ac:dyDescent="0.2">
      <c r="A31" s="2" t="str">
        <f>IF(_LEG=_NEIN,"",IF(_LEG=_JA,"Ø Betriebs- und Abrechnungskosten LEG","Fehler"))</f>
        <v>Ø Betriebs- und Abrechnungskosten LEG</v>
      </c>
      <c r="C31" s="185">
        <f>IF(_LEG="NEIN","",_Durchschnittliche_Betriebskosten_LEG)</f>
        <v>0</v>
      </c>
      <c r="D31" s="184" t="str">
        <f>IF(_LEG="NEIN","","CHF/Jahr")</f>
        <v>CHF/Jahr</v>
      </c>
      <c r="K31" s="2" t="str">
        <f t="shared" si="0"/>
        <v>Ø Operating and billing costs LEG</v>
      </c>
      <c r="N31" s="2" t="str">
        <f t="shared" si="1"/>
        <v/>
      </c>
    </row>
    <row r="32" spans="1:16" x14ac:dyDescent="0.2">
      <c r="A32" s="2" t="s">
        <v>412</v>
      </c>
      <c r="C32" s="185">
        <f>_Durchschnittliche_Unterhaltskosten</f>
        <v>-830.41735083566334</v>
      </c>
      <c r="D32" s="184" t="s">
        <v>95</v>
      </c>
      <c r="K32" s="2" t="str">
        <f t="shared" si="0"/>
        <v>Ø Maintenance costs</v>
      </c>
      <c r="N32" s="2" t="str">
        <f t="shared" si="1"/>
        <v/>
      </c>
    </row>
    <row r="33" spans="1:14" x14ac:dyDescent="0.2">
      <c r="A33" s="2" t="s">
        <v>318</v>
      </c>
      <c r="C33" s="185">
        <f>_Durchschnittliche_Umsatzsteuer</f>
        <v>3.2762104781776267E-15</v>
      </c>
      <c r="D33" s="184" t="s">
        <v>95</v>
      </c>
      <c r="K33" s="2" t="str">
        <f t="shared" si="0"/>
        <v>Ø VAT (purchase remuneration)</v>
      </c>
      <c r="N33" s="2" t="str">
        <f t="shared" si="1"/>
        <v/>
      </c>
    </row>
    <row r="34" spans="1:14" x14ac:dyDescent="0.2">
      <c r="A34" s="2" t="s">
        <v>100</v>
      </c>
      <c r="C34" s="185">
        <f>_Durchschnittliche_Vorsteuer_Unterhalt</f>
        <v>67.263805417688701</v>
      </c>
      <c r="D34" s="184" t="s">
        <v>95</v>
      </c>
      <c r="K34" s="2" t="str">
        <f t="shared" si="0"/>
        <v>Ø VAT input tax (maintenance costs)</v>
      </c>
      <c r="N34" s="2" t="str">
        <f t="shared" si="1"/>
        <v/>
      </c>
    </row>
    <row r="35" spans="1:14" x14ac:dyDescent="0.2">
      <c r="A35" s="2" t="s">
        <v>93</v>
      </c>
      <c r="C35" s="185">
        <f>_Durchschnittliche_Eigenkapitalkosten</f>
        <v>-511.46666666666681</v>
      </c>
      <c r="D35" s="184" t="s">
        <v>95</v>
      </c>
      <c r="K35" s="2" t="str">
        <f t="shared" si="0"/>
        <v>Ø Cost of equity</v>
      </c>
      <c r="N35" s="2" t="str">
        <f t="shared" si="1"/>
        <v/>
      </c>
    </row>
    <row r="36" spans="1:14" x14ac:dyDescent="0.2">
      <c r="A36" s="18" t="s">
        <v>94</v>
      </c>
      <c r="B36" s="18"/>
      <c r="C36" s="185">
        <f>_Durchschnittlicher_Zins_FK1+_Durchschnittlicher_Zins_FK2</f>
        <v>0</v>
      </c>
      <c r="D36" s="184" t="s">
        <v>95</v>
      </c>
      <c r="K36" s="18" t="str">
        <f t="shared" si="0"/>
        <v>Ø Borrowing costs</v>
      </c>
      <c r="N36" s="2" t="str">
        <f t="shared" si="1"/>
        <v/>
      </c>
    </row>
    <row r="37" spans="1:14" ht="16" thickBot="1" x14ac:dyDescent="0.25">
      <c r="A37" s="24" t="s">
        <v>197</v>
      </c>
      <c r="B37" s="24"/>
      <c r="C37" s="194">
        <f>SUM(C25:C36)</f>
        <v>-629.36153760511581</v>
      </c>
      <c r="D37" s="194" t="s">
        <v>95</v>
      </c>
      <c r="F37" s="348" t="s">
        <v>269</v>
      </c>
      <c r="G37" s="348"/>
      <c r="H37" s="235">
        <f>_Teuerungsrate</f>
        <v>0.5</v>
      </c>
      <c r="I37" s="184" t="s">
        <v>18</v>
      </c>
      <c r="K37" s="316" t="str">
        <f t="shared" si="0"/>
        <v>Ø Net yield of PV system</v>
      </c>
      <c r="N37" s="2" t="str">
        <f t="shared" si="1"/>
        <v>Inflation rate (for tariffs and maintenance costs)</v>
      </c>
    </row>
    <row r="38" spans="1:14" ht="10" customHeight="1" x14ac:dyDescent="0.2">
      <c r="K38" s="2" t="str">
        <f t="shared" si="0"/>
        <v/>
      </c>
      <c r="N38" s="2" t="str">
        <f t="shared" si="1"/>
        <v/>
      </c>
    </row>
    <row r="39" spans="1:14" ht="16" x14ac:dyDescent="0.2">
      <c r="A39" s="281" t="s">
        <v>7</v>
      </c>
      <c r="B39" s="280"/>
      <c r="C39" s="280"/>
      <c r="D39" s="280"/>
      <c r="E39" s="280"/>
      <c r="F39" s="280"/>
      <c r="G39" s="280"/>
      <c r="H39" s="280"/>
      <c r="I39" s="280"/>
      <c r="K39" s="280" t="str">
        <f t="shared" si="0"/>
        <v>System data</v>
      </c>
      <c r="L39" s="187"/>
      <c r="M39" s="187"/>
      <c r="N39" s="187" t="str">
        <f t="shared" si="1"/>
        <v/>
      </c>
    </row>
    <row r="40" spans="1:14" x14ac:dyDescent="0.2">
      <c r="A40" s="330" t="s">
        <v>8</v>
      </c>
      <c r="B40" s="7" t="str">
        <f>_Anlagekategorie</f>
        <v>Dach integriert</v>
      </c>
      <c r="C40" s="6"/>
      <c r="G40" s="283"/>
      <c r="K40" s="2" t="str">
        <f t="shared" si="0"/>
        <v>Investment category</v>
      </c>
      <c r="N40" s="2" t="str">
        <f t="shared" si="1"/>
        <v/>
      </c>
    </row>
    <row r="41" spans="1:14" x14ac:dyDescent="0.2">
      <c r="A41" s="331" t="s">
        <v>33</v>
      </c>
      <c r="B41" s="6">
        <f ca="1">_IBNJahr</f>
        <v>2025</v>
      </c>
      <c r="C41" s="6"/>
      <c r="F41" s="3" t="s">
        <v>466</v>
      </c>
      <c r="G41" s="6">
        <f>_Anlagenlebensdauer</f>
        <v>30</v>
      </c>
      <c r="H41" s="6" t="s">
        <v>16</v>
      </c>
      <c r="I41" s="6"/>
      <c r="K41" s="2" t="str">
        <f t="shared" si="0"/>
        <v>Year of commissioning</v>
      </c>
      <c r="N41" s="312" t="str">
        <f t="shared" si="1"/>
        <v>System life</v>
      </c>
    </row>
    <row r="42" spans="1:14" ht="17" x14ac:dyDescent="0.2">
      <c r="A42" s="331" t="s">
        <v>465</v>
      </c>
      <c r="B42" s="8">
        <f>_Anlagenleistung</f>
        <v>4.5</v>
      </c>
      <c r="C42" s="6" t="s">
        <v>84</v>
      </c>
      <c r="F42" s="3" t="s">
        <v>69</v>
      </c>
      <c r="G42" s="9">
        <f>IF(_PV_Fläche&lt;&gt;0,_PV_Fläche,"")</f>
        <v>18.75</v>
      </c>
      <c r="H42" s="6" t="s">
        <v>510</v>
      </c>
      <c r="I42" s="6"/>
      <c r="K42" s="2" t="str">
        <f t="shared" si="0"/>
        <v>Plant Rated Power (STC)</v>
      </c>
      <c r="N42" s="312" t="str">
        <f t="shared" si="1"/>
        <v>Area of PV system</v>
      </c>
    </row>
    <row r="43" spans="1:14" x14ac:dyDescent="0.2">
      <c r="A43" s="331" t="s">
        <v>11</v>
      </c>
      <c r="B43" s="9">
        <f>_spez_Jahresenergieertrag</f>
        <v>1000</v>
      </c>
      <c r="C43" s="6" t="s">
        <v>85</v>
      </c>
      <c r="F43" s="3" t="s">
        <v>12</v>
      </c>
      <c r="G43" s="6">
        <f>_Degradation</f>
        <v>0.4</v>
      </c>
      <c r="H43" s="6" t="s">
        <v>128</v>
      </c>
      <c r="I43" s="6"/>
      <c r="K43" s="2" t="str">
        <f t="shared" si="0"/>
        <v>spec. Annual energy yield</v>
      </c>
      <c r="N43" s="312" t="str">
        <f t="shared" si="1"/>
        <v>Degradation</v>
      </c>
    </row>
    <row r="44" spans="1:14" ht="10" customHeight="1" x14ac:dyDescent="0.2">
      <c r="A44" s="331"/>
      <c r="K44" s="2" t="str">
        <f t="shared" si="0"/>
        <v/>
      </c>
      <c r="N44" s="2" t="str">
        <f t="shared" si="1"/>
        <v/>
      </c>
    </row>
    <row r="45" spans="1:14" x14ac:dyDescent="0.2">
      <c r="A45" s="331" t="s">
        <v>340</v>
      </c>
      <c r="B45" s="9">
        <f>_Gesamtverbrauch</f>
        <v>4500</v>
      </c>
      <c r="C45" s="6" t="s">
        <v>117</v>
      </c>
      <c r="F45" s="3" t="s">
        <v>183</v>
      </c>
      <c r="G45" s="6">
        <f>_Speicherkapazität</f>
        <v>0</v>
      </c>
      <c r="H45" s="6" t="s">
        <v>117</v>
      </c>
      <c r="I45" s="6"/>
      <c r="K45" s="2" t="str">
        <f t="shared" si="0"/>
        <v>Annual energy consumption</v>
      </c>
      <c r="N45" s="2" t="str">
        <f t="shared" si="1"/>
        <v>Battery storage capacity</v>
      </c>
    </row>
    <row r="46" spans="1:14" ht="15" customHeight="1" x14ac:dyDescent="0.2">
      <c r="A46" s="332" t="s">
        <v>464</v>
      </c>
      <c r="B46" s="297">
        <f>_Eigennutzungsgrad</f>
        <v>33.270423710036205</v>
      </c>
      <c r="C46" s="11" t="s">
        <v>34</v>
      </c>
      <c r="F46" s="3" t="s">
        <v>184</v>
      </c>
      <c r="G46" s="9">
        <f>_Lebensdauer_Speicher</f>
        <v>15</v>
      </c>
      <c r="H46" s="6" t="s">
        <v>16</v>
      </c>
      <c r="I46" s="6"/>
      <c r="K46" s="2" t="str">
        <f t="shared" si="0"/>
        <v>Direct self-consumption share of PV system</v>
      </c>
      <c r="N46" s="2" t="str">
        <f t="shared" si="1"/>
        <v>Battery storage service life</v>
      </c>
    </row>
    <row r="47" spans="1:14" ht="15" customHeight="1" x14ac:dyDescent="0.2">
      <c r="A47" s="332" t="s">
        <v>488</v>
      </c>
      <c r="B47" s="297">
        <f>_Eigennutzungsgrad_Batterie</f>
        <v>0</v>
      </c>
      <c r="C47" s="11" t="s">
        <v>34</v>
      </c>
      <c r="F47" s="3" t="s">
        <v>185</v>
      </c>
      <c r="G47" s="17">
        <f>_Degradation_Speicher_Jahr</f>
        <v>1.3333333333333333</v>
      </c>
      <c r="H47" s="6" t="s">
        <v>186</v>
      </c>
      <c r="I47" s="6"/>
      <c r="K47" s="2" t="str">
        <f t="shared" si="0"/>
        <v>Self-consumption share with battery storage</v>
      </c>
      <c r="N47" s="2" t="str">
        <f t="shared" si="1"/>
        <v>Degradation of battery storage systems</v>
      </c>
    </row>
    <row r="48" spans="1:14" ht="10" customHeight="1" x14ac:dyDescent="0.2">
      <c r="K48" s="2" t="str">
        <f t="shared" si="0"/>
        <v/>
      </c>
      <c r="N48" s="2" t="str">
        <f t="shared" si="1"/>
        <v/>
      </c>
    </row>
    <row r="49" spans="1:14" ht="16" x14ac:dyDescent="0.2">
      <c r="A49" s="281" t="s">
        <v>115</v>
      </c>
      <c r="B49" s="280"/>
      <c r="C49" s="280"/>
      <c r="D49" s="280"/>
      <c r="E49" s="280"/>
      <c r="F49" s="280"/>
      <c r="G49" s="280"/>
      <c r="H49" s="280"/>
      <c r="I49" s="280"/>
      <c r="K49" s="280" t="str">
        <f t="shared" si="0"/>
        <v>Investment costs and funding</v>
      </c>
      <c r="L49" s="187"/>
      <c r="M49" s="187"/>
      <c r="N49" s="187" t="str">
        <f t="shared" si="1"/>
        <v/>
      </c>
    </row>
    <row r="50" spans="1:14" x14ac:dyDescent="0.2">
      <c r="A50" s="283" t="str">
        <f>"Investition PV- Anlage "&amp;Eingaben!E86</f>
        <v>Investition PV- Anlage (exkl. MWSt.)</v>
      </c>
      <c r="B50" s="347">
        <f>_Investitionssumme</f>
        <v>15344</v>
      </c>
      <c r="C50" s="347"/>
      <c r="F50" s="2" t="str">
        <f>"Investition Batteriespeicher "&amp;Eingaben!E86</f>
        <v>Investition Batteriespeicher (exkl. MWSt.)</v>
      </c>
      <c r="G50" s="347">
        <f>_Investitionssumme_Batterie</f>
        <v>0</v>
      </c>
      <c r="H50" s="347"/>
      <c r="K50" s="2" t="str">
        <f t="shared" si="0"/>
        <v>Investment PV system (excl. VAT)</v>
      </c>
      <c r="N50" s="2" t="str">
        <f t="shared" si="1"/>
        <v>Investment in battery storage (excl. VAT)</v>
      </c>
    </row>
    <row r="51" spans="1:14" x14ac:dyDescent="0.2">
      <c r="A51" s="2" t="str">
        <f>"Investition ZEV "&amp;Eingaben!E86</f>
        <v>Investition ZEV (exkl. MWSt.)</v>
      </c>
      <c r="B51" s="347">
        <f>_Investition_ZEV</f>
        <v>0</v>
      </c>
      <c r="C51" s="347"/>
      <c r="F51" s="2" t="str">
        <f>"Sonstige Aufwände Batterie "&amp;Eingaben!E86</f>
        <v>Sonstige Aufwände Batterie (exkl. MWSt.)</v>
      </c>
      <c r="G51" s="347">
        <f>_sonstige_Aufwände_Batterie</f>
        <v>0</v>
      </c>
      <c r="H51" s="347"/>
      <c r="K51" s="2" t="str">
        <f t="shared" si="0"/>
        <v>Investment ZEV (excl. VAT)</v>
      </c>
      <c r="N51" s="2" t="str">
        <f t="shared" si="1"/>
        <v>Other expenses battery (excl. VAT)</v>
      </c>
    </row>
    <row r="52" spans="1:14" x14ac:dyDescent="0.2">
      <c r="A52" s="2" t="str">
        <f>"sonstige Investitionen PVA "&amp;Eingaben!E86</f>
        <v>sonstige Investitionen PVA (exkl. MWSt.)</v>
      </c>
      <c r="B52" s="347">
        <f>_sonstige_Aufwände</f>
        <v>0</v>
      </c>
      <c r="C52" s="347"/>
      <c r="K52" s="2" t="str">
        <f t="shared" si="0"/>
        <v>Other investments PVA (excl. VAT)</v>
      </c>
      <c r="N52" s="2" t="str">
        <f t="shared" si="1"/>
        <v/>
      </c>
    </row>
    <row r="53" spans="1:14" x14ac:dyDescent="0.2">
      <c r="A53" s="2" t="str">
        <f>"Abzug Funktion Gebäudehülle "&amp;Eingaben!E86</f>
        <v>Abzug Funktion Gebäudehülle (exkl. MWSt.)</v>
      </c>
      <c r="B53" s="347">
        <f>_Abzug_Funktion_GH</f>
        <v>0</v>
      </c>
      <c r="C53" s="347"/>
      <c r="F53" s="2" t="s">
        <v>157</v>
      </c>
      <c r="G53" s="347">
        <f>_Abzug_Funktion_Notstrom</f>
        <v>0</v>
      </c>
      <c r="H53" s="347"/>
      <c r="K53" s="2" t="str">
        <f t="shared" si="0"/>
        <v>Deduction function building envelope (excl. VAT)</v>
      </c>
      <c r="N53" s="2" t="str">
        <f t="shared" si="1"/>
        <v>Value Function Emergency Power</v>
      </c>
    </row>
    <row r="54" spans="1:14" x14ac:dyDescent="0.2">
      <c r="A54" s="2" t="s">
        <v>188</v>
      </c>
      <c r="B54" s="347">
        <f>_Vorsteuerabzug_Investitionskosten</f>
        <v>0</v>
      </c>
      <c r="C54" s="347"/>
      <c r="F54" s="2" t="s">
        <v>187</v>
      </c>
      <c r="G54" s="347">
        <f>_Vorabzug_Investitionskosten_Batterie</f>
        <v>0</v>
      </c>
      <c r="H54" s="347"/>
      <c r="K54" s="2" t="str">
        <f t="shared" si="0"/>
        <v>VAT investment costs PVA</v>
      </c>
      <c r="N54" s="2" t="str">
        <f t="shared" si="1"/>
        <v>VAT investment costs battery</v>
      </c>
    </row>
    <row r="55" spans="1:14" ht="16" thickBot="1" x14ac:dyDescent="0.25">
      <c r="A55" s="3" t="s">
        <v>467</v>
      </c>
      <c r="B55" s="351">
        <f>_relevante_Investitionskosten</f>
        <v>15344</v>
      </c>
      <c r="C55" s="351"/>
      <c r="F55" s="3" t="s">
        <v>478</v>
      </c>
      <c r="G55" s="351">
        <f>_relevante_Investitionskosten_Batterie</f>
        <v>0</v>
      </c>
      <c r="H55" s="351"/>
      <c r="K55" s="2" t="str">
        <f t="shared" si="0"/>
        <v>PVA investment for profitability</v>
      </c>
      <c r="N55" s="2" t="str">
        <f t="shared" si="1"/>
        <v>Investing in a battery for economic efficiency</v>
      </c>
    </row>
    <row r="56" spans="1:14" ht="6.75" customHeight="1" thickTop="1" x14ac:dyDescent="0.2">
      <c r="A56" s="3"/>
      <c r="K56" s="2" t="str">
        <f t="shared" si="0"/>
        <v/>
      </c>
      <c r="N56" s="2" t="str">
        <f t="shared" si="1"/>
        <v/>
      </c>
    </row>
    <row r="57" spans="1:14" x14ac:dyDescent="0.2">
      <c r="A57" s="163" t="s">
        <v>468</v>
      </c>
      <c r="B57" s="352">
        <f>_Kosten_Funktion_GH</f>
        <v>0</v>
      </c>
      <c r="C57" s="352"/>
      <c r="K57" s="2" t="str">
        <f t="shared" si="0"/>
        <v>Building envelope function</v>
      </c>
      <c r="N57" s="2" t="str">
        <f t="shared" si="1"/>
        <v/>
      </c>
    </row>
    <row r="58" spans="1:14" ht="10" customHeight="1" x14ac:dyDescent="0.2">
      <c r="A58" s="3"/>
      <c r="K58" s="2" t="str">
        <f t="shared" si="0"/>
        <v/>
      </c>
      <c r="N58" s="2" t="str">
        <f t="shared" si="1"/>
        <v/>
      </c>
    </row>
    <row r="59" spans="1:14" x14ac:dyDescent="0.2">
      <c r="A59" s="2" t="s">
        <v>469</v>
      </c>
      <c r="B59" s="347">
        <f>_direkteFörderung</f>
        <v>0</v>
      </c>
      <c r="C59" s="347"/>
      <c r="K59" s="2" t="str">
        <f t="shared" si="0"/>
        <v>Direct funding</v>
      </c>
      <c r="N59" s="2" t="str">
        <f t="shared" si="1"/>
        <v/>
      </c>
    </row>
    <row r="60" spans="1:14" x14ac:dyDescent="0.2">
      <c r="A60" s="2" t="s">
        <v>470</v>
      </c>
      <c r="B60" s="347">
        <f>_Einmalvergütung</f>
        <v>0</v>
      </c>
      <c r="C60" s="347"/>
      <c r="K60" s="2" t="str">
        <f t="shared" si="0"/>
        <v>One-off remuneration (EIV)</v>
      </c>
      <c r="N60" s="2" t="str">
        <f t="shared" si="1"/>
        <v/>
      </c>
    </row>
    <row r="61" spans="1:14" x14ac:dyDescent="0.2">
      <c r="A61" s="2" t="s">
        <v>471</v>
      </c>
      <c r="B61" s="347">
        <f>_Fassadenbonus</f>
        <v>0</v>
      </c>
      <c r="C61" s="347"/>
      <c r="K61" s="2" t="str">
        <f t="shared" si="0"/>
        <v>Façade Bonus (FB)</v>
      </c>
      <c r="N61" s="2" t="str">
        <f t="shared" si="1"/>
        <v/>
      </c>
    </row>
    <row r="62" spans="1:14" x14ac:dyDescent="0.2">
      <c r="A62" s="2" t="s">
        <v>472</v>
      </c>
      <c r="B62" s="347">
        <f>_Höhenbonus</f>
        <v>0</v>
      </c>
      <c r="C62" s="347"/>
      <c r="K62" s="2" t="str">
        <f t="shared" si="0"/>
        <v>Altitude bonus (HB)</v>
      </c>
      <c r="N62" s="2" t="str">
        <f t="shared" si="1"/>
        <v/>
      </c>
    </row>
    <row r="63" spans="1:14" x14ac:dyDescent="0.2">
      <c r="A63" s="2" t="s">
        <v>473</v>
      </c>
      <c r="B63" s="347">
        <f>_Parkflächenbonus</f>
        <v>0</v>
      </c>
      <c r="C63" s="347"/>
      <c r="F63" s="2" t="s">
        <v>162</v>
      </c>
      <c r="G63" s="347">
        <f>_Förderung_Batterie</f>
        <v>0</v>
      </c>
      <c r="H63" s="347"/>
      <c r="K63" s="2" t="str">
        <f t="shared" si="0"/>
        <v>Parking bonus (PB)</v>
      </c>
      <c r="N63" s="2" t="str">
        <f t="shared" si="1"/>
        <v>Funding for battery storage</v>
      </c>
    </row>
    <row r="64" spans="1:14" ht="16" thickBot="1" x14ac:dyDescent="0.25">
      <c r="A64" s="3" t="s">
        <v>474</v>
      </c>
      <c r="B64" s="351">
        <f>SUM(B59:C63)</f>
        <v>0</v>
      </c>
      <c r="C64" s="351"/>
      <c r="F64" s="3" t="s">
        <v>479</v>
      </c>
      <c r="G64" s="351">
        <f>SUM(G63)</f>
        <v>0</v>
      </c>
      <c r="H64" s="351"/>
      <c r="K64" s="2" t="str">
        <f t="shared" si="0"/>
        <v>Total Funding</v>
      </c>
      <c r="N64" s="2" t="str">
        <f t="shared" si="1"/>
        <v>Total Subsidies Battery</v>
      </c>
    </row>
    <row r="65" spans="1:14" ht="6.75" customHeight="1" thickTop="1" x14ac:dyDescent="0.2">
      <c r="A65" s="3"/>
      <c r="K65" s="2" t="str">
        <f t="shared" si="0"/>
        <v/>
      </c>
      <c r="N65" s="2" t="str">
        <f t="shared" si="1"/>
        <v/>
      </c>
    </row>
    <row r="66" spans="1:14" x14ac:dyDescent="0.2">
      <c r="A66" s="163" t="s">
        <v>475</v>
      </c>
      <c r="B66" s="353">
        <f>_ZahlungsfristEIVFB</f>
        <v>1</v>
      </c>
      <c r="C66" s="353"/>
      <c r="K66" s="2" t="str">
        <f t="shared" ref="K66:K101" si="2">_xlfn.TRANSLATE(A66,"de", "en")</f>
        <v>Withdrawal period EIV and bonuses</v>
      </c>
      <c r="N66" s="2" t="str">
        <f t="shared" si="1"/>
        <v/>
      </c>
    </row>
    <row r="67" spans="1:14" ht="10" customHeight="1" x14ac:dyDescent="0.2">
      <c r="K67" s="2" t="str">
        <f t="shared" si="2"/>
        <v/>
      </c>
      <c r="N67" s="2" t="str">
        <f t="shared" si="1"/>
        <v/>
      </c>
    </row>
    <row r="68" spans="1:14" x14ac:dyDescent="0.2">
      <c r="A68" s="2" t="s">
        <v>476</v>
      </c>
      <c r="B68" s="347">
        <f>_Steuereinsparung</f>
        <v>0</v>
      </c>
      <c r="C68" s="347"/>
      <c r="K68" s="2" t="str">
        <f t="shared" si="2"/>
        <v>Tax savings</v>
      </c>
      <c r="N68" s="2" t="str">
        <f t="shared" si="1"/>
        <v/>
      </c>
    </row>
    <row r="69" spans="1:14" ht="10" customHeight="1" x14ac:dyDescent="0.2">
      <c r="K69" s="2" t="str">
        <f t="shared" si="2"/>
        <v/>
      </c>
      <c r="N69" s="2" t="str">
        <f t="shared" si="1"/>
        <v/>
      </c>
    </row>
    <row r="70" spans="1:14" ht="16" thickBot="1" x14ac:dyDescent="0.25">
      <c r="A70" s="3" t="s">
        <v>477</v>
      </c>
      <c r="B70" s="354">
        <f>_Investition_netto</f>
        <v>15344</v>
      </c>
      <c r="C70" s="354"/>
      <c r="F70" s="3" t="s">
        <v>480</v>
      </c>
      <c r="G70" s="354">
        <f>_Investition_netto_Batterie</f>
        <v>0</v>
      </c>
      <c r="H70" s="354"/>
      <c r="K70" s="2" t="str">
        <f t="shared" si="2"/>
        <v>PVA net investment</v>
      </c>
      <c r="N70" s="2" t="str">
        <f t="shared" si="1"/>
        <v>Net battery investment</v>
      </c>
    </row>
    <row r="71" spans="1:14" ht="10" customHeight="1" thickTop="1" x14ac:dyDescent="0.2">
      <c r="K71" s="2" t="str">
        <f t="shared" si="2"/>
        <v/>
      </c>
      <c r="N71" s="2" t="str">
        <f t="shared" si="1"/>
        <v/>
      </c>
    </row>
    <row r="72" spans="1:14" ht="16" x14ac:dyDescent="0.2">
      <c r="A72" s="281" t="s">
        <v>86</v>
      </c>
      <c r="B72" s="280"/>
      <c r="C72" s="280"/>
      <c r="D72" s="280"/>
      <c r="E72" s="280"/>
      <c r="F72" s="280"/>
      <c r="G72" s="280"/>
      <c r="H72" s="280"/>
      <c r="I72" s="280"/>
      <c r="K72" s="280" t="str">
        <f t="shared" si="2"/>
        <v>Capital</v>
      </c>
      <c r="L72" s="187"/>
      <c r="M72" s="187"/>
      <c r="N72" s="187" t="str">
        <f t="shared" si="1"/>
        <v/>
      </c>
    </row>
    <row r="73" spans="1:14" x14ac:dyDescent="0.2">
      <c r="C73" s="283"/>
      <c r="F73" s="12" t="s">
        <v>87</v>
      </c>
      <c r="G73" s="3"/>
      <c r="H73" s="12" t="s">
        <v>88</v>
      </c>
      <c r="K73" s="2" t="str">
        <f t="shared" si="2"/>
        <v/>
      </c>
      <c r="N73" s="2" t="str">
        <f t="shared" si="1"/>
        <v>Interest rate:</v>
      </c>
    </row>
    <row r="74" spans="1:14" x14ac:dyDescent="0.2">
      <c r="A74" s="3" t="s">
        <v>171</v>
      </c>
      <c r="B74" s="347">
        <f>_Eigenkapital</f>
        <v>15344</v>
      </c>
      <c r="C74" s="347"/>
      <c r="D74" s="6"/>
      <c r="E74" s="6"/>
      <c r="F74" s="13">
        <f>_Zins_Eigenkapital</f>
        <v>0</v>
      </c>
      <c r="G74" s="6" t="s">
        <v>34</v>
      </c>
      <c r="H74" s="6">
        <f>_Anlagenlebensdauer</f>
        <v>30</v>
      </c>
      <c r="I74" s="6" t="s">
        <v>16</v>
      </c>
      <c r="K74" s="2" t="str">
        <f t="shared" si="2"/>
        <v>Equity PVA</v>
      </c>
      <c r="N74" s="2" t="str">
        <f t="shared" si="1"/>
        <v>0</v>
      </c>
    </row>
    <row r="75" spans="1:14" x14ac:dyDescent="0.2">
      <c r="A75" s="3" t="s">
        <v>169</v>
      </c>
      <c r="B75" s="347">
        <f>_Fremdkapital1</f>
        <v>0</v>
      </c>
      <c r="C75" s="347"/>
      <c r="D75" s="6"/>
      <c r="E75" s="6"/>
      <c r="F75" s="13">
        <f>_Zins_Fremdkapital1</f>
        <v>0</v>
      </c>
      <c r="G75" s="6" t="s">
        <v>34</v>
      </c>
      <c r="H75" s="6">
        <f>_Laufzeit_Fremdkapital1</f>
        <v>0</v>
      </c>
      <c r="I75" s="6" t="s">
        <v>16</v>
      </c>
      <c r="K75" s="2" t="str">
        <f t="shared" si="2"/>
        <v>Debt 1 PVA</v>
      </c>
      <c r="N75" s="2" t="str">
        <f t="shared" si="1"/>
        <v>0</v>
      </c>
    </row>
    <row r="76" spans="1:14" x14ac:dyDescent="0.2">
      <c r="A76" s="3" t="s">
        <v>170</v>
      </c>
      <c r="B76" s="347">
        <f>_Fremdkapital2</f>
        <v>0</v>
      </c>
      <c r="C76" s="347"/>
      <c r="D76" s="6"/>
      <c r="E76" s="6"/>
      <c r="F76" s="13">
        <f>_Zins_Fremdkapital2</f>
        <v>0</v>
      </c>
      <c r="G76" s="6" t="s">
        <v>34</v>
      </c>
      <c r="H76" s="6">
        <f>_Laufzeit_Fremdkapital2</f>
        <v>0</v>
      </c>
      <c r="I76" s="6" t="s">
        <v>16</v>
      </c>
      <c r="K76" s="2" t="str">
        <f t="shared" si="2"/>
        <v>Debt capital 2 PVA</v>
      </c>
      <c r="N76" s="2" t="str">
        <f t="shared" si="1"/>
        <v>0</v>
      </c>
    </row>
    <row r="77" spans="1:14" x14ac:dyDescent="0.2">
      <c r="A77" s="3" t="s">
        <v>172</v>
      </c>
      <c r="B77" s="347">
        <f>_Eigenkapital_Batterie</f>
        <v>0</v>
      </c>
      <c r="C77" s="347"/>
      <c r="D77" s="6"/>
      <c r="E77" s="6"/>
      <c r="F77" s="13">
        <f>_Zins_Eigenkapital_Batterie</f>
        <v>0</v>
      </c>
      <c r="G77" s="6" t="s">
        <v>34</v>
      </c>
      <c r="H77" s="6">
        <f>_Lebensdauer_Speicher</f>
        <v>15</v>
      </c>
      <c r="I77" s="6" t="s">
        <v>16</v>
      </c>
      <c r="K77" s="2" t="str">
        <f t="shared" si="2"/>
        <v>Equity Battery</v>
      </c>
      <c r="N77" s="2" t="str">
        <f t="shared" ref="N77:N101" si="3">_xlfn.TRANSLATE(F77,"de","en")</f>
        <v>0</v>
      </c>
    </row>
    <row r="78" spans="1:14" x14ac:dyDescent="0.2">
      <c r="A78" s="3" t="s">
        <v>173</v>
      </c>
      <c r="B78" s="347">
        <f>_Fremdkapital_Batterie</f>
        <v>0</v>
      </c>
      <c r="C78" s="347"/>
      <c r="D78" s="6"/>
      <c r="E78" s="6"/>
      <c r="F78" s="13">
        <f>_Zins_Fremdkapital_Batterie</f>
        <v>0</v>
      </c>
      <c r="G78" s="6" t="s">
        <v>34</v>
      </c>
      <c r="H78" s="6">
        <f>_Laufzeit_Fremdkapital_Batterie</f>
        <v>0</v>
      </c>
      <c r="I78" s="6" t="s">
        <v>16</v>
      </c>
      <c r="K78" s="2" t="str">
        <f t="shared" si="2"/>
        <v>Debt Capital Battery</v>
      </c>
      <c r="N78" s="2" t="str">
        <f t="shared" si="3"/>
        <v>0</v>
      </c>
    </row>
    <row r="79" spans="1:14" ht="10" customHeight="1" x14ac:dyDescent="0.2">
      <c r="K79" s="2" t="str">
        <f t="shared" si="2"/>
        <v/>
      </c>
      <c r="N79" s="2" t="str">
        <f t="shared" si="3"/>
        <v/>
      </c>
    </row>
    <row r="80" spans="1:14" ht="16" x14ac:dyDescent="0.2">
      <c r="A80" s="281" t="s">
        <v>413</v>
      </c>
      <c r="B80" s="280"/>
      <c r="C80" s="280"/>
      <c r="D80" s="280"/>
      <c r="F80" s="282" t="str">
        <f>"Stromtarife "</f>
        <v xml:space="preserve">Stromtarife </v>
      </c>
      <c r="G80" s="280"/>
      <c r="H80" s="280"/>
      <c r="I80" s="184"/>
      <c r="K80" s="280" t="str">
        <f t="shared" si="2"/>
        <v>Operating and maintenance expenses (all figures incl. VAT)</v>
      </c>
      <c r="L80" s="187"/>
      <c r="M80" s="187"/>
      <c r="N80" s="187" t="str">
        <f t="shared" si="3"/>
        <v>Electricity tariffs</v>
      </c>
    </row>
    <row r="81" spans="1:14" x14ac:dyDescent="0.2">
      <c r="A81" s="3"/>
      <c r="B81" s="3" t="s">
        <v>90</v>
      </c>
      <c r="C81" s="279"/>
      <c r="D81" s="3"/>
      <c r="I81" s="283"/>
      <c r="K81" s="2" t="str">
        <f t="shared" si="2"/>
        <v/>
      </c>
      <c r="N81" s="2" t="str">
        <f t="shared" si="3"/>
        <v/>
      </c>
    </row>
    <row r="82" spans="1:14" x14ac:dyDescent="0.2">
      <c r="A82" s="3" t="s">
        <v>407</v>
      </c>
      <c r="B82" s="14">
        <f>IF(_Berechnungsart_Unterhaltskosten=_Unterhalt_Preis_pro_kWh,_spez_Unterhaltskosten,_Unterhaltskosten_Durchschnittlich)</f>
        <v>0.19589935145922702</v>
      </c>
      <c r="C82" s="4" t="s">
        <v>19</v>
      </c>
      <c r="D82" s="6"/>
      <c r="F82" s="3" t="s">
        <v>317</v>
      </c>
      <c r="K82" s="2" t="str">
        <f t="shared" si="2"/>
        <v>Ø Maintenance costs of PV system</v>
      </c>
      <c r="N82" s="312" t="str">
        <f t="shared" si="3"/>
        <v>Purchase Fee</v>
      </c>
    </row>
    <row r="83" spans="1:14" x14ac:dyDescent="0.2">
      <c r="A83" s="2" t="s">
        <v>41</v>
      </c>
      <c r="B83" s="16">
        <f>Eingaben!C114</f>
        <v>830.68799999999999</v>
      </c>
      <c r="C83" s="9">
        <f>Eingaben!F114</f>
        <v>5</v>
      </c>
      <c r="D83" s="6" t="s">
        <v>16</v>
      </c>
      <c r="F83" s="2" t="str">
        <f>"Abnahmevergütung Energie "&amp;Eingaben!E71</f>
        <v>Abnahmevergütung Energie (inkl. MWSt.)</v>
      </c>
      <c r="H83" s="15">
        <f>_Rückliefertarif_Energie</f>
        <v>0.06</v>
      </c>
      <c r="I83" s="6" t="s">
        <v>19</v>
      </c>
      <c r="K83" s="2" t="str">
        <f t="shared" si="2"/>
        <v>Inspection rounds</v>
      </c>
      <c r="N83" s="2" t="str">
        <f t="shared" si="3"/>
        <v>Purchase Remuneration Energy (incl. VAT)</v>
      </c>
    </row>
    <row r="84" spans="1:14" x14ac:dyDescent="0.2">
      <c r="A84" s="2" t="s">
        <v>42</v>
      </c>
      <c r="B84" s="16">
        <f>Eingaben!C115</f>
        <v>0</v>
      </c>
      <c r="C84" s="9">
        <f>Eingaben!F115</f>
        <v>20</v>
      </c>
      <c r="D84" s="6" t="s">
        <v>16</v>
      </c>
      <c r="F84" s="2" t="str">
        <f>"Herkunftsnachweis (HKN) "&amp;Eingaben!E72</f>
        <v>Herkunftsnachweis (HKN) (inkl. MWSt.)</v>
      </c>
      <c r="H84" s="19">
        <f>_Herkunftsnachweis</f>
        <v>0.02</v>
      </c>
      <c r="I84" s="20" t="s">
        <v>19</v>
      </c>
      <c r="K84" s="2" t="str">
        <f t="shared" si="2"/>
        <v>Audits / Safety Certificates</v>
      </c>
      <c r="N84" s="2" t="str">
        <f t="shared" si="3"/>
        <v>Guarantee of Origin (HKN) (incl. VAT)</v>
      </c>
    </row>
    <row r="85" spans="1:14" x14ac:dyDescent="0.2">
      <c r="A85" s="2" t="s">
        <v>43</v>
      </c>
      <c r="B85" s="16">
        <f>Eingaben!C116</f>
        <v>69</v>
      </c>
      <c r="C85" s="9">
        <f>Eingaben!F116</f>
        <v>1</v>
      </c>
      <c r="D85" s="6" t="s">
        <v>16</v>
      </c>
      <c r="F85" s="2" t="str">
        <f>"Abnahmevergütung "&amp;Eingaben!E72</f>
        <v>Abnahmevergütung (inkl. MWSt.)</v>
      </c>
      <c r="H85" s="236">
        <f>_Rückliefertarif</f>
        <v>0.08</v>
      </c>
      <c r="I85" s="237" t="s">
        <v>19</v>
      </c>
      <c r="K85" s="2" t="str">
        <f t="shared" si="2"/>
        <v>Surveillance</v>
      </c>
      <c r="N85" s="2" t="str">
        <f t="shared" si="3"/>
        <v>Purchase remuneration (incl. VAT)</v>
      </c>
    </row>
    <row r="86" spans="1:14" x14ac:dyDescent="0.2">
      <c r="A86" s="2" t="s">
        <v>44</v>
      </c>
      <c r="B86" s="16">
        <f>Eingaben!C117</f>
        <v>99</v>
      </c>
      <c r="C86" s="9">
        <f>Eingaben!F117</f>
        <v>1</v>
      </c>
      <c r="D86" s="6" t="s">
        <v>16</v>
      </c>
      <c r="K86" s="2" t="str">
        <f t="shared" si="2"/>
        <v>Administration</v>
      </c>
      <c r="N86" s="2" t="str">
        <f t="shared" si="3"/>
        <v/>
      </c>
    </row>
    <row r="87" spans="1:14" x14ac:dyDescent="0.2">
      <c r="A87" s="2" t="s">
        <v>45</v>
      </c>
      <c r="B87" s="16">
        <f>Eingaben!C118</f>
        <v>120</v>
      </c>
      <c r="C87" s="9">
        <f>Eingaben!F118</f>
        <v>1</v>
      </c>
      <c r="D87" s="6" t="s">
        <v>16</v>
      </c>
      <c r="F87" s="3" t="str">
        <f>"Eigenverbrauch "&amp;IF(_ZEV=_NEIN,"",IF(_ZEV=_JA,"in ZEV ","Fehler"))</f>
        <v xml:space="preserve">Eigenverbrauch in ZEV </v>
      </c>
      <c r="H87" s="166"/>
      <c r="K87" s="2" t="str">
        <f t="shared" si="2"/>
        <v>Data</v>
      </c>
      <c r="N87" s="312" t="str">
        <f t="shared" si="3"/>
        <v>Self-consumption in ZEV</v>
      </c>
    </row>
    <row r="88" spans="1:14" x14ac:dyDescent="0.2">
      <c r="A88" s="2" t="s">
        <v>46</v>
      </c>
      <c r="B88" s="16">
        <f>Eingaben!C119</f>
        <v>49.1008</v>
      </c>
      <c r="C88" s="9">
        <f>Eingaben!F119</f>
        <v>1</v>
      </c>
      <c r="D88" s="6" t="s">
        <v>16</v>
      </c>
      <c r="F88" s="2" t="str">
        <f>IF(Eingaben!B49="","","Tariffestlegung basierend auf Stromprodukt: " &amp; Eingaben!B49)</f>
        <v/>
      </c>
      <c r="K88" s="2" t="str">
        <f t="shared" si="2"/>
        <v>Insurance</v>
      </c>
      <c r="N88" s="2" t="str">
        <f t="shared" si="3"/>
        <v/>
      </c>
    </row>
    <row r="89" spans="1:14" x14ac:dyDescent="0.2">
      <c r="A89" s="2" t="s">
        <v>47</v>
      </c>
      <c r="B89" s="16">
        <f>Eingaben!C120</f>
        <v>1215.3440000000001</v>
      </c>
      <c r="C89" s="9">
        <f>Eingaben!F120</f>
        <v>8</v>
      </c>
      <c r="D89" s="6" t="s">
        <v>16</v>
      </c>
      <c r="F89" s="168" t="str">
        <f>IF(_ZEV=_NEIN,"ersetzter Bezugstarif ",IF(_ZEV=_JA,"PV- Stromtarif ZEV ","Fehler"))&amp;CHAR(10)&amp;Eingaben!E47</f>
        <v>PV- Stromtarif ZEV 
(exkl. MWSt.)</v>
      </c>
      <c r="G89" s="167"/>
      <c r="H89" s="15">
        <f>_ersetzterBezugstarifZEV</f>
        <v>0.23199999999999998</v>
      </c>
      <c r="I89" s="6" t="s">
        <v>19</v>
      </c>
      <c r="K89" s="2" t="str">
        <f t="shared" si="2"/>
        <v>Repairs</v>
      </c>
      <c r="N89" s="2" t="str">
        <f t="shared" si="3"/>
        <v>PV electricity tariff ZEV 
(excl. VAT)</v>
      </c>
    </row>
    <row r="90" spans="1:14" x14ac:dyDescent="0.2">
      <c r="A90" s="2" t="s">
        <v>277</v>
      </c>
      <c r="B90" s="16">
        <f>Eingaben!C121</f>
        <v>1056.25</v>
      </c>
      <c r="C90" s="9">
        <f>Eingaben!F121</f>
        <v>8</v>
      </c>
      <c r="D90" s="6" t="s">
        <v>16</v>
      </c>
      <c r="F90" s="2" t="str">
        <f>IF(_ZEV=_NEIN,"ersetzter Leistungstarif ",IF(_ZEV=_JA,"PV- Leistungstarif ZEV ","Fehler"))&amp;CHAR(10)&amp;Eingaben!E47</f>
        <v>PV- Leistungstarif ZEV 
(exkl. MWSt.)</v>
      </c>
      <c r="H90" s="17">
        <f>_Leistungskosten_ZEV</f>
        <v>1.5</v>
      </c>
      <c r="I90" s="6" t="s">
        <v>148</v>
      </c>
      <c r="K90" s="2" t="str">
        <f t="shared" si="2"/>
        <v>Cleaning plant</v>
      </c>
      <c r="N90" s="2" t="str">
        <f t="shared" si="3"/>
        <v>PV power tariff ZEV 
(excl. VAT)</v>
      </c>
    </row>
    <row r="91" spans="1:14" ht="15" customHeight="1" x14ac:dyDescent="0.2">
      <c r="A91" s="2" t="s">
        <v>276</v>
      </c>
      <c r="B91" s="16">
        <f>Eingaben!C122</f>
        <v>0</v>
      </c>
      <c r="C91" s="9">
        <f>Eingaben!F122</f>
        <v>1</v>
      </c>
      <c r="D91" s="6" t="s">
        <v>16</v>
      </c>
      <c r="F91" s="2" t="str">
        <f>"Abrechnungskosten ZEV "&amp;CHAR(10)&amp;Eingaben!E50</f>
        <v>Abrechnungskosten ZEV 
(exkl. MWSt.)</v>
      </c>
      <c r="H91" s="15">
        <f>_Tarif_Abrechnung_ZEV</f>
        <v>0</v>
      </c>
      <c r="I91" s="6" t="s">
        <v>19</v>
      </c>
      <c r="K91" s="2" t="str">
        <f t="shared" si="2"/>
        <v>Green Vegetation Care</v>
      </c>
      <c r="N91" s="2" t="str">
        <f t="shared" si="3"/>
        <v>Billing costs ZEV 
(excl. VAT)</v>
      </c>
    </row>
    <row r="92" spans="1:14" x14ac:dyDescent="0.2">
      <c r="A92" s="2" t="s">
        <v>48</v>
      </c>
      <c r="B92" s="16">
        <f>Eingaben!C123</f>
        <v>0</v>
      </c>
      <c r="C92" s="9">
        <f>Eingaben!F123</f>
        <v>1</v>
      </c>
      <c r="D92" s="6" t="s">
        <v>16</v>
      </c>
      <c r="F92" s="2" t="str">
        <f>"Grundkosten Abrechnung ZEV Teilnehmer "&amp;CHAR(10)&amp;Eingaben!E51</f>
        <v>Grundkosten Abrechnung ZEV Teilnehmer 
(exkl. MWSt.)</v>
      </c>
      <c r="H92" s="17">
        <f>_Grundkosten_Abrechnung_ZEV</f>
        <v>8</v>
      </c>
      <c r="I92" s="6" t="s">
        <v>303</v>
      </c>
      <c r="K92" s="2" t="str">
        <f t="shared" si="2"/>
        <v>Transformer</v>
      </c>
      <c r="N92" s="2" t="str">
        <f t="shared" si="3"/>
        <v>Basic costs for ZEV participants 
(excl. VAT)</v>
      </c>
    </row>
    <row r="93" spans="1:14" x14ac:dyDescent="0.2">
      <c r="A93" s="2" t="s">
        <v>49</v>
      </c>
      <c r="B93" s="16">
        <f>Eingaben!C124</f>
        <v>0</v>
      </c>
      <c r="C93" s="9">
        <f>Eingaben!F124</f>
        <v>1</v>
      </c>
      <c r="D93" s="6" t="s">
        <v>16</v>
      </c>
      <c r="K93" s="2" t="str">
        <f t="shared" si="2"/>
        <v>Roof / room rental</v>
      </c>
      <c r="N93" s="2" t="str">
        <f t="shared" si="3"/>
        <v/>
      </c>
    </row>
    <row r="94" spans="1:14" ht="15" customHeight="1" x14ac:dyDescent="0.2">
      <c r="A94" s="2" t="s">
        <v>50</v>
      </c>
      <c r="B94" s="16">
        <f>Eingaben!C125</f>
        <v>1175</v>
      </c>
      <c r="C94" s="9">
        <f>Eingaben!F125</f>
        <v>16</v>
      </c>
      <c r="D94" s="6" t="s">
        <v>16</v>
      </c>
      <c r="F94" s="169" t="s">
        <v>203</v>
      </c>
      <c r="G94" s="167"/>
      <c r="K94" s="2" t="str">
        <f t="shared" si="2"/>
        <v>Inverter replacement</v>
      </c>
      <c r="N94" s="312" t="str">
        <f t="shared" si="3"/>
        <v>Local Electricity Community LEG</v>
      </c>
    </row>
    <row r="95" spans="1:14" ht="14.5" customHeight="1" x14ac:dyDescent="0.2">
      <c r="A95" s="3"/>
      <c r="F95" s="2" t="str">
        <f>"Nutzung der Netzebnenen "&amp;Eingaben!C57</f>
        <v>Nutzung der Netzebnenen NE 5 &amp; 7</v>
      </c>
      <c r="K95" s="2" t="str">
        <f t="shared" si="2"/>
        <v/>
      </c>
      <c r="N95" s="2" t="str">
        <f t="shared" si="3"/>
        <v>Use of the NE 5 &amp; 7 network levels</v>
      </c>
    </row>
    <row r="96" spans="1:14" x14ac:dyDescent="0.2">
      <c r="A96" s="3" t="s">
        <v>408</v>
      </c>
      <c r="B96" s="268">
        <f>_Unterhaltskosten_Durschschnittlich_Batterie</f>
        <v>0</v>
      </c>
      <c r="C96" s="269" t="s">
        <v>19</v>
      </c>
      <c r="D96" s="4"/>
      <c r="F96" s="2" t="str">
        <f>"PV- Stromtarif LEG "&amp;Eingaben!E60</f>
        <v>PV- Stromtarif LEG (exkl. MWSt.)</v>
      </c>
      <c r="H96" s="15">
        <f>_Tarif_LEG</f>
        <v>9.6666666666666665E-2</v>
      </c>
      <c r="I96" s="6" t="s">
        <v>19</v>
      </c>
      <c r="K96" s="2" t="str">
        <f t="shared" si="2"/>
        <v>Ø Maintenance costs of battery storage</v>
      </c>
      <c r="N96" s="2" t="str">
        <f t="shared" si="3"/>
        <v>PV electricity tariff LEG (excl. VAT)</v>
      </c>
    </row>
    <row r="97" spans="1:14" x14ac:dyDescent="0.2">
      <c r="A97" s="2" t="s">
        <v>406</v>
      </c>
      <c r="B97" s="16">
        <f>Eingaben!C129</f>
        <v>0</v>
      </c>
      <c r="C97" s="9">
        <f>Eingaben!F129</f>
        <v>1</v>
      </c>
      <c r="D97" s="6" t="s">
        <v>16</v>
      </c>
      <c r="F97" s="2" t="str">
        <f>"Abrechnungskosten LEG "&amp;Eingaben!E61</f>
        <v>Abrechnungskosten LEG (exkl. MWSt.)</v>
      </c>
      <c r="H97" s="15">
        <f>_Abrechnungstarif_LEG</f>
        <v>1.4999999999999999E-2</v>
      </c>
      <c r="I97" s="6" t="s">
        <v>19</v>
      </c>
      <c r="K97" s="2" t="str">
        <f t="shared" si="2"/>
        <v>Battery storage maintenance costs</v>
      </c>
      <c r="N97" s="2" t="str">
        <f t="shared" si="3"/>
        <v>Billing costs LEG (excl. VAT)</v>
      </c>
    </row>
    <row r="98" spans="1:14" x14ac:dyDescent="0.2">
      <c r="A98" s="2" t="s">
        <v>215</v>
      </c>
      <c r="B98" s="16">
        <f>Eingaben!C130</f>
        <v>0</v>
      </c>
      <c r="C98" s="9">
        <f>Eingaben!F130</f>
        <v>16</v>
      </c>
      <c r="D98" s="6" t="s">
        <v>16</v>
      </c>
      <c r="F98" s="2" t="str">
        <f>"Tarif LEG Total "&amp;Eingaben!E62</f>
        <v>Tarif LEG Total (exkl. MWSt.)</v>
      </c>
      <c r="H98" s="236">
        <f>_Tarif_LEG</f>
        <v>9.6666666666666665E-2</v>
      </c>
      <c r="I98" s="237" t="s">
        <v>19</v>
      </c>
      <c r="K98" s="2" t="str">
        <f t="shared" si="2"/>
        <v>Replacement battery storage system</v>
      </c>
      <c r="N98" s="2" t="str">
        <f t="shared" si="3"/>
        <v>Tariff LEG Total (excl. VAT)</v>
      </c>
    </row>
    <row r="99" spans="1:14" ht="10" customHeight="1" x14ac:dyDescent="0.2">
      <c r="K99" s="2" t="str">
        <f t="shared" si="2"/>
        <v/>
      </c>
      <c r="N99" s="2" t="str">
        <f t="shared" si="3"/>
        <v/>
      </c>
    </row>
    <row r="100" spans="1:14" x14ac:dyDescent="0.2">
      <c r="A100" s="3" t="s">
        <v>306</v>
      </c>
      <c r="B100" s="16">
        <f>Eingaben!C53</f>
        <v>0</v>
      </c>
      <c r="C100" s="6">
        <v>1</v>
      </c>
      <c r="D100" s="6" t="s">
        <v>16</v>
      </c>
      <c r="K100" s="2" t="str">
        <f t="shared" si="2"/>
        <v>Operating costs ZEV (admin and billing)</v>
      </c>
      <c r="N100" s="2" t="str">
        <f t="shared" si="3"/>
        <v/>
      </c>
    </row>
    <row r="101" spans="1:14" x14ac:dyDescent="0.2">
      <c r="A101" s="3" t="s">
        <v>414</v>
      </c>
      <c r="B101" s="16">
        <f>Eingaben!C66</f>
        <v>0</v>
      </c>
      <c r="C101" s="6">
        <v>1</v>
      </c>
      <c r="D101" s="6" t="s">
        <v>16</v>
      </c>
      <c r="K101" s="2" t="str">
        <f t="shared" si="2"/>
        <v>Operating costs LEG (admin and billing)</v>
      </c>
      <c r="N101" s="2" t="str">
        <f t="shared" si="3"/>
        <v/>
      </c>
    </row>
  </sheetData>
  <mergeCells count="35">
    <mergeCell ref="B77:C77"/>
    <mergeCell ref="B78:C78"/>
    <mergeCell ref="B76:C76"/>
    <mergeCell ref="B70:C70"/>
    <mergeCell ref="G63:H63"/>
    <mergeCell ref="G64:H64"/>
    <mergeCell ref="G70:H70"/>
    <mergeCell ref="B74:C74"/>
    <mergeCell ref="B75:C75"/>
    <mergeCell ref="B60:C60"/>
    <mergeCell ref="B63:C63"/>
    <mergeCell ref="B68:C68"/>
    <mergeCell ref="B64:C64"/>
    <mergeCell ref="B61:C61"/>
    <mergeCell ref="B62:C62"/>
    <mergeCell ref="B66:C66"/>
    <mergeCell ref="G55:H55"/>
    <mergeCell ref="B59:C59"/>
    <mergeCell ref="B57:C57"/>
    <mergeCell ref="B54:C54"/>
    <mergeCell ref="B55:C55"/>
    <mergeCell ref="G54:H54"/>
    <mergeCell ref="G53:H53"/>
    <mergeCell ref="F37:G37"/>
    <mergeCell ref="B8:I8"/>
    <mergeCell ref="B4:C4"/>
    <mergeCell ref="G4:I4"/>
    <mergeCell ref="G5:I5"/>
    <mergeCell ref="B50:C50"/>
    <mergeCell ref="B53:C53"/>
    <mergeCell ref="B7:I7"/>
    <mergeCell ref="B51:C51"/>
    <mergeCell ref="B52:C52"/>
    <mergeCell ref="G50:H50"/>
    <mergeCell ref="G51:H51"/>
  </mergeCells>
  <conditionalFormatting sqref="A95">
    <cfRule type="expression" dxfId="35" priority="7">
      <formula>_Batterie=_NEIN</formula>
    </cfRule>
  </conditionalFormatting>
  <conditionalFormatting sqref="A18:D18">
    <cfRule type="expression" dxfId="34" priority="41">
      <formula>_Fremdkapital1+_Fremdkapital2+_Fremdkapital_Batterie=0</formula>
    </cfRule>
  </conditionalFormatting>
  <conditionalFormatting sqref="A83:D94">
    <cfRule type="expression" dxfId="33" priority="1">
      <formula>_Berechnungsart_Unterhaltskosten=_Unterhalt_Preis_pro_kWh</formula>
    </cfRule>
  </conditionalFormatting>
  <conditionalFormatting sqref="A96:D98">
    <cfRule type="expression" dxfId="32" priority="6">
      <formula>_Batterie=_NEIN</formula>
    </cfRule>
  </conditionalFormatting>
  <conditionalFormatting sqref="A100:D100">
    <cfRule type="expression" dxfId="31" priority="4">
      <formula>_ZEV=_NEIN</formula>
    </cfRule>
  </conditionalFormatting>
  <conditionalFormatting sqref="A101:D101">
    <cfRule type="expression" dxfId="30" priority="3">
      <formula>_LEG=_NEIN</formula>
    </cfRule>
  </conditionalFormatting>
  <conditionalFormatting sqref="F97:F98">
    <cfRule type="expression" dxfId="29" priority="14">
      <formula>_LEG=_NEIN</formula>
    </cfRule>
  </conditionalFormatting>
  <conditionalFormatting sqref="F12:I29 F31:I31 F32:H36 A77:I78">
    <cfRule type="expression" dxfId="28" priority="20">
      <formula>_Batterie=_NEIN</formula>
    </cfRule>
  </conditionalFormatting>
  <conditionalFormatting sqref="F18:I18">
    <cfRule type="expression" dxfId="27" priority="34">
      <formula>_Fremdkapital1+_Fremdkapital2+_Fremdkapital_Batterie=0</formula>
    </cfRule>
  </conditionalFormatting>
  <conditionalFormatting sqref="F45:I47 A47:C47 F63:I70">
    <cfRule type="expression" dxfId="26" priority="2">
      <formula>_Batterie=_NEIN</formula>
    </cfRule>
  </conditionalFormatting>
  <conditionalFormatting sqref="F45:I47 A47:C47">
    <cfRule type="expression" dxfId="25" priority="37">
      <formula>$G$45&lt;=0</formula>
    </cfRule>
  </conditionalFormatting>
  <conditionalFormatting sqref="F91:I92">
    <cfRule type="expression" dxfId="24" priority="27">
      <formula>_ZEV=_NEIN</formula>
    </cfRule>
  </conditionalFormatting>
  <conditionalFormatting sqref="F92:I92">
    <cfRule type="expression" dxfId="23" priority="17">
      <formula>$H$92=0</formula>
    </cfRule>
  </conditionalFormatting>
  <conditionalFormatting sqref="F94:I98">
    <cfRule type="expression" dxfId="22" priority="16">
      <formula>_LEG=_NEIN</formula>
    </cfRule>
  </conditionalFormatting>
  <conditionalFormatting sqref="H87:I87 F87:F88 F89:I90">
    <cfRule type="expression" dxfId="21" priority="40">
      <formula>_Anteil_Tarif2=0</formula>
    </cfRule>
  </conditionalFormatting>
  <conditionalFormatting sqref="H91:I91">
    <cfRule type="expression" dxfId="20" priority="32">
      <formula>_Anteil_Tarif2=0</formula>
    </cfRule>
  </conditionalFormatting>
  <conditionalFormatting sqref="H97:I98">
    <cfRule type="expression" dxfId="19" priority="10">
      <formula>_LEG=_NEIN</formula>
    </cfRule>
  </conditionalFormatting>
  <pageMargins left="0.70866141732283472" right="0.70866141732283472" top="0.74803149606299213" bottom="0.74803149606299213" header="0.31496062992125984" footer="0.31496062992125984"/>
  <pageSetup paperSize="9" scale="49" fitToHeight="0" orientation="portrait" r:id="rId1"/>
  <headerFooter>
    <oddHeader>&amp;L&amp;"Aptos,Fett"&amp;16Wirtschaftlichkeitsrechnung
Photovoltaikanlage&amp;C&amp;G</oddHeader>
    <oddFooter>&amp;L&amp;"-,Kursiv"erstellt für Swissolar von Plan-E AG, Luzernerstrasse 131, 6014 Luzern&amp;R&amp;G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39997558519241921"/>
    <pageSetUpPr fitToPage="1"/>
  </sheetPr>
  <dimension ref="A1:H76"/>
  <sheetViews>
    <sheetView view="pageBreakPreview" topLeftCell="A53" zoomScale="115" zoomScaleNormal="85" zoomScaleSheetLayoutView="115" zoomScalePageLayoutView="55" workbookViewId="0">
      <selection activeCell="D36" sqref="D36"/>
    </sheetView>
  </sheetViews>
  <sheetFormatPr baseColWidth="10" defaultColWidth="2" defaultRowHeight="15" x14ac:dyDescent="0.2"/>
  <cols>
    <col min="1" max="1" width="21.33203125" style="2" customWidth="1"/>
    <col min="2" max="2" width="6.1640625" style="2" bestFit="1" customWidth="1"/>
    <col min="3" max="3" width="17.5" style="2" customWidth="1"/>
    <col min="4" max="4" width="22.33203125" style="2" customWidth="1"/>
    <col min="5" max="8" width="20.1640625" style="2" customWidth="1"/>
    <col min="9" max="16384" width="2" style="2"/>
  </cols>
  <sheetData>
    <row r="1" spans="1:8" ht="16" x14ac:dyDescent="0.2">
      <c r="A1" s="186" t="s">
        <v>1</v>
      </c>
      <c r="B1" s="184"/>
      <c r="C1" s="184"/>
      <c r="D1" s="184"/>
      <c r="E1" s="184"/>
      <c r="F1" s="280"/>
      <c r="G1" s="184"/>
      <c r="H1" s="280"/>
    </row>
    <row r="2" spans="1:8" x14ac:dyDescent="0.2">
      <c r="A2" s="279" t="s">
        <v>79</v>
      </c>
      <c r="B2" s="284" t="str">
        <f>_Projektbezeichnung&amp;", "&amp;_Standort</f>
        <v xml:space="preserve">, </v>
      </c>
      <c r="C2" s="284"/>
      <c r="D2" s="284"/>
      <c r="E2" s="284"/>
      <c r="F2" s="4"/>
      <c r="G2" s="284"/>
      <c r="H2" s="4"/>
    </row>
    <row r="3" spans="1:8" x14ac:dyDescent="0.2">
      <c r="A3" s="3" t="s">
        <v>80</v>
      </c>
      <c r="B3" s="350" t="str">
        <f>IF(ISNUMBER(_Projektnummer),_Projektnummer,"")</f>
        <v/>
      </c>
      <c r="C3" s="350"/>
      <c r="E3" s="4" t="s">
        <v>81</v>
      </c>
      <c r="F3" s="4"/>
      <c r="G3" s="350" t="str">
        <f>IF(_Projektleiter&lt;&gt;"",_Projektleiter,"")</f>
        <v/>
      </c>
      <c r="H3" s="350"/>
    </row>
    <row r="4" spans="1:8" x14ac:dyDescent="0.2">
      <c r="A4" s="3" t="s">
        <v>78</v>
      </c>
      <c r="B4" s="6" t="str">
        <f>IF(_Betreiber&lt;&gt;"",_Betreiber,"")</f>
        <v/>
      </c>
      <c r="C4" s="6"/>
      <c r="E4" s="4" t="s">
        <v>82</v>
      </c>
      <c r="F4" s="4"/>
      <c r="G4" s="350" t="str">
        <f>_MWStPflicht</f>
        <v>MWSt. pflichtig</v>
      </c>
      <c r="H4" s="350"/>
    </row>
    <row r="6" spans="1:8" ht="16" x14ac:dyDescent="0.2">
      <c r="A6" s="186" t="s">
        <v>264</v>
      </c>
      <c r="B6" s="184"/>
      <c r="C6" s="184"/>
      <c r="D6" s="184"/>
      <c r="E6" s="320" t="str">
        <f>_xlfn.TRANSLATE(A6,"de","en")</f>
        <v>Cash flow plan PV system (without battery storage)</v>
      </c>
      <c r="F6" s="184"/>
      <c r="G6" s="184"/>
      <c r="H6" s="184"/>
    </row>
    <row r="32" spans="1:8" ht="16" x14ac:dyDescent="0.2">
      <c r="A32" s="281" t="s">
        <v>230</v>
      </c>
      <c r="B32" s="184"/>
      <c r="C32" s="184"/>
      <c r="D32" s="280"/>
      <c r="E32" s="320" t="str">
        <f>_xlfn.TRANSLATE(A32,"de","en")</f>
        <v>Sensitivity analysis of the project return on investment without battery storage</v>
      </c>
      <c r="F32" s="280"/>
      <c r="G32" s="280"/>
      <c r="H32" s="280"/>
    </row>
    <row r="33" spans="1:8" x14ac:dyDescent="0.2">
      <c r="A33" s="3"/>
      <c r="B33" s="283"/>
      <c r="C33" s="283"/>
      <c r="D33" s="355" t="s">
        <v>317</v>
      </c>
      <c r="E33" s="355"/>
      <c r="F33" s="355"/>
      <c r="G33" s="355"/>
      <c r="H33" s="355"/>
    </row>
    <row r="34" spans="1:8" x14ac:dyDescent="0.2">
      <c r="A34" s="3"/>
      <c r="D34" s="25">
        <f>Eingaben!BB40</f>
        <v>0.8</v>
      </c>
      <c r="E34" s="25">
        <f>Eingaben!BC40</f>
        <v>0.9</v>
      </c>
      <c r="F34" s="25">
        <f>Eingaben!BD40</f>
        <v>1</v>
      </c>
      <c r="G34" s="25">
        <f>Eingaben!BE40</f>
        <v>1.1000000000000001</v>
      </c>
      <c r="H34" s="25">
        <f>Eingaben!BF40</f>
        <v>1.2</v>
      </c>
    </row>
    <row r="35" spans="1:8" x14ac:dyDescent="0.2">
      <c r="A35" s="3" t="str">
        <f>_xlfn.TRANSLATE(A36,"de","en")</f>
        <v>Investment
PV system</v>
      </c>
      <c r="C35" s="26"/>
      <c r="D35" s="27">
        <f>Eingaben!BB42*100</f>
        <v>6.4</v>
      </c>
      <c r="E35" s="27">
        <f>Eingaben!BC42*100</f>
        <v>7.2000000000000011</v>
      </c>
      <c r="F35" s="27">
        <f>Eingaben!BD42*100</f>
        <v>8</v>
      </c>
      <c r="G35" s="27">
        <f>Eingaben!BE42*100</f>
        <v>8.8000000000000007</v>
      </c>
      <c r="H35" s="27">
        <f>Eingaben!BF42*100</f>
        <v>9.6</v>
      </c>
    </row>
    <row r="36" spans="1:8" x14ac:dyDescent="0.2">
      <c r="A36" s="356" t="s">
        <v>228</v>
      </c>
      <c r="B36" s="25">
        <f>Eingaben!AZ43</f>
        <v>1.2</v>
      </c>
      <c r="C36" s="16">
        <f>Eingaben!BA43</f>
        <v>18412.8</v>
      </c>
      <c r="D36" s="126" t="str">
        <f>IF(ISNUMBER(Eingaben!BB43/100),Eingaben!BB43/100,"--")</f>
        <v>--</v>
      </c>
      <c r="E36" s="126" t="str">
        <f>IF(ISNUMBER(Eingaben!BC43/100),Eingaben!BC43/100,"--")</f>
        <v>--</v>
      </c>
      <c r="F36" s="126" t="str">
        <f>IF(ISNUMBER(Eingaben!BD43/100),Eingaben!BD43/100,"--")</f>
        <v>--</v>
      </c>
      <c r="G36" s="126" t="str">
        <f>IF(ISNUMBER(Eingaben!BE43/100),Eingaben!BE43/100,"--")</f>
        <v>--</v>
      </c>
      <c r="H36" s="126" t="str">
        <f>IF(ISNUMBER(Eingaben!BF43/100),Eingaben!BF43/100,"--")</f>
        <v>--</v>
      </c>
    </row>
    <row r="37" spans="1:8" x14ac:dyDescent="0.2">
      <c r="A37" s="356"/>
      <c r="B37" s="25">
        <f>Eingaben!AZ44</f>
        <v>1.1000000000000001</v>
      </c>
      <c r="C37" s="16">
        <f>Eingaben!BA44</f>
        <v>16878.400000000001</v>
      </c>
      <c r="D37" s="126" t="str">
        <f>IF(ISNUMBER(Eingaben!BB44/100),Eingaben!BB44/100,"--")</f>
        <v>--</v>
      </c>
      <c r="E37" s="126" t="str">
        <f>IF(ISNUMBER(Eingaben!BC44/100),Eingaben!BC44/100,"--")</f>
        <v>--</v>
      </c>
      <c r="F37" s="126" t="str">
        <f>IF(ISNUMBER(Eingaben!BD44/100),Eingaben!BD44/100,"--")</f>
        <v>--</v>
      </c>
      <c r="G37" s="126" t="str">
        <f>IF(ISNUMBER(Eingaben!BE44/100),Eingaben!BE44/100,"--")</f>
        <v>--</v>
      </c>
      <c r="H37" s="126" t="str">
        <f>IF(ISNUMBER(Eingaben!BF44/100),Eingaben!BF44/100,"--")</f>
        <v>--</v>
      </c>
    </row>
    <row r="38" spans="1:8" x14ac:dyDescent="0.2">
      <c r="A38" s="356"/>
      <c r="B38" s="25">
        <f>Eingaben!AZ45</f>
        <v>1</v>
      </c>
      <c r="C38" s="16">
        <f>Eingaben!BA45</f>
        <v>15344</v>
      </c>
      <c r="D38" s="126" t="str">
        <f>IF(ISNUMBER(Eingaben!BB45/100),Eingaben!BB45/100,"--")</f>
        <v>--</v>
      </c>
      <c r="E38" s="126" t="str">
        <f>IF(ISNUMBER(Eingaben!BC45/100),Eingaben!BC45/100,"--")</f>
        <v>--</v>
      </c>
      <c r="F38" s="126" t="str">
        <f>IF(ISNUMBER(Eingaben!BD45/100),Eingaben!BD45/100,"--")</f>
        <v>--</v>
      </c>
      <c r="G38" s="126" t="str">
        <f>IF(ISNUMBER(Eingaben!BE45/100),Eingaben!BE45/100,"--")</f>
        <v>--</v>
      </c>
      <c r="H38" s="126" t="str">
        <f>IF(ISNUMBER(Eingaben!BF45/100),Eingaben!BF45/100,"--")</f>
        <v>--</v>
      </c>
    </row>
    <row r="39" spans="1:8" x14ac:dyDescent="0.2">
      <c r="A39" s="356"/>
      <c r="B39" s="25">
        <f>Eingaben!AZ46</f>
        <v>0.90000000000000013</v>
      </c>
      <c r="C39" s="16">
        <f>Eingaben!BA46</f>
        <v>13809.600000000002</v>
      </c>
      <c r="D39" s="126" t="str">
        <f>IF(ISNUMBER(Eingaben!BB46/100),Eingaben!BB46/100,"--")</f>
        <v>--</v>
      </c>
      <c r="E39" s="126" t="str">
        <f>IF(ISNUMBER(Eingaben!BC46/100),Eingaben!BC46/100,"--")</f>
        <v>--</v>
      </c>
      <c r="F39" s="126" t="str">
        <f>IF(ISNUMBER(Eingaben!BD46/100),Eingaben!BD46/100,"--")</f>
        <v>--</v>
      </c>
      <c r="G39" s="126" t="str">
        <f>IF(ISNUMBER(Eingaben!BE46/100),Eingaben!BE46/100,"--")</f>
        <v>--</v>
      </c>
      <c r="H39" s="126" t="str">
        <f>IF(ISNUMBER(Eingaben!BF46/100),Eingaben!BF46/100,"--")</f>
        <v>--</v>
      </c>
    </row>
    <row r="40" spans="1:8" x14ac:dyDescent="0.2">
      <c r="A40" s="356"/>
      <c r="B40" s="25">
        <f>Eingaben!AZ47</f>
        <v>0.8</v>
      </c>
      <c r="C40" s="16">
        <f>Eingaben!BA47</f>
        <v>12275.2</v>
      </c>
      <c r="D40" s="126" t="str">
        <f>IF(ISNUMBER(Eingaben!BB47/100),Eingaben!BB47/100,"--")</f>
        <v>--</v>
      </c>
      <c r="E40" s="126" t="str">
        <f>IF(ISNUMBER(Eingaben!BC47/100),Eingaben!BC47/100,"--")</f>
        <v>--</v>
      </c>
      <c r="F40" s="126" t="str">
        <f>IF(ISNUMBER(Eingaben!BD47/100),Eingaben!BD47/100,"--")</f>
        <v>--</v>
      </c>
      <c r="G40" s="126" t="str">
        <f>IF(ISNUMBER(Eingaben!BE47/100),Eingaben!BE47/100,"--")</f>
        <v>--</v>
      </c>
      <c r="H40" s="126" t="str">
        <f>IF(ISNUMBER(Eingaben!BF47/100),Eingaben!BF47/100,"--")</f>
        <v>--</v>
      </c>
    </row>
    <row r="42" spans="1:8" x14ac:dyDescent="0.2">
      <c r="A42" s="3"/>
      <c r="D42" s="355" t="s">
        <v>122</v>
      </c>
      <c r="E42" s="355"/>
      <c r="F42" s="355"/>
      <c r="G42" s="355"/>
      <c r="H42" s="355"/>
    </row>
    <row r="43" spans="1:8" x14ac:dyDescent="0.2">
      <c r="A43" s="3" t="str">
        <f>_xlfn.TRANSLATE(A44,"de","en")</f>
        <v>Lifetime</v>
      </c>
      <c r="C43" s="26"/>
      <c r="D43" s="28">
        <f>Eingaben!BB19/100</f>
        <v>0</v>
      </c>
      <c r="E43" s="28">
        <f>Eingaben!BC19/100</f>
        <v>5.0000000000000001E-3</v>
      </c>
      <c r="F43" s="28">
        <f>Eingaben!BD19/100</f>
        <v>0.01</v>
      </c>
      <c r="G43" s="28">
        <f>Eingaben!BE19/100</f>
        <v>0.02</v>
      </c>
      <c r="H43" s="28">
        <f>Eingaben!BF19/100</f>
        <v>0.03</v>
      </c>
    </row>
    <row r="44" spans="1:8" x14ac:dyDescent="0.2">
      <c r="A44" s="356" t="s">
        <v>125</v>
      </c>
      <c r="B44" s="357">
        <f>Eingaben!BA20</f>
        <v>25</v>
      </c>
      <c r="C44" s="357"/>
      <c r="D44" s="126" t="str">
        <f>IF(ISNUMBER(Eingaben!BB20/100),Eingaben!BB20/100,"--")</f>
        <v>--</v>
      </c>
      <c r="E44" s="126" t="str">
        <f>IF(ISNUMBER(Eingaben!BC20/100),Eingaben!BC20/100,"--")</f>
        <v>--</v>
      </c>
      <c r="F44" s="126" t="str">
        <f>IF(ISNUMBER(Eingaben!BD20/100),Eingaben!BD20/100,"--")</f>
        <v>--</v>
      </c>
      <c r="G44" s="126" t="str">
        <f>IF(ISNUMBER(Eingaben!BE20/100),Eingaben!BE20/100,"--")</f>
        <v>--</v>
      </c>
      <c r="H44" s="126" t="str">
        <f>IF(ISNUMBER(Eingaben!BF20/100),Eingaben!BF20/100,"--")</f>
        <v>--</v>
      </c>
    </row>
    <row r="45" spans="1:8" x14ac:dyDescent="0.2">
      <c r="A45" s="356"/>
      <c r="B45" s="357">
        <f>Eingaben!BA21</f>
        <v>30</v>
      </c>
      <c r="C45" s="357"/>
      <c r="D45" s="126" t="str">
        <f>IF(ISNUMBER(Eingaben!BB21/100),Eingaben!BB21/100,"--")</f>
        <v>--</v>
      </c>
      <c r="E45" s="126" t="str">
        <f>IF(ISNUMBER(Eingaben!BC21/100),Eingaben!BC21/100,"--")</f>
        <v>--</v>
      </c>
      <c r="F45" s="126" t="str">
        <f>IF(ISNUMBER(Eingaben!BD21/100),Eingaben!BD21/100,"--")</f>
        <v>--</v>
      </c>
      <c r="G45" s="126" t="str">
        <f>IF(ISNUMBER(Eingaben!BE21/100),Eingaben!BE21/100,"--")</f>
        <v>--</v>
      </c>
      <c r="H45" s="126" t="str">
        <f>IF(ISNUMBER(Eingaben!BF21/100),Eingaben!BF21/100,"--")</f>
        <v>--</v>
      </c>
    </row>
    <row r="46" spans="1:8" x14ac:dyDescent="0.2">
      <c r="A46" s="356"/>
      <c r="B46" s="357">
        <f>Eingaben!BA22</f>
        <v>35</v>
      </c>
      <c r="C46" s="357"/>
      <c r="D46" s="126" t="str">
        <f>IF(ISNUMBER(Eingaben!BB22/100),Eingaben!BB22/100,"--")</f>
        <v>--</v>
      </c>
      <c r="E46" s="126" t="str">
        <f>IF(ISNUMBER(Eingaben!BC22/100),Eingaben!BC22/100,"--")</f>
        <v>--</v>
      </c>
      <c r="F46" s="126" t="str">
        <f>IF(ISNUMBER(Eingaben!BD22/100),Eingaben!BD22/100,"--")</f>
        <v>--</v>
      </c>
      <c r="G46" s="126" t="str">
        <f>IF(ISNUMBER(Eingaben!BE22/100),Eingaben!BE22/100,"--")</f>
        <v>--</v>
      </c>
      <c r="H46" s="126" t="str">
        <f>IF(ISNUMBER(Eingaben!BF22/100),Eingaben!BF22/100,"--")</f>
        <v>--</v>
      </c>
    </row>
    <row r="47" spans="1:8" x14ac:dyDescent="0.2">
      <c r="A47" s="356"/>
      <c r="B47" s="357">
        <f>Eingaben!BA23</f>
        <v>40</v>
      </c>
      <c r="C47" s="357"/>
      <c r="D47" s="126" t="str">
        <f>IF(ISNUMBER(Eingaben!BB23/100),Eingaben!BB23/100,"--")</f>
        <v>--</v>
      </c>
      <c r="E47" s="126" t="str">
        <f>IF(ISNUMBER(Eingaben!BC23/100),Eingaben!BC23/100,"--")</f>
        <v>--</v>
      </c>
      <c r="F47" s="126" t="str">
        <f>IF(ISNUMBER(Eingaben!BD23/100),Eingaben!BD23/100,"--")</f>
        <v>--</v>
      </c>
      <c r="G47" s="126" t="str">
        <f>IF(ISNUMBER(Eingaben!BE23/100),Eingaben!BE23/100,"--")</f>
        <v>--</v>
      </c>
      <c r="H47" s="126" t="str">
        <f>IF(ISNUMBER(Eingaben!BF23/100),Eingaben!BF23/100,"--")</f>
        <v>--</v>
      </c>
    </row>
    <row r="49" spans="1:8" x14ac:dyDescent="0.2">
      <c r="A49" s="3"/>
      <c r="D49" s="355" t="str">
        <f>IF(_ZEV=_NEIN,"ersetzter Bezugstarif ",IF(_ZEV=_JA,"PV- Stromtarif ZEV ","Fehler"))&amp;CHAR(10)&amp;Eingaben!E47</f>
        <v>PV- Stromtarif ZEV 
(exkl. MWSt.)</v>
      </c>
      <c r="E49" s="355"/>
      <c r="F49" s="355"/>
      <c r="G49" s="355"/>
      <c r="H49" s="355"/>
    </row>
    <row r="50" spans="1:8" x14ac:dyDescent="0.2">
      <c r="A50" s="3"/>
      <c r="D50" s="25">
        <f>Eingaben!BB29</f>
        <v>0.8</v>
      </c>
      <c r="E50" s="25">
        <f>Eingaben!BC29</f>
        <v>0.9</v>
      </c>
      <c r="F50" s="25">
        <f>Eingaben!BD29</f>
        <v>1</v>
      </c>
      <c r="G50" s="25">
        <f>Eingaben!BE29</f>
        <v>1.1000000000000001</v>
      </c>
      <c r="H50" s="25">
        <f>Eingaben!BF29</f>
        <v>1.2</v>
      </c>
    </row>
    <row r="51" spans="1:8" x14ac:dyDescent="0.2">
      <c r="A51" s="3" t="str">
        <f>_xlfn.TRANSLATE(A52,"de","en")</f>
        <v>Self-consumption without battery storage</v>
      </c>
      <c r="C51" s="26"/>
      <c r="D51" s="27">
        <f>Eingaben!BB30*100</f>
        <v>18.559999999999999</v>
      </c>
      <c r="E51" s="27">
        <f>Eingaben!BC30*100</f>
        <v>20.88</v>
      </c>
      <c r="F51" s="27">
        <f>Eingaben!BD30*100</f>
        <v>23.2</v>
      </c>
      <c r="G51" s="27">
        <f>Eingaben!BE30*100</f>
        <v>25.52</v>
      </c>
      <c r="H51" s="27">
        <f>Eingaben!BF30*100</f>
        <v>27.839999999999996</v>
      </c>
    </row>
    <row r="52" spans="1:8" x14ac:dyDescent="0.2">
      <c r="A52" s="356" t="s">
        <v>220</v>
      </c>
      <c r="B52" s="359">
        <f>Eingaben!BA31/100</f>
        <v>0.23270423710036206</v>
      </c>
      <c r="C52" s="359"/>
      <c r="D52" s="126" t="str">
        <f>IF(ISNUMBER(Eingaben!BB31/100),Eingaben!BB31/100,"--")</f>
        <v>--</v>
      </c>
      <c r="E52" s="126" t="str">
        <f>IF(ISNUMBER(Eingaben!BC31/100),Eingaben!BC31/100,"--")</f>
        <v>--</v>
      </c>
      <c r="F52" s="126" t="str">
        <f>IF(ISNUMBER(Eingaben!BD31/100),Eingaben!BD31/100,"--")</f>
        <v>--</v>
      </c>
      <c r="G52" s="126" t="str">
        <f>IF(ISNUMBER(Eingaben!BE31/100),Eingaben!BE31/100,"--")</f>
        <v>--</v>
      </c>
      <c r="H52" s="126" t="str">
        <f>IF(ISNUMBER(Eingaben!BF31/100),Eingaben!BF31/100,"--")</f>
        <v>--</v>
      </c>
    </row>
    <row r="53" spans="1:8" x14ac:dyDescent="0.2">
      <c r="A53" s="356"/>
      <c r="B53" s="359">
        <f>Eingaben!BA32/100</f>
        <v>0.28270423710036208</v>
      </c>
      <c r="C53" s="359"/>
      <c r="D53" s="126" t="str">
        <f>IF(ISNUMBER(Eingaben!BB32/100),Eingaben!BB32/100,"--")</f>
        <v>--</v>
      </c>
      <c r="E53" s="126" t="str">
        <f>IF(ISNUMBER(Eingaben!BC32/100),Eingaben!BC32/100,"--")</f>
        <v>--</v>
      </c>
      <c r="F53" s="126" t="str">
        <f>IF(ISNUMBER(Eingaben!BD32/100),Eingaben!BD32/100,"--")</f>
        <v>--</v>
      </c>
      <c r="G53" s="126" t="str">
        <f>IF(ISNUMBER(Eingaben!BE32/100),Eingaben!BE32/100,"--")</f>
        <v>--</v>
      </c>
      <c r="H53" s="126" t="str">
        <f>IF(ISNUMBER(Eingaben!BF32/100),Eingaben!BF32/100,"--")</f>
        <v>--</v>
      </c>
    </row>
    <row r="54" spans="1:8" x14ac:dyDescent="0.2">
      <c r="A54" s="356"/>
      <c r="B54" s="359">
        <f>Eingaben!BA33/100</f>
        <v>0.33270423710036207</v>
      </c>
      <c r="C54" s="359"/>
      <c r="D54" s="126" t="str">
        <f>IF(ISNUMBER(Eingaben!BB33/100),Eingaben!BB33/100,"--")</f>
        <v>--</v>
      </c>
      <c r="E54" s="126" t="str">
        <f>IF(ISNUMBER(Eingaben!BC33/100),Eingaben!BC33/100,"--")</f>
        <v>--</v>
      </c>
      <c r="F54" s="126" t="str">
        <f>IF(ISNUMBER(Eingaben!BD33/100),Eingaben!BD33/100,"--")</f>
        <v>--</v>
      </c>
      <c r="G54" s="126" t="str">
        <f>IF(ISNUMBER(Eingaben!BE33/100),Eingaben!BE33/100,"--")</f>
        <v>--</v>
      </c>
      <c r="H54" s="126" t="str">
        <f>IF(ISNUMBER(Eingaben!BF33/100),Eingaben!BF33/100,"--")</f>
        <v>--</v>
      </c>
    </row>
    <row r="55" spans="1:8" x14ac:dyDescent="0.2">
      <c r="A55" s="356"/>
      <c r="B55" s="359">
        <f>Eingaben!BA34/100</f>
        <v>0.38270423710036205</v>
      </c>
      <c r="C55" s="359"/>
      <c r="D55" s="126" t="str">
        <f>IF(ISNUMBER(Eingaben!BB34/100),Eingaben!BB34/100,"--")</f>
        <v>--</v>
      </c>
      <c r="E55" s="126" t="str">
        <f>IF(ISNUMBER(Eingaben!BC34/100),Eingaben!BC34/100,"--")</f>
        <v>--</v>
      </c>
      <c r="F55" s="126" t="str">
        <f>IF(ISNUMBER(Eingaben!BD34/100),Eingaben!BD34/100,"--")</f>
        <v>--</v>
      </c>
      <c r="G55" s="126" t="str">
        <f>IF(ISNUMBER(Eingaben!BE34/100),Eingaben!BE34/100,"--")</f>
        <v>--</v>
      </c>
      <c r="H55" s="126" t="str">
        <f>IF(ISNUMBER(Eingaben!BF34/100),Eingaben!BF34/100,"--")</f>
        <v>--</v>
      </c>
    </row>
    <row r="56" spans="1:8" x14ac:dyDescent="0.2">
      <c r="B56" s="359">
        <f>Eingaben!BA35/100</f>
        <v>0.43270423710036204</v>
      </c>
      <c r="C56" s="359"/>
      <c r="D56" s="126" t="str">
        <f>IF(ISNUMBER(Eingaben!BB35/100),Eingaben!BB35/100,"--")</f>
        <v>--</v>
      </c>
      <c r="E56" s="126" t="str">
        <f>IF(ISNUMBER(Eingaben!BC35/100),Eingaben!BC35/100,"--")</f>
        <v>--</v>
      </c>
      <c r="F56" s="126" t="str">
        <f>IF(ISNUMBER(Eingaben!BD35/100),Eingaben!BD35/100,"--")</f>
        <v>--</v>
      </c>
      <c r="G56" s="126" t="str">
        <f>IF(ISNUMBER(Eingaben!BE35/100),Eingaben!BE35/100,"--")</f>
        <v>--</v>
      </c>
      <c r="H56" s="126" t="str">
        <f>IF(ISNUMBER(Eingaben!BF35/100),Eingaben!BF35/100,"--")</f>
        <v>--</v>
      </c>
    </row>
    <row r="58" spans="1:8" ht="16" x14ac:dyDescent="0.2">
      <c r="A58" s="281" t="s">
        <v>231</v>
      </c>
      <c r="B58" s="280"/>
      <c r="C58" s="280"/>
      <c r="D58" s="280"/>
      <c r="E58" s="358" t="str">
        <f>_xlfn.TRANSLATE(A58,"de","en")</f>
        <v>Sensitivity analysis of the project return on PV system with battery storage</v>
      </c>
      <c r="F58" s="358"/>
      <c r="G58" s="358"/>
      <c r="H58" s="358"/>
    </row>
    <row r="59" spans="1:8" x14ac:dyDescent="0.2">
      <c r="A59" s="3"/>
      <c r="D59" s="355" t="str">
        <f>IF(_ZEV=_NEIN,"ersetzter Bezugstarif ",IF(_ZEV=_JA,"PV- Stromtarif ZEV ","Fehler"))&amp;CHAR(10)&amp;Eingaben!E47</f>
        <v>PV- Stromtarif ZEV 
(exkl. MWSt.)</v>
      </c>
      <c r="E59" s="355"/>
      <c r="F59" s="355"/>
      <c r="G59" s="355"/>
      <c r="H59" s="355"/>
    </row>
    <row r="60" spans="1:8" x14ac:dyDescent="0.2">
      <c r="A60" s="3"/>
      <c r="D60" s="25">
        <f>Eingaben!BB55</f>
        <v>0.8</v>
      </c>
      <c r="E60" s="25">
        <f>Eingaben!BC55</f>
        <v>0.9</v>
      </c>
      <c r="F60" s="25">
        <f>Eingaben!BD55</f>
        <v>1</v>
      </c>
      <c r="G60" s="25">
        <f>Eingaben!BE55</f>
        <v>1.1000000000000001</v>
      </c>
      <c r="H60" s="25">
        <f>Eingaben!BF55</f>
        <v>1.2</v>
      </c>
    </row>
    <row r="61" spans="1:8" x14ac:dyDescent="0.2">
      <c r="A61" s="3" t="str">
        <f>_xlfn.TRANSLATE(A62,"de","en")</f>
        <v>Investment
Battery storage</v>
      </c>
      <c r="C61" s="26"/>
      <c r="D61" s="27">
        <f>Eingaben!BB56*100</f>
        <v>18.559999999999999</v>
      </c>
      <c r="E61" s="27">
        <f>Eingaben!BC56*100</f>
        <v>20.88</v>
      </c>
      <c r="F61" s="27">
        <f>Eingaben!BD56*100</f>
        <v>23.2</v>
      </c>
      <c r="G61" s="27">
        <f>Eingaben!BE56*100</f>
        <v>25.52</v>
      </c>
      <c r="H61" s="27">
        <f>Eingaben!BF56*100</f>
        <v>27.839999999999996</v>
      </c>
    </row>
    <row r="62" spans="1:8" x14ac:dyDescent="0.2">
      <c r="A62" s="356" t="s">
        <v>229</v>
      </c>
      <c r="B62" s="25">
        <f>Eingaben!AZ57</f>
        <v>1.2</v>
      </c>
      <c r="C62" s="16">
        <f>Eingaben!BA57</f>
        <v>0</v>
      </c>
      <c r="D62" s="126" t="str">
        <f>IF(ISNUMBER(Eingaben!BB57/100),Eingaben!BB57/100,"--")</f>
        <v>--</v>
      </c>
      <c r="E62" s="126" t="str">
        <f>IF(ISNUMBER(Eingaben!BC57/100),Eingaben!BC57/100,"--")</f>
        <v>--</v>
      </c>
      <c r="F62" s="126" t="str">
        <f>IF(ISNUMBER(Eingaben!BD57/100),Eingaben!BD57/100,"--")</f>
        <v>--</v>
      </c>
      <c r="G62" s="126" t="str">
        <f>IF(ISNUMBER(Eingaben!BE57/100),Eingaben!BE57/100,"--")</f>
        <v>--</v>
      </c>
      <c r="H62" s="126" t="str">
        <f>IF(ISNUMBER(Eingaben!BF57/100),Eingaben!BF57/100,"--")</f>
        <v>--</v>
      </c>
    </row>
    <row r="63" spans="1:8" x14ac:dyDescent="0.2">
      <c r="A63" s="356"/>
      <c r="B63" s="25">
        <f>Eingaben!AZ58</f>
        <v>1.1000000000000001</v>
      </c>
      <c r="C63" s="16">
        <f>Eingaben!BA58</f>
        <v>0</v>
      </c>
      <c r="D63" s="126" t="str">
        <f>IF(ISNUMBER(Eingaben!BB58/100),Eingaben!BB58/100,"--")</f>
        <v>--</v>
      </c>
      <c r="E63" s="126" t="str">
        <f>IF(ISNUMBER(Eingaben!BC58/100),Eingaben!BC58/100,"--")</f>
        <v>--</v>
      </c>
      <c r="F63" s="126" t="str">
        <f>IF(ISNUMBER(Eingaben!BD58/100),Eingaben!BD58/100,"--")</f>
        <v>--</v>
      </c>
      <c r="G63" s="126" t="str">
        <f>IF(ISNUMBER(Eingaben!BE58/100),Eingaben!BE58/100,"--")</f>
        <v>--</v>
      </c>
      <c r="H63" s="126" t="str">
        <f>IF(ISNUMBER(Eingaben!BF58/100),Eingaben!BF58/100,"--")</f>
        <v>--</v>
      </c>
    </row>
    <row r="64" spans="1:8" x14ac:dyDescent="0.2">
      <c r="A64" s="356"/>
      <c r="B64" s="25">
        <f>Eingaben!AZ59</f>
        <v>1</v>
      </c>
      <c r="C64" s="16">
        <f>Eingaben!BA59</f>
        <v>0</v>
      </c>
      <c r="D64" s="126" t="str">
        <f>IF(ISNUMBER(Eingaben!BB59/100),Eingaben!BB59/100,"--")</f>
        <v>--</v>
      </c>
      <c r="E64" s="126" t="str">
        <f>IF(ISNUMBER(Eingaben!BC59/100),Eingaben!BC59/100,"--")</f>
        <v>--</v>
      </c>
      <c r="F64" s="126" t="str">
        <f>IF(ISNUMBER(Eingaben!BD59/100),Eingaben!BD59/100,"--")</f>
        <v>--</v>
      </c>
      <c r="G64" s="126" t="str">
        <f>IF(ISNUMBER(Eingaben!BE59/100),Eingaben!BE59/100,"--")</f>
        <v>--</v>
      </c>
      <c r="H64" s="126" t="str">
        <f>IF(ISNUMBER(Eingaben!BF59/100),Eingaben!BF59/100,"--")</f>
        <v>--</v>
      </c>
    </row>
    <row r="65" spans="1:8" x14ac:dyDescent="0.2">
      <c r="A65" s="356"/>
      <c r="B65" s="25">
        <f>Eingaben!AZ60</f>
        <v>0.90000000000000013</v>
      </c>
      <c r="C65" s="16">
        <f>Eingaben!BA60</f>
        <v>0</v>
      </c>
      <c r="D65" s="126" t="str">
        <f>IF(ISNUMBER(Eingaben!BB60/100),Eingaben!BB60/100,"--")</f>
        <v>--</v>
      </c>
      <c r="E65" s="126" t="str">
        <f>IF(ISNUMBER(Eingaben!BC60/100),Eingaben!BC60/100,"--")</f>
        <v>--</v>
      </c>
      <c r="F65" s="126" t="str">
        <f>IF(ISNUMBER(Eingaben!BD60/100),Eingaben!BD60/100,"--")</f>
        <v>--</v>
      </c>
      <c r="G65" s="126" t="str">
        <f>IF(ISNUMBER(Eingaben!BE60/100),Eingaben!BE60/100,"--")</f>
        <v>--</v>
      </c>
      <c r="H65" s="126" t="str">
        <f>IF(ISNUMBER(Eingaben!BF60/100),Eingaben!BF60/100,"--")</f>
        <v>--</v>
      </c>
    </row>
    <row r="66" spans="1:8" x14ac:dyDescent="0.2">
      <c r="B66" s="25">
        <f>Eingaben!AZ61</f>
        <v>0.8</v>
      </c>
      <c r="C66" s="16">
        <f>Eingaben!BA61</f>
        <v>0</v>
      </c>
      <c r="D66" s="126" t="str">
        <f>IF(ISNUMBER(Eingaben!BB61/100),Eingaben!BB61/100,"--")</f>
        <v>--</v>
      </c>
      <c r="E66" s="126" t="str">
        <f>IF(ISNUMBER(Eingaben!BC61/100),Eingaben!BC61/100,"--")</f>
        <v>--</v>
      </c>
      <c r="F66" s="126" t="str">
        <f>IF(ISNUMBER(Eingaben!BD61/100),Eingaben!BD61/100,"--")</f>
        <v>--</v>
      </c>
      <c r="G66" s="126" t="str">
        <f>IF(ISNUMBER(Eingaben!BE61/100),Eingaben!BE61/100,"--")</f>
        <v>--</v>
      </c>
      <c r="H66" s="126" t="str">
        <f>IF(ISNUMBER(Eingaben!BF61/100),Eingaben!BF61/100,"--")</f>
        <v>--</v>
      </c>
    </row>
    <row r="68" spans="1:8" ht="16" x14ac:dyDescent="0.2">
      <c r="A68" s="281" t="s">
        <v>232</v>
      </c>
      <c r="B68" s="280"/>
      <c r="C68" s="280"/>
      <c r="D68" s="280"/>
      <c r="E68" s="320" t="str">
        <f>_xlfn.TRANSLATE(A68,"de","en")</f>
        <v>Sensitivity analysis of the project return on battery storage only</v>
      </c>
      <c r="F68" s="280"/>
      <c r="G68" s="280"/>
      <c r="H68" s="280"/>
    </row>
    <row r="69" spans="1:8" x14ac:dyDescent="0.2">
      <c r="A69" s="3"/>
      <c r="D69" s="355" t="str">
        <f>IF(_ZEV=_NEIN,"ersetzter Bezugstarif ",IF(_ZEV=_JA,"PV- Stromtarif ZEV ","Fehler"))&amp;CHAR(10)&amp;Eingaben!E47</f>
        <v>PV- Stromtarif ZEV 
(exkl. MWSt.)</v>
      </c>
      <c r="E69" s="355"/>
      <c r="F69" s="355"/>
      <c r="G69" s="355"/>
      <c r="H69" s="355"/>
    </row>
    <row r="70" spans="1:8" x14ac:dyDescent="0.2">
      <c r="A70" s="3"/>
      <c r="D70" s="25">
        <f>Eingaben!BB64</f>
        <v>0.8</v>
      </c>
      <c r="E70" s="25">
        <f>Eingaben!BC64</f>
        <v>0.9</v>
      </c>
      <c r="F70" s="25">
        <f>Eingaben!BD64</f>
        <v>1</v>
      </c>
      <c r="G70" s="25">
        <f>Eingaben!BE64</f>
        <v>1.1000000000000001</v>
      </c>
      <c r="H70" s="25">
        <f>Eingaben!BF64</f>
        <v>1.2</v>
      </c>
    </row>
    <row r="71" spans="1:8" x14ac:dyDescent="0.2">
      <c r="A71" s="3" t="str">
        <f>_xlfn.TRANSLATE(A72,"de","en")</f>
        <v>Investment
Battery storage</v>
      </c>
      <c r="C71" s="26"/>
      <c r="D71" s="27">
        <f>Eingaben!BB65*100</f>
        <v>18.559999999999999</v>
      </c>
      <c r="E71" s="27">
        <f>Eingaben!BC65*100</f>
        <v>20.88</v>
      </c>
      <c r="F71" s="27">
        <f>Eingaben!BD65*100</f>
        <v>23.2</v>
      </c>
      <c r="G71" s="27">
        <f>Eingaben!BE65*100</f>
        <v>25.52</v>
      </c>
      <c r="H71" s="27">
        <f>Eingaben!BF65*100</f>
        <v>27.839999999999996</v>
      </c>
    </row>
    <row r="72" spans="1:8" ht="15" customHeight="1" x14ac:dyDescent="0.2">
      <c r="A72" s="356" t="s">
        <v>229</v>
      </c>
      <c r="B72" s="25">
        <f>Eingaben!AZ66</f>
        <v>1.2</v>
      </c>
      <c r="C72" s="16">
        <f>Eingaben!BA66</f>
        <v>0</v>
      </c>
      <c r="D72" s="126" t="str">
        <f>IF(ISNUMBER(Eingaben!BB66/100),Eingaben!BB66/100,"--")</f>
        <v>--</v>
      </c>
      <c r="E72" s="126" t="str">
        <f>IF(ISNUMBER(Eingaben!BC66/100),Eingaben!BC66/100,"--")</f>
        <v>--</v>
      </c>
      <c r="F72" s="126" t="str">
        <f>IF(ISNUMBER(Eingaben!BD66/100),Eingaben!BD66/100,"--")</f>
        <v>--</v>
      </c>
      <c r="G72" s="126" t="str">
        <f>IF(ISNUMBER(Eingaben!BE66/100),Eingaben!BE66/100,"--")</f>
        <v>--</v>
      </c>
      <c r="H72" s="126" t="str">
        <f>IF(ISNUMBER(Eingaben!BF66/100),Eingaben!BF66/100,"--")</f>
        <v>--</v>
      </c>
    </row>
    <row r="73" spans="1:8" x14ac:dyDescent="0.2">
      <c r="A73" s="356"/>
      <c r="B73" s="25">
        <f>Eingaben!AZ67</f>
        <v>1.1000000000000001</v>
      </c>
      <c r="C73" s="16">
        <f>Eingaben!BA67</f>
        <v>0</v>
      </c>
      <c r="D73" s="126" t="str">
        <f>IF(ISNUMBER(Eingaben!BB67/100),Eingaben!BB67/100,"--")</f>
        <v>--</v>
      </c>
      <c r="E73" s="126" t="str">
        <f>IF(ISNUMBER(Eingaben!BC67/100),Eingaben!BC67/100,"--")</f>
        <v>--</v>
      </c>
      <c r="F73" s="126" t="str">
        <f>IF(ISNUMBER(Eingaben!BD67/100),Eingaben!BD67/100,"--")</f>
        <v>--</v>
      </c>
      <c r="G73" s="126" t="str">
        <f>IF(ISNUMBER(Eingaben!BE67/100),Eingaben!BE67/100,"--")</f>
        <v>--</v>
      </c>
      <c r="H73" s="126" t="str">
        <f>IF(ISNUMBER(Eingaben!BF67/100),Eingaben!BF67/100,"--")</f>
        <v>--</v>
      </c>
    </row>
    <row r="74" spans="1:8" x14ac:dyDescent="0.2">
      <c r="A74" s="356"/>
      <c r="B74" s="25">
        <f>Eingaben!AZ68</f>
        <v>1</v>
      </c>
      <c r="C74" s="16">
        <f>Eingaben!BA68</f>
        <v>0</v>
      </c>
      <c r="D74" s="126" t="str">
        <f>IF(ISNUMBER(Eingaben!BB68/100),Eingaben!BB68/100,"--")</f>
        <v>--</v>
      </c>
      <c r="E74" s="126" t="str">
        <f>IF(ISNUMBER(Eingaben!BC68/100),Eingaben!BC68/100,"--")</f>
        <v>--</v>
      </c>
      <c r="F74" s="126" t="str">
        <f>IF(ISNUMBER(Eingaben!BD68/100),Eingaben!BD68/100,"--")</f>
        <v>--</v>
      </c>
      <c r="G74" s="126" t="str">
        <f>IF(ISNUMBER(Eingaben!BE68/100),Eingaben!BE68/100,"--")</f>
        <v>--</v>
      </c>
      <c r="H74" s="126" t="str">
        <f>IF(ISNUMBER(Eingaben!BF68/100),Eingaben!BF68/100,"--")</f>
        <v>--</v>
      </c>
    </row>
    <row r="75" spans="1:8" x14ac:dyDescent="0.2">
      <c r="A75" s="356"/>
      <c r="B75" s="25">
        <f>Eingaben!AZ69</f>
        <v>0.90000000000000013</v>
      </c>
      <c r="C75" s="16">
        <f>Eingaben!BA69</f>
        <v>0</v>
      </c>
      <c r="D75" s="126" t="str">
        <f>IF(ISNUMBER(Eingaben!BB69/100),Eingaben!BB69/100,"--")</f>
        <v>--</v>
      </c>
      <c r="E75" s="126" t="str">
        <f>IF(ISNUMBER(Eingaben!BC69/100),Eingaben!BC69/100,"--")</f>
        <v>--</v>
      </c>
      <c r="F75" s="126" t="str">
        <f>IF(ISNUMBER(Eingaben!BD69/100),Eingaben!BD69/100,"--")</f>
        <v>--</v>
      </c>
      <c r="G75" s="126" t="str">
        <f>IF(ISNUMBER(Eingaben!BE69/100),Eingaben!BE69/100,"--")</f>
        <v>--</v>
      </c>
      <c r="H75" s="126" t="str">
        <f>IF(ISNUMBER(Eingaben!BF69/100),Eingaben!BF69/100,"--")</f>
        <v>--</v>
      </c>
    </row>
    <row r="76" spans="1:8" x14ac:dyDescent="0.2">
      <c r="B76" s="25">
        <f>Eingaben!AZ70</f>
        <v>0.8</v>
      </c>
      <c r="C76" s="16">
        <f>Eingaben!BA70</f>
        <v>0</v>
      </c>
      <c r="D76" s="126" t="str">
        <f>IF(ISNUMBER(Eingaben!BB70/100),Eingaben!BB70/100,"--")</f>
        <v>--</v>
      </c>
      <c r="E76" s="126" t="str">
        <f>IF(ISNUMBER(Eingaben!BC70/100),Eingaben!BC70/100,"--")</f>
        <v>--</v>
      </c>
      <c r="F76" s="126" t="str">
        <f>IF(ISNUMBER(Eingaben!BD70/100),Eingaben!BD70/100,"--")</f>
        <v>--</v>
      </c>
      <c r="G76" s="126" t="str">
        <f>IF(ISNUMBER(Eingaben!BE70/100),Eingaben!BE70/100,"--")</f>
        <v>--</v>
      </c>
      <c r="H76" s="126" t="str">
        <f>IF(ISNUMBER(Eingaben!BF70/100),Eingaben!BF70/100,"--")</f>
        <v>--</v>
      </c>
    </row>
  </sheetData>
  <mergeCells count="23">
    <mergeCell ref="D69:H69"/>
    <mergeCell ref="A72:A75"/>
    <mergeCell ref="D59:H59"/>
    <mergeCell ref="A62:A65"/>
    <mergeCell ref="B56:C56"/>
    <mergeCell ref="D49:H49"/>
    <mergeCell ref="B44:C44"/>
    <mergeCell ref="B45:C45"/>
    <mergeCell ref="E58:H58"/>
    <mergeCell ref="A52:A55"/>
    <mergeCell ref="B52:C52"/>
    <mergeCell ref="B53:C53"/>
    <mergeCell ref="B54:C54"/>
    <mergeCell ref="B55:C55"/>
    <mergeCell ref="G3:H3"/>
    <mergeCell ref="G4:H4"/>
    <mergeCell ref="D33:H33"/>
    <mergeCell ref="A44:A47"/>
    <mergeCell ref="B46:C46"/>
    <mergeCell ref="B47:C47"/>
    <mergeCell ref="A36:A40"/>
    <mergeCell ref="B3:C3"/>
    <mergeCell ref="D42:H42"/>
  </mergeCells>
  <conditionalFormatting sqref="A58:D58 A59:H60 B61:H61 A62:H67 A68:D68 F68:H68 A69:H70 B71:H71 A72:H76">
    <cfRule type="expression" dxfId="18" priority="1">
      <formula>_Batterie=_NEIN</formula>
    </cfRule>
  </conditionalFormatting>
  <conditionalFormatting sqref="D36:H40 D44:H47 D52:H56">
    <cfRule type="expression" dxfId="17" priority="9">
      <formula>D36=_Projektrendite/100</formula>
    </cfRule>
  </conditionalFormatting>
  <conditionalFormatting sqref="D62:H66 D72:H76 D36:H40 D44:H47 D52:H56">
    <cfRule type="expression" dxfId="16" priority="2">
      <formula>D36="--"</formula>
    </cfRule>
  </conditionalFormatting>
  <conditionalFormatting sqref="D62:H66">
    <cfRule type="expression" dxfId="15" priority="4">
      <formula>D62=_Projektrendite_mit_Batterie/100</formula>
    </cfRule>
  </conditionalFormatting>
  <conditionalFormatting sqref="D72:H76 D62:H66 D52:H56 D44:H47 D36:H40">
    <cfRule type="colorScale" priority="10">
      <colorScale>
        <cfvo type="percent" val="0"/>
        <cfvo type="percentile" val="50"/>
        <cfvo type="percent" val="5"/>
        <color rgb="FFF8696B"/>
        <color rgb="FFFFEB84"/>
        <color rgb="FF63BE7B"/>
      </colorScale>
    </cfRule>
  </conditionalFormatting>
  <conditionalFormatting sqref="D72:H76">
    <cfRule type="expression" dxfId="14" priority="3">
      <formula>D72=_Projektrendite_nur_Batteriespeicher/100</formula>
    </cfRule>
  </conditionalFormatting>
  <pageMargins left="0.70866141732283472" right="0.70866141732283472" top="0.74803149606299213" bottom="0.74803149606299213" header="0.31496062992125984" footer="0.31496062992125984"/>
  <pageSetup paperSize="9" scale="55" orientation="portrait" r:id="rId1"/>
  <headerFooter>
    <oddHeader>&amp;L&amp;"-,Fett"Wirtschaftlichkeitsrechnung Photovoltaikanlage
Details&amp;C&amp;G</oddHeader>
    <oddFooter>&amp;L&amp;"-,Kursiv"erstellt für Swissolar von Plan-E AG, Luzernerstrasse 131, 6014 Luzern&amp;R&amp;G</oddFooter>
  </headerFooter>
  <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pageSetUpPr fitToPage="1"/>
  </sheetPr>
  <dimension ref="A1:BF1048521"/>
  <sheetViews>
    <sheetView zoomScaleNormal="100" zoomScalePageLayoutView="90" workbookViewId="0">
      <pane ySplit="14" topLeftCell="A115" activePane="bottomLeft" state="frozen"/>
      <selection pane="bottomLeft" activeCell="I86" sqref="I86"/>
    </sheetView>
  </sheetViews>
  <sheetFormatPr baseColWidth="10" defaultColWidth="9.33203125" defaultRowHeight="15" x14ac:dyDescent="0.2"/>
  <cols>
    <col min="1" max="1" width="56" style="2" customWidth="1"/>
    <col min="2" max="2" width="22.5" style="2" customWidth="1"/>
    <col min="3" max="3" width="13" style="2" customWidth="1"/>
    <col min="4" max="4" width="17.1640625" style="2" customWidth="1"/>
    <col min="5" max="5" width="14.1640625" style="2" customWidth="1"/>
    <col min="6" max="6" width="14.5" style="2" bestFit="1" customWidth="1"/>
    <col min="7" max="7" width="13" style="2" customWidth="1"/>
    <col min="8" max="8" width="64.1640625" style="2" customWidth="1"/>
    <col min="9" max="9" width="17.33203125" style="2" customWidth="1"/>
    <col min="10" max="10" width="16.83203125" style="2" customWidth="1"/>
    <col min="11" max="11" width="15.83203125" style="2" customWidth="1"/>
    <col min="12" max="12" width="16.5" style="2" customWidth="1"/>
    <col min="13" max="13" width="19.5" style="2" customWidth="1"/>
    <col min="14" max="14" width="40.5" style="243" customWidth="1"/>
    <col min="15" max="15" width="8" style="243" customWidth="1"/>
    <col min="16" max="16" width="8.1640625" style="243" customWidth="1"/>
    <col min="17" max="17" width="20.6640625" style="243" customWidth="1"/>
    <col min="18" max="19" width="5.6640625" style="243" customWidth="1"/>
    <col min="20" max="20" width="23.83203125" style="243" customWidth="1"/>
    <col min="21" max="22" width="5.6640625" style="243" customWidth="1"/>
    <col min="23" max="23" width="20.6640625" style="243" customWidth="1"/>
    <col min="24" max="25" width="5.6640625" style="243" customWidth="1"/>
    <col min="26" max="26" width="20.6640625" style="243" customWidth="1"/>
    <col min="27" max="28" width="5.6640625" style="243" customWidth="1"/>
    <col min="29" max="29" width="20.6640625" style="243" customWidth="1"/>
    <col min="30" max="31" width="5.6640625" style="243" customWidth="1"/>
    <col min="32" max="32" width="20.6640625" style="243" customWidth="1"/>
    <col min="33" max="34" width="5.6640625" style="243" customWidth="1"/>
    <col min="35" max="35" width="20.6640625" style="243" customWidth="1"/>
    <col min="36" max="37" width="5.6640625" style="243" customWidth="1"/>
    <col min="38" max="38" width="20.6640625" style="243" customWidth="1"/>
    <col min="39" max="41" width="5.6640625" style="243" customWidth="1"/>
    <col min="42" max="42" width="2.1640625" style="326" customWidth="1"/>
    <col min="43" max="43" width="47" style="243" bestFit="1" customWidth="1"/>
    <col min="44" max="46" width="5.6640625" style="243" customWidth="1"/>
    <col min="47" max="47" width="138.6640625" style="2" bestFit="1" customWidth="1"/>
    <col min="48" max="48" width="2.83203125" style="310" customWidth="1"/>
    <col min="49" max="49" width="138.6640625" style="2" customWidth="1"/>
    <col min="50" max="50" width="4.33203125" style="310" customWidth="1"/>
    <col min="51" max="51" width="74" style="2" bestFit="1" customWidth="1"/>
    <col min="52" max="52" width="9.33203125" style="2" customWidth="1"/>
    <col min="53" max="57" width="12.6640625" style="2" customWidth="1"/>
    <col min="58" max="58" width="1.1640625" style="2" customWidth="1"/>
    <col min="59" max="16384" width="9.33203125" style="2"/>
  </cols>
  <sheetData>
    <row r="1" spans="1:58" ht="16" x14ac:dyDescent="0.2">
      <c r="A1" s="29" t="s">
        <v>0</v>
      </c>
      <c r="B1" s="362" t="s">
        <v>417</v>
      </c>
      <c r="C1" s="362"/>
      <c r="D1" s="362"/>
      <c r="E1" s="362"/>
      <c r="F1" s="362"/>
      <c r="G1" s="362"/>
      <c r="H1" s="362"/>
      <c r="I1" s="30" t="s">
        <v>54</v>
      </c>
      <c r="J1" s="30" t="s">
        <v>53</v>
      </c>
      <c r="K1" s="30" t="s">
        <v>25</v>
      </c>
      <c r="L1" s="30" t="s">
        <v>26</v>
      </c>
      <c r="M1" s="259"/>
      <c r="N1" s="264" t="s">
        <v>395</v>
      </c>
      <c r="O1" s="264" t="str">
        <f>_xlfn.TRANSLATE(N1,"de","en")</f>
        <v>Example chosen</v>
      </c>
      <c r="P1" s="265"/>
      <c r="Q1" s="264" t="str">
        <f>Listen!G4</f>
        <v>Beispiel 1</v>
      </c>
      <c r="R1" s="264"/>
      <c r="S1" s="265"/>
      <c r="T1" s="264" t="str">
        <f>Listen!G5</f>
        <v>Beispiel 2</v>
      </c>
      <c r="U1" s="264"/>
      <c r="V1" s="265"/>
      <c r="W1" s="264" t="str">
        <f>Listen!G6</f>
        <v>Beispiel 3</v>
      </c>
      <c r="X1" s="264"/>
      <c r="Y1" s="265"/>
      <c r="Z1" s="264" t="str">
        <f>Listen!G7</f>
        <v>Beispiel 4</v>
      </c>
      <c r="AA1" s="264"/>
      <c r="AB1" s="265"/>
      <c r="AC1" s="264" t="str">
        <f>Listen!G8</f>
        <v>Beispiel 5</v>
      </c>
      <c r="AD1" s="264"/>
      <c r="AE1" s="265"/>
      <c r="AF1" s="264" t="str">
        <f>Listen!G9</f>
        <v>Beispiel 6</v>
      </c>
      <c r="AG1" s="264"/>
      <c r="AH1" s="265"/>
      <c r="AI1" s="264" t="str">
        <f>Listen!G10</f>
        <v>Beispiel 7</v>
      </c>
      <c r="AJ1" s="264"/>
      <c r="AK1" s="265"/>
      <c r="AL1" s="264" t="str">
        <f>Listen!G11</f>
        <v>Beispiel 8</v>
      </c>
      <c r="AM1" s="264"/>
      <c r="AN1" s="265"/>
      <c r="AO1" s="263"/>
      <c r="AP1" s="325"/>
      <c r="AQ1" s="321" t="str">
        <f>_xlfn.TRANSLATE(A1,"de","en")</f>
        <v>Inputs Profitability Calculation</v>
      </c>
      <c r="AY1" s="30" t="s">
        <v>386</v>
      </c>
      <c r="AZ1" s="30"/>
      <c r="BA1" s="30"/>
      <c r="BB1" s="30"/>
      <c r="BC1" s="30"/>
      <c r="BD1" s="30"/>
      <c r="BE1" s="30"/>
      <c r="BF1" s="30"/>
    </row>
    <row r="2" spans="1:58" x14ac:dyDescent="0.2">
      <c r="A2" s="252" t="str">
        <f>IF(_Debug_Modus=_JA,"DEBUG MODUS AKTIV","")</f>
        <v/>
      </c>
      <c r="I2" s="2" t="str">
        <f>_xlfn.TRANSLATE(I1,"de","en")</f>
        <v>HS Default Value 1</v>
      </c>
      <c r="J2" s="2" t="str">
        <f t="shared" ref="J2:L2" si="0">_xlfn.TRANSLATE(J1,"de","en")</f>
        <v>HS Default Value 2</v>
      </c>
      <c r="K2" s="2" t="str">
        <f t="shared" si="0"/>
        <v>HS Minimum Value</v>
      </c>
      <c r="L2" s="2" t="str">
        <f t="shared" si="0"/>
        <v>HS Maximum Value</v>
      </c>
      <c r="M2" s="36"/>
      <c r="N2" s="271" t="s">
        <v>392</v>
      </c>
      <c r="O2" s="381" t="s">
        <v>127</v>
      </c>
      <c r="P2" s="382"/>
      <c r="R2" s="243" t="str">
        <f>Q1</f>
        <v>Beispiel 1</v>
      </c>
      <c r="S2" s="273"/>
      <c r="U2" s="243" t="str">
        <f>T1</f>
        <v>Beispiel 2</v>
      </c>
      <c r="V2" s="273"/>
      <c r="X2" s="243" t="str">
        <f>W1</f>
        <v>Beispiel 3</v>
      </c>
      <c r="Y2" s="273"/>
      <c r="AA2" s="243" t="str">
        <f>Z1</f>
        <v>Beispiel 4</v>
      </c>
      <c r="AB2" s="273"/>
      <c r="AD2" s="243" t="str">
        <f>AC1</f>
        <v>Beispiel 5</v>
      </c>
      <c r="AE2" s="273"/>
      <c r="AG2" s="243" t="str">
        <f>AF1</f>
        <v>Beispiel 6</v>
      </c>
      <c r="AH2" s="273"/>
      <c r="AJ2" s="243" t="str">
        <f>AI1</f>
        <v>Beispiel 7</v>
      </c>
      <c r="AK2" s="273"/>
      <c r="AM2" s="243" t="str">
        <f>AL1</f>
        <v>Beispiel 8</v>
      </c>
      <c r="AN2" s="261"/>
      <c r="AQ2" s="66" t="str">
        <f t="shared" ref="AQ2:AQ65" si="1">_xlfn.TRANSLATE(A2,"de","en")</f>
        <v/>
      </c>
    </row>
    <row r="3" spans="1:58" x14ac:dyDescent="0.2">
      <c r="A3" s="31" t="s">
        <v>1</v>
      </c>
      <c r="B3" s="32"/>
      <c r="C3" s="32"/>
      <c r="D3" s="32"/>
      <c r="E3" s="32"/>
      <c r="F3" s="32"/>
      <c r="G3" s="32"/>
      <c r="H3" s="33"/>
      <c r="I3" s="322" t="str">
        <f>_xlfn.TRANSLATE(A3,"de","en")</f>
        <v>Project information</v>
      </c>
      <c r="M3" s="36"/>
      <c r="N3" s="272" t="s">
        <v>394</v>
      </c>
      <c r="O3" s="379" t="s">
        <v>378</v>
      </c>
      <c r="P3" s="380"/>
      <c r="S3" s="273" t="str">
        <f>R2</f>
        <v>Beispiel 1</v>
      </c>
      <c r="V3" s="273" t="str">
        <f>U2</f>
        <v>Beispiel 2</v>
      </c>
      <c r="Y3" s="273" t="str">
        <f>X2</f>
        <v>Beispiel 3</v>
      </c>
      <c r="AB3" s="273" t="str">
        <f>AA2</f>
        <v>Beispiel 4</v>
      </c>
      <c r="AE3" s="273" t="str">
        <f>AD2</f>
        <v>Beispiel 5</v>
      </c>
      <c r="AH3" s="273" t="str">
        <f>AG2</f>
        <v>Beispiel 6</v>
      </c>
      <c r="AK3" s="273" t="str">
        <f>AJ2</f>
        <v>Beispiel 7</v>
      </c>
      <c r="AN3" s="261" t="str">
        <f>AM2</f>
        <v>Beispiel 8</v>
      </c>
      <c r="AQ3" s="31" t="str">
        <f t="shared" si="1"/>
        <v>Project information</v>
      </c>
    </row>
    <row r="4" spans="1:58" x14ac:dyDescent="0.2">
      <c r="A4" s="34" t="s">
        <v>272</v>
      </c>
      <c r="B4" s="363"/>
      <c r="C4" s="363"/>
      <c r="D4" s="363"/>
      <c r="E4" s="363"/>
      <c r="F4" s="363"/>
      <c r="G4" s="363"/>
      <c r="H4" s="364"/>
      <c r="I4" s="323" t="str">
        <f t="shared" ref="I4:I11" si="2">_xlfn.TRANSLATE(A4,"de","en")</f>
        <v>Operator / Investor</v>
      </c>
      <c r="M4" s="36"/>
      <c r="N4" s="321" t="str">
        <f>_xlfn.TRANSLATE(N3,"de","en")</f>
        <v>Selection of the example</v>
      </c>
      <c r="P4" s="261"/>
      <c r="S4" s="261"/>
      <c r="V4" s="261"/>
      <c r="Y4" s="261"/>
      <c r="AB4" s="261"/>
      <c r="AE4" s="261"/>
      <c r="AH4" s="261"/>
      <c r="AK4" s="261"/>
      <c r="AN4" s="261"/>
      <c r="AQ4" s="34" t="str">
        <f t="shared" si="1"/>
        <v>Operator / Investor</v>
      </c>
    </row>
    <row r="5" spans="1:58" x14ac:dyDescent="0.2">
      <c r="A5" s="34" t="s">
        <v>64</v>
      </c>
      <c r="B5" s="360" t="s">
        <v>64</v>
      </c>
      <c r="C5" s="360"/>
      <c r="D5" s="360"/>
      <c r="E5" s="360"/>
      <c r="F5" s="35">
        <v>8.1</v>
      </c>
      <c r="G5" s="2" t="s">
        <v>67</v>
      </c>
      <c r="H5" s="39"/>
      <c r="I5" s="323" t="str">
        <f t="shared" si="2"/>
        <v>Subject to VAT</v>
      </c>
      <c r="M5" s="36"/>
      <c r="P5" s="261"/>
      <c r="S5" s="261"/>
      <c r="V5" s="261"/>
      <c r="Y5" s="261"/>
      <c r="AB5" s="261"/>
      <c r="AE5" s="261"/>
      <c r="AH5" s="261"/>
      <c r="AK5" s="261"/>
      <c r="AN5" s="261"/>
      <c r="AQ5" s="34" t="str">
        <f t="shared" si="1"/>
        <v>Subject to VAT</v>
      </c>
    </row>
    <row r="6" spans="1:58" x14ac:dyDescent="0.2">
      <c r="A6" s="34" t="s">
        <v>2</v>
      </c>
      <c r="B6" s="363"/>
      <c r="C6" s="363"/>
      <c r="D6" s="363"/>
      <c r="E6" s="363"/>
      <c r="F6" s="363"/>
      <c r="G6" s="363"/>
      <c r="H6" s="364"/>
      <c r="I6" s="323" t="str">
        <f t="shared" si="2"/>
        <v>Location</v>
      </c>
      <c r="M6" s="36"/>
      <c r="P6" s="261"/>
      <c r="S6" s="261"/>
      <c r="V6" s="261"/>
      <c r="Y6" s="261"/>
      <c r="AB6" s="261"/>
      <c r="AE6" s="261"/>
      <c r="AH6" s="261"/>
      <c r="AK6" s="261"/>
      <c r="AN6" s="261"/>
      <c r="AQ6" s="34" t="str">
        <f t="shared" si="1"/>
        <v>Location</v>
      </c>
    </row>
    <row r="7" spans="1:58" x14ac:dyDescent="0.2">
      <c r="A7" s="34" t="s">
        <v>3</v>
      </c>
      <c r="B7" s="363"/>
      <c r="C7" s="363"/>
      <c r="D7" s="363"/>
      <c r="E7" s="363"/>
      <c r="F7" s="363"/>
      <c r="G7" s="363"/>
      <c r="H7" s="364"/>
      <c r="I7" s="323" t="str">
        <f t="shared" si="2"/>
        <v>Project name</v>
      </c>
      <c r="M7" s="36"/>
      <c r="P7" s="261"/>
      <c r="S7" s="261"/>
      <c r="V7" s="261"/>
      <c r="Y7" s="261"/>
      <c r="AB7" s="261"/>
      <c r="AE7" s="261"/>
      <c r="AH7" s="261"/>
      <c r="AK7" s="261"/>
      <c r="AN7" s="261"/>
      <c r="AQ7" s="34" t="str">
        <f t="shared" si="1"/>
        <v>Project name</v>
      </c>
    </row>
    <row r="8" spans="1:58" x14ac:dyDescent="0.2">
      <c r="A8" s="34" t="s">
        <v>4</v>
      </c>
      <c r="B8" s="360"/>
      <c r="C8" s="360"/>
      <c r="D8" s="360"/>
      <c r="E8" s="360"/>
      <c r="F8" s="360"/>
      <c r="G8" s="360"/>
      <c r="H8" s="361"/>
      <c r="I8" s="323" t="str">
        <f t="shared" si="2"/>
        <v>Project number</v>
      </c>
      <c r="M8" s="36"/>
      <c r="P8" s="261"/>
      <c r="S8" s="261"/>
      <c r="V8" s="261"/>
      <c r="Y8" s="261"/>
      <c r="AB8" s="261"/>
      <c r="AE8" s="261"/>
      <c r="AH8" s="261"/>
      <c r="AK8" s="261"/>
      <c r="AN8" s="261"/>
      <c r="AQ8" s="34" t="str">
        <f t="shared" si="1"/>
        <v>Project number</v>
      </c>
    </row>
    <row r="9" spans="1:58" x14ac:dyDescent="0.2">
      <c r="A9" s="34" t="s">
        <v>6</v>
      </c>
      <c r="B9" s="360"/>
      <c r="C9" s="360"/>
      <c r="D9" s="360"/>
      <c r="E9" s="360"/>
      <c r="F9" s="360"/>
      <c r="G9" s="360"/>
      <c r="H9" s="361"/>
      <c r="I9" s="323" t="str">
        <f t="shared" si="2"/>
        <v>Project manager</v>
      </c>
      <c r="M9" s="36"/>
      <c r="P9" s="261"/>
      <c r="S9" s="261"/>
      <c r="V9" s="261"/>
      <c r="Y9" s="261"/>
      <c r="AB9" s="261"/>
      <c r="AE9" s="261"/>
      <c r="AH9" s="261"/>
      <c r="AK9" s="261"/>
      <c r="AN9" s="261"/>
      <c r="AQ9" s="34" t="str">
        <f t="shared" si="1"/>
        <v>Project manager</v>
      </c>
    </row>
    <row r="10" spans="1:58" x14ac:dyDescent="0.2">
      <c r="A10" s="34" t="s">
        <v>271</v>
      </c>
      <c r="B10" s="360"/>
      <c r="C10" s="360"/>
      <c r="D10" s="360"/>
      <c r="E10" s="360"/>
      <c r="F10" s="360"/>
      <c r="G10" s="360"/>
      <c r="H10" s="361"/>
      <c r="I10" s="323" t="str">
        <f t="shared" si="2"/>
        <v>Common carrier</v>
      </c>
      <c r="M10" s="36"/>
      <c r="P10" s="261"/>
      <c r="S10" s="261"/>
      <c r="V10" s="261"/>
      <c r="Y10" s="261"/>
      <c r="AB10" s="261"/>
      <c r="AE10" s="261"/>
      <c r="AH10" s="261"/>
      <c r="AK10" s="261"/>
      <c r="AN10" s="261"/>
      <c r="AQ10" s="34" t="str">
        <f t="shared" si="1"/>
        <v>Common carrier</v>
      </c>
    </row>
    <row r="11" spans="1:58" ht="43" customHeight="1" x14ac:dyDescent="0.2">
      <c r="A11" s="171" t="s">
        <v>5</v>
      </c>
      <c r="B11" s="383"/>
      <c r="C11" s="384"/>
      <c r="D11" s="384"/>
      <c r="E11" s="384"/>
      <c r="F11" s="384"/>
      <c r="G11" s="384"/>
      <c r="H11" s="385"/>
      <c r="I11" s="323" t="str">
        <f t="shared" si="2"/>
        <v>Remarks</v>
      </c>
      <c r="M11" s="36"/>
      <c r="N11" s="251"/>
      <c r="O11" s="251"/>
      <c r="P11" s="262"/>
      <c r="Q11" s="274" t="s">
        <v>390</v>
      </c>
      <c r="R11" s="274"/>
      <c r="S11" s="275"/>
      <c r="T11" s="274" t="s">
        <v>389</v>
      </c>
      <c r="U11" s="274"/>
      <c r="V11" s="275"/>
      <c r="W11" s="274" t="s">
        <v>388</v>
      </c>
      <c r="X11" s="274"/>
      <c r="Y11" s="275"/>
      <c r="Z11" s="274" t="s">
        <v>402</v>
      </c>
      <c r="AA11" s="274"/>
      <c r="AB11" s="275"/>
      <c r="AC11" s="274" t="s">
        <v>430</v>
      </c>
      <c r="AD11" s="274"/>
      <c r="AE11" s="275"/>
      <c r="AF11" s="274"/>
      <c r="AG11" s="274"/>
      <c r="AH11" s="275"/>
      <c r="AI11" s="274"/>
      <c r="AJ11" s="274"/>
      <c r="AK11" s="275"/>
      <c r="AL11" s="274"/>
      <c r="AM11" s="274"/>
      <c r="AN11" s="275"/>
      <c r="AO11" s="251"/>
      <c r="AP11" s="327"/>
      <c r="AQ11" s="171" t="str">
        <f t="shared" si="1"/>
        <v>Remarks</v>
      </c>
      <c r="AR11" s="251"/>
      <c r="AS11" s="251"/>
      <c r="AT11" s="251"/>
    </row>
    <row r="12" spans="1:58" x14ac:dyDescent="0.2">
      <c r="A12" s="37" t="s">
        <v>523</v>
      </c>
      <c r="B12" s="165">
        <v>0.5</v>
      </c>
      <c r="C12" s="67">
        <f>IF(B12="",I12,B12)</f>
        <v>0.5</v>
      </c>
      <c r="D12" s="51" t="s">
        <v>18</v>
      </c>
      <c r="E12" s="52" t="s">
        <v>524</v>
      </c>
      <c r="F12" s="51"/>
      <c r="G12" s="53"/>
      <c r="H12" s="53"/>
      <c r="I12" s="21">
        <v>0.5</v>
      </c>
      <c r="M12" s="36"/>
      <c r="P12" s="261"/>
      <c r="Q12" s="208"/>
      <c r="R12" s="208"/>
      <c r="S12" s="276"/>
      <c r="T12" s="208"/>
      <c r="U12" s="208"/>
      <c r="V12" s="276"/>
      <c r="W12" s="208"/>
      <c r="X12" s="208"/>
      <c r="Y12" s="276"/>
      <c r="Z12" s="208"/>
      <c r="AA12" s="208"/>
      <c r="AB12" s="276"/>
      <c r="AC12" s="208"/>
      <c r="AD12" s="208"/>
      <c r="AE12" s="276"/>
      <c r="AF12" s="208"/>
      <c r="AG12" s="208"/>
      <c r="AH12" s="276"/>
      <c r="AI12" s="208"/>
      <c r="AJ12" s="208"/>
      <c r="AK12" s="276"/>
      <c r="AL12" s="208"/>
      <c r="AM12" s="208"/>
      <c r="AN12" s="276"/>
      <c r="AQ12" s="37" t="str">
        <f t="shared" si="1"/>
        <v>Inflation rate</v>
      </c>
    </row>
    <row r="13" spans="1:58" x14ac:dyDescent="0.2">
      <c r="M13" s="36"/>
      <c r="P13" s="261"/>
      <c r="Q13" s="208"/>
      <c r="R13" s="208"/>
      <c r="S13" s="276"/>
      <c r="T13" s="208"/>
      <c r="U13" s="208"/>
      <c r="V13" s="276"/>
      <c r="W13" s="208"/>
      <c r="X13" s="208"/>
      <c r="Y13" s="276"/>
      <c r="Z13" s="208"/>
      <c r="AA13" s="208"/>
      <c r="AB13" s="276"/>
      <c r="AC13" s="208"/>
      <c r="AD13" s="208"/>
      <c r="AE13" s="276"/>
      <c r="AF13" s="208"/>
      <c r="AG13" s="208"/>
      <c r="AH13" s="276"/>
      <c r="AI13" s="208"/>
      <c r="AJ13" s="208"/>
      <c r="AK13" s="276"/>
      <c r="AL13" s="208"/>
      <c r="AM13" s="208"/>
      <c r="AN13" s="276"/>
      <c r="AQ13" s="2" t="str">
        <f t="shared" si="1"/>
        <v/>
      </c>
    </row>
    <row r="14" spans="1:58" x14ac:dyDescent="0.2">
      <c r="B14" s="3" t="s">
        <v>27</v>
      </c>
      <c r="C14" s="3" t="s">
        <v>22</v>
      </c>
      <c r="M14" s="36"/>
      <c r="P14" s="261"/>
      <c r="Q14" s="208"/>
      <c r="R14" s="208"/>
      <c r="S14" s="276"/>
      <c r="T14" s="208"/>
      <c r="U14" s="208"/>
      <c r="V14" s="276"/>
      <c r="W14" s="208"/>
      <c r="X14" s="208"/>
      <c r="Y14" s="276"/>
      <c r="Z14" s="208"/>
      <c r="AA14" s="208"/>
      <c r="AB14" s="276"/>
      <c r="AC14" s="208"/>
      <c r="AD14" s="208"/>
      <c r="AE14" s="276"/>
      <c r="AF14" s="208"/>
      <c r="AG14" s="208"/>
      <c r="AH14" s="276"/>
      <c r="AI14" s="208"/>
      <c r="AJ14" s="208"/>
      <c r="AK14" s="276"/>
      <c r="AL14" s="208"/>
      <c r="AM14" s="208"/>
      <c r="AN14" s="276"/>
      <c r="AQ14" s="2" t="str">
        <f t="shared" si="1"/>
        <v/>
      </c>
      <c r="AU14" s="324" t="s">
        <v>457</v>
      </c>
      <c r="AV14" s="311"/>
      <c r="AW14" s="324" t="str">
        <f>_xlfn.TRANSLATE(AU14,"de","en")</f>
        <v>Description of the proposed calculation value</v>
      </c>
    </row>
    <row r="15" spans="1:58" ht="17" thickBot="1" x14ac:dyDescent="0.25">
      <c r="A15" s="31" t="s">
        <v>131</v>
      </c>
      <c r="B15" s="32"/>
      <c r="C15" s="32"/>
      <c r="D15" s="32"/>
      <c r="E15" s="31" t="s">
        <v>462</v>
      </c>
      <c r="F15" s="32"/>
      <c r="G15" s="32"/>
      <c r="H15" s="329" t="str">
        <f>_xlfn.TRANSLATE(E15,"De","En")</f>
        <v>Auxiliary calculation via module power</v>
      </c>
      <c r="M15" s="36"/>
      <c r="N15" s="7" t="str">
        <f t="shared" ref="N15:N56" si="3">IF(_xlfn.XLOOKUP($O$3,$Q$1:$AN$1,Q15:AN15,"-",0,1)&lt;&gt;"",_xlfn.XLOOKUP($O$3,$Q$1:$AN$1,Q15:AN15,"-",0,1),"")</f>
        <v/>
      </c>
      <c r="O15" s="7" t="str">
        <f t="shared" ref="O15:O49" si="4">IF(_xlfn.XLOOKUP($O$3,$Q$2:$AN$2,Q15:AN15,"-",0,1)&lt;&gt;"",_xlfn.XLOOKUP($O$3,$Q$2:$AN$2,Q15:AN15,"-",0,1),"")</f>
        <v/>
      </c>
      <c r="P15" s="273" t="str">
        <f t="shared" ref="P15:P49" si="5">IF(_xlfn.XLOOKUP($O$3,$Q$3:$AN$3,Q15:AN15,"-",0,1)&lt;&gt;"",_xlfn.XLOOKUP($O$3,$Q$3:$AN$3,Q15:AN15,"-",0,1),"")</f>
        <v/>
      </c>
      <c r="Q15" s="277"/>
      <c r="R15" s="277"/>
      <c r="S15" s="278"/>
      <c r="T15" s="277"/>
      <c r="U15" s="277"/>
      <c r="V15" s="278"/>
      <c r="W15" s="277"/>
      <c r="X15" s="277"/>
      <c r="Y15" s="278"/>
      <c r="Z15" s="277"/>
      <c r="AA15" s="277"/>
      <c r="AB15" s="278"/>
      <c r="AC15" s="277"/>
      <c r="AD15" s="277"/>
      <c r="AE15" s="278"/>
      <c r="AF15" s="277"/>
      <c r="AG15" s="277"/>
      <c r="AH15" s="278"/>
      <c r="AI15" s="277"/>
      <c r="AJ15" s="277"/>
      <c r="AK15" s="278"/>
      <c r="AL15" s="277"/>
      <c r="AM15" s="277"/>
      <c r="AN15" s="278"/>
      <c r="AQ15" s="31" t="str">
        <f t="shared" si="1"/>
        <v>System data PVA</v>
      </c>
      <c r="AU15" s="6"/>
      <c r="AW15" s="6" t="str">
        <f t="shared" ref="AW15:AW78" si="6">_xlfn.TRANSLATE(AU15,"de","en")</f>
        <v/>
      </c>
      <c r="AY15" s="244" t="s">
        <v>118</v>
      </c>
      <c r="AZ15" s="245"/>
      <c r="BA15" s="245"/>
      <c r="BB15" s="245"/>
      <c r="BC15" s="245"/>
      <c r="BD15" s="245"/>
      <c r="BE15" s="245"/>
      <c r="BF15" s="245"/>
    </row>
    <row r="16" spans="1:58" x14ac:dyDescent="0.2">
      <c r="A16" s="34" t="s">
        <v>8</v>
      </c>
      <c r="B16" s="208" t="s">
        <v>341</v>
      </c>
      <c r="C16" s="38"/>
      <c r="D16" s="38"/>
      <c r="E16" s="34" t="s">
        <v>525</v>
      </c>
      <c r="F16" s="38" t="s">
        <v>268</v>
      </c>
      <c r="G16" s="375" t="s">
        <v>397</v>
      </c>
      <c r="H16" s="376"/>
      <c r="M16" s="36"/>
      <c r="N16" s="7" t="str">
        <f t="shared" si="3"/>
        <v>Dach Angebaut</v>
      </c>
      <c r="O16" s="7" t="str">
        <f t="shared" si="4"/>
        <v/>
      </c>
      <c r="P16" s="273" t="str">
        <f t="shared" si="5"/>
        <v/>
      </c>
      <c r="Q16" s="277" t="s">
        <v>383</v>
      </c>
      <c r="R16" s="277"/>
      <c r="S16" s="278"/>
      <c r="T16" s="277" t="s">
        <v>387</v>
      </c>
      <c r="U16" s="277"/>
      <c r="V16" s="278"/>
      <c r="W16" s="277" t="s">
        <v>383</v>
      </c>
      <c r="X16" s="277"/>
      <c r="Y16" s="278"/>
      <c r="Z16" s="277" t="s">
        <v>383</v>
      </c>
      <c r="AA16" s="277"/>
      <c r="AB16" s="278"/>
      <c r="AC16" s="277" t="s">
        <v>383</v>
      </c>
      <c r="AD16" s="277"/>
      <c r="AE16" s="278"/>
      <c r="AF16" s="277"/>
      <c r="AG16" s="277"/>
      <c r="AH16" s="278"/>
      <c r="AI16" s="277"/>
      <c r="AJ16" s="277"/>
      <c r="AK16" s="278"/>
      <c r="AL16" s="277"/>
      <c r="AM16" s="277"/>
      <c r="AN16" s="278"/>
      <c r="AQ16" s="34" t="str">
        <f t="shared" si="1"/>
        <v>Investment category</v>
      </c>
      <c r="AU16" s="6"/>
      <c r="AW16" s="6" t="str">
        <f t="shared" si="6"/>
        <v/>
      </c>
      <c r="AY16" s="243"/>
      <c r="AZ16" s="243"/>
      <c r="BA16" s="243"/>
      <c r="BB16" s="243"/>
      <c r="BC16" s="243"/>
      <c r="BD16" s="243"/>
      <c r="BE16" s="243"/>
      <c r="BF16" s="243"/>
    </row>
    <row r="17" spans="1:58" x14ac:dyDescent="0.2">
      <c r="A17" s="34" t="s">
        <v>9</v>
      </c>
      <c r="B17" s="40"/>
      <c r="C17" s="41">
        <f>IF(B17="",IF(AND(_Debug_Modus=_JA,N17&lt;&gt;""),N17,I17),B17)</f>
        <v>4.5</v>
      </c>
      <c r="D17" s="38" t="s">
        <v>15</v>
      </c>
      <c r="E17" s="230">
        <v>10</v>
      </c>
      <c r="F17" s="57">
        <v>450</v>
      </c>
      <c r="G17" s="377">
        <f>E17*F17/1000</f>
        <v>4.5</v>
      </c>
      <c r="H17" s="378"/>
      <c r="I17" s="344">
        <f>G17</f>
        <v>4.5</v>
      </c>
      <c r="M17" s="36"/>
      <c r="N17" s="7">
        <f t="shared" si="3"/>
        <v>90.16</v>
      </c>
      <c r="O17" s="7" t="str">
        <f t="shared" si="4"/>
        <v/>
      </c>
      <c r="P17" s="273" t="str">
        <f t="shared" si="5"/>
        <v/>
      </c>
      <c r="Q17" s="277">
        <v>10.01</v>
      </c>
      <c r="R17" s="277"/>
      <c r="S17" s="278"/>
      <c r="T17" s="277">
        <v>10.01</v>
      </c>
      <c r="U17" s="277"/>
      <c r="V17" s="278"/>
      <c r="W17" s="277">
        <v>90.16</v>
      </c>
      <c r="X17" s="277"/>
      <c r="Y17" s="278"/>
      <c r="Z17" s="277">
        <v>90.16</v>
      </c>
      <c r="AA17" s="277"/>
      <c r="AB17" s="278"/>
      <c r="AC17" s="277">
        <v>90.16</v>
      </c>
      <c r="AD17" s="277"/>
      <c r="AE17" s="278"/>
      <c r="AF17" s="277"/>
      <c r="AG17" s="277"/>
      <c r="AH17" s="278"/>
      <c r="AI17" s="277"/>
      <c r="AJ17" s="277"/>
      <c r="AK17" s="278"/>
      <c r="AL17" s="277"/>
      <c r="AM17" s="277"/>
      <c r="AN17" s="278"/>
      <c r="AQ17" s="34" t="str">
        <f t="shared" si="1"/>
        <v>Nominal plant capacity</v>
      </c>
      <c r="AU17" s="6"/>
      <c r="AW17" s="6" t="str">
        <f t="shared" si="6"/>
        <v/>
      </c>
      <c r="AY17" s="12" t="s">
        <v>219</v>
      </c>
      <c r="AZ17" s="243"/>
      <c r="BA17" s="243"/>
      <c r="BB17" s="369"/>
      <c r="BC17" s="369"/>
      <c r="BD17" s="369"/>
      <c r="BE17" s="369"/>
      <c r="BF17" s="369"/>
    </row>
    <row r="18" spans="1:58" x14ac:dyDescent="0.2">
      <c r="A18" s="34" t="s">
        <v>69</v>
      </c>
      <c r="B18" s="196"/>
      <c r="C18" s="42">
        <f>IF(B18="",IF(AND(_Debug_Modus=_JA,N18&lt;&gt;""),N18,I18),B18)</f>
        <v>18.75</v>
      </c>
      <c r="D18" s="38" t="s">
        <v>70</v>
      </c>
      <c r="E18" s="38"/>
      <c r="F18" s="38"/>
      <c r="G18" s="38"/>
      <c r="H18" s="39"/>
      <c r="I18" s="21">
        <f>_Anlagenleistung/0.24</f>
        <v>18.75</v>
      </c>
      <c r="M18" s="36"/>
      <c r="N18" s="7" t="str">
        <f t="shared" si="3"/>
        <v/>
      </c>
      <c r="O18" s="7" t="str">
        <f t="shared" si="4"/>
        <v/>
      </c>
      <c r="P18" s="273" t="str">
        <f t="shared" si="5"/>
        <v/>
      </c>
      <c r="Q18" s="277"/>
      <c r="R18" s="277"/>
      <c r="S18" s="278"/>
      <c r="T18" s="277">
        <v>50</v>
      </c>
      <c r="U18" s="277"/>
      <c r="V18" s="278"/>
      <c r="W18" s="277"/>
      <c r="X18" s="277"/>
      <c r="Y18" s="278"/>
      <c r="Z18" s="277"/>
      <c r="AA18" s="277"/>
      <c r="AB18" s="278"/>
      <c r="AC18" s="277"/>
      <c r="AD18" s="277"/>
      <c r="AE18" s="278"/>
      <c r="AF18" s="277"/>
      <c r="AG18" s="277"/>
      <c r="AH18" s="278"/>
      <c r="AI18" s="277"/>
      <c r="AJ18" s="277"/>
      <c r="AK18" s="278"/>
      <c r="AL18" s="277"/>
      <c r="AM18" s="277"/>
      <c r="AN18" s="278"/>
      <c r="AQ18" s="34" t="str">
        <f t="shared" si="1"/>
        <v>Area of PV system</v>
      </c>
      <c r="AU18" s="6" t="s">
        <v>446</v>
      </c>
      <c r="AW18" s="6" t="str">
        <f t="shared" si="6"/>
        <v>Area is calculated as 240 W/m2</v>
      </c>
      <c r="AY18" s="12"/>
      <c r="AZ18" s="243"/>
      <c r="BA18" s="243"/>
      <c r="BB18" s="369" t="s">
        <v>123</v>
      </c>
      <c r="BC18" s="369"/>
      <c r="BD18" s="369"/>
      <c r="BE18" s="369"/>
      <c r="BF18" s="369"/>
    </row>
    <row r="19" spans="1:58" x14ac:dyDescent="0.2">
      <c r="A19" s="34" t="s">
        <v>33</v>
      </c>
      <c r="B19" s="43"/>
      <c r="C19" s="44">
        <f ca="1">IF(IF(B19="",IF(AND(_Debug_Modus=_JA,N19&lt;&gt;""),N19,I19),B19)&lt;K19,K19,IF(IF(B19="",IF(AND(_Debug_Modus=_JA,N19&lt;&gt;""),N19,I19),B19)&gt;L19,L19,IF(B19="",IF(AND(_Debug_Modus=_JA,N19&lt;&gt;""),N19,I19),B19)))</f>
        <v>2025</v>
      </c>
      <c r="D19" s="38"/>
      <c r="E19" s="38"/>
      <c r="F19" s="38"/>
      <c r="G19" s="38"/>
      <c r="H19" s="39"/>
      <c r="I19" s="21">
        <f ca="1">YEAR(TODAY())</f>
        <v>2025</v>
      </c>
      <c r="K19" s="21">
        <v>2022</v>
      </c>
      <c r="L19" s="21">
        <v>2100</v>
      </c>
      <c r="M19" s="36"/>
      <c r="N19" s="7" t="str">
        <f t="shared" si="3"/>
        <v/>
      </c>
      <c r="O19" s="7" t="str">
        <f t="shared" si="4"/>
        <v/>
      </c>
      <c r="P19" s="273" t="str">
        <f t="shared" si="5"/>
        <v/>
      </c>
      <c r="Q19" s="277"/>
      <c r="R19" s="277"/>
      <c r="S19" s="278"/>
      <c r="T19" s="277"/>
      <c r="U19" s="277"/>
      <c r="V19" s="278"/>
      <c r="W19" s="277"/>
      <c r="X19" s="277"/>
      <c r="Y19" s="278"/>
      <c r="Z19" s="277"/>
      <c r="AA19" s="277"/>
      <c r="AB19" s="278"/>
      <c r="AC19" s="277"/>
      <c r="AD19" s="277"/>
      <c r="AE19" s="278"/>
      <c r="AF19" s="277"/>
      <c r="AG19" s="277"/>
      <c r="AH19" s="278"/>
      <c r="AI19" s="277"/>
      <c r="AJ19" s="277"/>
      <c r="AK19" s="278"/>
      <c r="AL19" s="277"/>
      <c r="AM19" s="277"/>
      <c r="AN19" s="278"/>
      <c r="AQ19" s="34" t="str">
        <f t="shared" si="1"/>
        <v>Year of commissioning</v>
      </c>
      <c r="AU19" s="6" t="s">
        <v>292</v>
      </c>
      <c r="AW19" s="6" t="str">
        <f t="shared" si="6"/>
        <v>always current year</v>
      </c>
      <c r="AY19" s="12"/>
      <c r="AZ19" s="243"/>
      <c r="BA19" s="246" t="str">
        <f>_Projektrendite</f>
        <v>--</v>
      </c>
      <c r="BB19" s="7">
        <v>0</v>
      </c>
      <c r="BC19" s="7">
        <v>0.5</v>
      </c>
      <c r="BD19" s="7">
        <v>1</v>
      </c>
      <c r="BE19" s="7">
        <v>2</v>
      </c>
      <c r="BF19" s="7">
        <v>3</v>
      </c>
    </row>
    <row r="20" spans="1:58" ht="15" customHeight="1" x14ac:dyDescent="0.2">
      <c r="A20" s="34" t="s">
        <v>10</v>
      </c>
      <c r="B20" s="43"/>
      <c r="C20" s="44">
        <f>IF(IF(B20="",IF(AND(_Debug_Modus=_JA,N20&lt;&gt;""),N20,I20),B20)&lt;K20,K20,IF(IF(B20="",IF(AND(_Debug_Modus=_JA,N20&lt;&gt;""),N20,I20),B20)&gt;L20,L20,IF(B20="",IF(AND(_Debug_Modus=_JA,N20&lt;&gt;""),N20,I20),B20)))</f>
        <v>30</v>
      </c>
      <c r="D20" s="38" t="s">
        <v>16</v>
      </c>
      <c r="E20" s="38"/>
      <c r="F20" s="38"/>
      <c r="G20" s="38"/>
      <c r="H20" s="39"/>
      <c r="I20" s="21">
        <v>30</v>
      </c>
      <c r="K20" s="21">
        <v>0</v>
      </c>
      <c r="L20" s="21">
        <v>45</v>
      </c>
      <c r="M20" s="36"/>
      <c r="N20" s="7">
        <f t="shared" si="3"/>
        <v>25</v>
      </c>
      <c r="O20" s="7" t="str">
        <f t="shared" si="4"/>
        <v/>
      </c>
      <c r="P20" s="273" t="str">
        <f t="shared" si="5"/>
        <v/>
      </c>
      <c r="Q20" s="277"/>
      <c r="R20" s="277"/>
      <c r="S20" s="278"/>
      <c r="T20" s="277">
        <v>30</v>
      </c>
      <c r="U20" s="277"/>
      <c r="V20" s="278"/>
      <c r="W20" s="277">
        <v>25</v>
      </c>
      <c r="X20" s="277"/>
      <c r="Y20" s="278"/>
      <c r="Z20" s="277">
        <v>25</v>
      </c>
      <c r="AA20" s="277"/>
      <c r="AB20" s="278"/>
      <c r="AC20" s="277">
        <v>25</v>
      </c>
      <c r="AD20" s="277"/>
      <c r="AE20" s="278"/>
      <c r="AF20" s="277"/>
      <c r="AG20" s="277"/>
      <c r="AH20" s="278"/>
      <c r="AI20" s="277"/>
      <c r="AJ20" s="277"/>
      <c r="AK20" s="278"/>
      <c r="AL20" s="277"/>
      <c r="AM20" s="277"/>
      <c r="AN20" s="278"/>
      <c r="AQ20" s="34" t="str">
        <f t="shared" si="1"/>
        <v>System service life</v>
      </c>
      <c r="AU20" s="6" t="s">
        <v>293</v>
      </c>
      <c r="AW20" s="6" t="str">
        <f t="shared" si="6"/>
        <v>Fixed assumption of 30 years according to empirical values</v>
      </c>
      <c r="AY20" s="374" t="s">
        <v>23</v>
      </c>
      <c r="AZ20" s="374"/>
      <c r="BA20" s="247">
        <v>25</v>
      </c>
      <c r="BB20" s="246" t="str">
        <f t="dataTable" ref="BB20:BF23" dt2D="1" dtr="1" r1="B12" r2="B20" ca="1"/>
        <v>--</v>
      </c>
      <c r="BC20" s="246" t="str">
        <v>--</v>
      </c>
      <c r="BD20" s="246" t="str">
        <v>--</v>
      </c>
      <c r="BE20" s="246" t="str">
        <v>--</v>
      </c>
      <c r="BF20" s="246" t="str">
        <v>--</v>
      </c>
    </row>
    <row r="21" spans="1:58" x14ac:dyDescent="0.2">
      <c r="A21" s="34" t="s">
        <v>11</v>
      </c>
      <c r="B21" s="45"/>
      <c r="C21" s="46">
        <f>IF(B21="",IF(AND(_Debug_Modus=_JA,N21&lt;&gt;""),N21,I21),B21)</f>
        <v>1000</v>
      </c>
      <c r="D21" s="38" t="s">
        <v>17</v>
      </c>
      <c r="E21" s="54" t="s">
        <v>511</v>
      </c>
      <c r="F21" s="38"/>
      <c r="G21" s="38"/>
      <c r="H21" s="39"/>
      <c r="I21" s="21">
        <f>IF(OR(_Anlagekategorie=_Fassade_angebaut,_Anlagekategorie=_Fassade_integriert),800,1000)</f>
        <v>1000</v>
      </c>
      <c r="M21" s="36"/>
      <c r="N21" s="7">
        <f t="shared" si="3"/>
        <v>950</v>
      </c>
      <c r="O21" s="7" t="str">
        <f t="shared" si="4"/>
        <v/>
      </c>
      <c r="P21" s="273" t="str">
        <f t="shared" si="5"/>
        <v/>
      </c>
      <c r="Q21" s="277">
        <v>950</v>
      </c>
      <c r="R21" s="277"/>
      <c r="S21" s="278"/>
      <c r="T21" s="277">
        <v>950</v>
      </c>
      <c r="U21" s="277"/>
      <c r="V21" s="278"/>
      <c r="W21" s="277">
        <v>950</v>
      </c>
      <c r="X21" s="277"/>
      <c r="Y21" s="278"/>
      <c r="Z21" s="277">
        <v>950</v>
      </c>
      <c r="AA21" s="277"/>
      <c r="AB21" s="278"/>
      <c r="AC21" s="277">
        <v>950</v>
      </c>
      <c r="AD21" s="277"/>
      <c r="AE21" s="278"/>
      <c r="AF21" s="277"/>
      <c r="AG21" s="277"/>
      <c r="AH21" s="278"/>
      <c r="AI21" s="277"/>
      <c r="AJ21" s="277"/>
      <c r="AK21" s="278"/>
      <c r="AL21" s="277"/>
      <c r="AM21" s="277"/>
      <c r="AN21" s="278"/>
      <c r="AQ21" s="34" t="str">
        <f t="shared" si="1"/>
        <v>spec. Annual energy yield</v>
      </c>
      <c r="AU21" s="6" t="s">
        <v>294</v>
      </c>
      <c r="AW21" s="6" t="str">
        <f t="shared" si="6"/>
        <v>Average Spec. Annual yield of 1,000 kWh/kWp without taking into account location, orientation, inclination and shading</v>
      </c>
      <c r="AY21" s="374"/>
      <c r="AZ21" s="374"/>
      <c r="BA21" s="247">
        <v>30</v>
      </c>
      <c r="BB21" s="246" t="str">
        <v>--</v>
      </c>
      <c r="BC21" s="246" t="str">
        <v>--</v>
      </c>
      <c r="BD21" s="246" t="str">
        <v>--</v>
      </c>
      <c r="BE21" s="246" t="str">
        <v>--</v>
      </c>
      <c r="BF21" s="246" t="str">
        <v>--</v>
      </c>
    </row>
    <row r="22" spans="1:58" x14ac:dyDescent="0.2">
      <c r="A22" s="34" t="s">
        <v>512</v>
      </c>
      <c r="B22" s="61"/>
      <c r="C22" s="46">
        <f>_Anlagenleistung*_spez_Jahresenergieertrag</f>
        <v>4500</v>
      </c>
      <c r="D22" s="38" t="s">
        <v>117</v>
      </c>
      <c r="E22" s="54" t="s">
        <v>511</v>
      </c>
      <c r="F22" s="38"/>
      <c r="G22" s="38"/>
      <c r="H22" s="39"/>
      <c r="I22" s="21"/>
      <c r="M22" s="36"/>
      <c r="N22" s="7"/>
      <c r="O22" s="7"/>
      <c r="P22" s="273"/>
      <c r="Q22" s="277"/>
      <c r="R22" s="277"/>
      <c r="S22" s="278"/>
      <c r="T22" s="277"/>
      <c r="U22" s="277"/>
      <c r="V22" s="278"/>
      <c r="W22" s="277"/>
      <c r="X22" s="277"/>
      <c r="Y22" s="278"/>
      <c r="Z22" s="277"/>
      <c r="AA22" s="277"/>
      <c r="AB22" s="278"/>
      <c r="AC22" s="277"/>
      <c r="AD22" s="277"/>
      <c r="AE22" s="278"/>
      <c r="AF22" s="277"/>
      <c r="AG22" s="277"/>
      <c r="AH22" s="278"/>
      <c r="AI22" s="277"/>
      <c r="AJ22" s="277"/>
      <c r="AK22" s="278"/>
      <c r="AL22" s="277"/>
      <c r="AM22" s="277"/>
      <c r="AN22" s="278"/>
      <c r="AQ22" s="34" t="str">
        <f t="shared" si="1"/>
        <v>Annual energy yield</v>
      </c>
      <c r="AU22" s="6"/>
      <c r="AW22" s="6" t="str">
        <f t="shared" si="6"/>
        <v/>
      </c>
      <c r="AY22" s="374"/>
      <c r="AZ22" s="374"/>
      <c r="BA22" s="247">
        <v>35</v>
      </c>
      <c r="BB22" s="246" t="str">
        <v>--</v>
      </c>
      <c r="BC22" s="246" t="str">
        <v>--</v>
      </c>
      <c r="BD22" s="246" t="str">
        <v>--</v>
      </c>
      <c r="BE22" s="246" t="str">
        <v>--</v>
      </c>
      <c r="BF22" s="246" t="str">
        <v>--</v>
      </c>
    </row>
    <row r="23" spans="1:58" x14ac:dyDescent="0.2">
      <c r="A23" s="37" t="s">
        <v>12</v>
      </c>
      <c r="B23" s="62"/>
      <c r="C23" s="170">
        <f>IF(B23="",IF(AND(_Debug_Modus=_JA,N23&lt;&gt;""),N23,I23),B23)</f>
        <v>0.4</v>
      </c>
      <c r="D23" s="51" t="s">
        <v>18</v>
      </c>
      <c r="E23" s="51"/>
      <c r="F23" s="51"/>
      <c r="G23" s="51"/>
      <c r="H23" s="53"/>
      <c r="I23" s="21">
        <v>0.4</v>
      </c>
      <c r="M23" s="36"/>
      <c r="N23" s="7">
        <f>IF(_xlfn.XLOOKUP($O$3,$Q$1:$AN$1,Q23:AN23,"-",0,1)&lt;&gt;"",_xlfn.XLOOKUP($O$3,$Q$1:$AN$1,Q23:AN23,"-",0,1),"")</f>
        <v>0.5</v>
      </c>
      <c r="O23" s="7" t="str">
        <f t="shared" si="4"/>
        <v/>
      </c>
      <c r="P23" s="273" t="str">
        <f t="shared" si="5"/>
        <v/>
      </c>
      <c r="Q23" s="277">
        <v>0.6</v>
      </c>
      <c r="R23" s="277"/>
      <c r="S23" s="278"/>
      <c r="T23" s="277">
        <v>0.6</v>
      </c>
      <c r="U23" s="277"/>
      <c r="V23" s="278"/>
      <c r="W23" s="277">
        <v>0.5</v>
      </c>
      <c r="X23" s="277"/>
      <c r="Y23" s="278"/>
      <c r="Z23" s="277">
        <v>0.5</v>
      </c>
      <c r="AA23" s="277"/>
      <c r="AB23" s="278"/>
      <c r="AC23" s="277">
        <v>0.5</v>
      </c>
      <c r="AD23" s="277"/>
      <c r="AE23" s="278"/>
      <c r="AF23" s="277"/>
      <c r="AG23" s="277"/>
      <c r="AH23" s="278"/>
      <c r="AI23" s="277"/>
      <c r="AJ23" s="277"/>
      <c r="AK23" s="278"/>
      <c r="AL23" s="277"/>
      <c r="AM23" s="277"/>
      <c r="AN23" s="278"/>
      <c r="AQ23" s="37" t="str">
        <f t="shared" si="1"/>
        <v>Degradation</v>
      </c>
      <c r="AU23" s="6" t="s">
        <v>295</v>
      </c>
      <c r="AW23" s="6" t="str">
        <f t="shared" si="6"/>
        <v>Corresponds to a degradation of 10 % in 25 years and is within the range of the specifications of the module manufacturers (performance guarantee)</v>
      </c>
      <c r="AY23" s="374"/>
      <c r="AZ23" s="374"/>
      <c r="BA23" s="247">
        <v>40</v>
      </c>
      <c r="BB23" s="246" t="str">
        <v>--</v>
      </c>
      <c r="BC23" s="246" t="str">
        <v>--</v>
      </c>
      <c r="BD23" s="246" t="str">
        <v>--</v>
      </c>
      <c r="BE23" s="246" t="str">
        <v>--</v>
      </c>
      <c r="BF23" s="246" t="str">
        <v>--</v>
      </c>
    </row>
    <row r="24" spans="1:58" x14ac:dyDescent="0.2">
      <c r="A24" s="310"/>
      <c r="B24" s="310"/>
      <c r="C24" s="310"/>
      <c r="D24" s="310"/>
      <c r="E24" s="310"/>
      <c r="F24" s="310"/>
      <c r="G24" s="310"/>
      <c r="H24" s="310"/>
      <c r="M24" s="36"/>
      <c r="N24" s="243" t="str">
        <f t="shared" si="3"/>
        <v/>
      </c>
      <c r="O24" s="243" t="str">
        <f t="shared" si="4"/>
        <v/>
      </c>
      <c r="P24" s="261" t="str">
        <f t="shared" si="5"/>
        <v/>
      </c>
      <c r="Q24" s="208"/>
      <c r="R24" s="208"/>
      <c r="S24" s="276"/>
      <c r="T24" s="208"/>
      <c r="U24" s="208"/>
      <c r="V24" s="276"/>
      <c r="W24" s="208"/>
      <c r="X24" s="208"/>
      <c r="Y24" s="276"/>
      <c r="Z24" s="208"/>
      <c r="AA24" s="208"/>
      <c r="AB24" s="276"/>
      <c r="AC24" s="208"/>
      <c r="AD24" s="208"/>
      <c r="AE24" s="276"/>
      <c r="AF24" s="208"/>
      <c r="AG24" s="208"/>
      <c r="AH24" s="276"/>
      <c r="AI24" s="208"/>
      <c r="AJ24" s="208"/>
      <c r="AK24" s="276"/>
      <c r="AL24" s="208"/>
      <c r="AM24" s="208"/>
      <c r="AN24" s="276"/>
      <c r="AQ24" s="2" t="str">
        <f t="shared" si="1"/>
        <v/>
      </c>
      <c r="AW24" s="2" t="str">
        <f t="shared" si="6"/>
        <v/>
      </c>
      <c r="AY24" s="243"/>
      <c r="AZ24" s="243"/>
      <c r="BA24" s="243"/>
      <c r="BB24" s="243"/>
      <c r="BC24" s="243"/>
      <c r="BD24" s="243"/>
      <c r="BE24" s="243"/>
      <c r="BF24" s="243"/>
    </row>
    <row r="25" spans="1:58" ht="17" thickBot="1" x14ac:dyDescent="0.25">
      <c r="A25" s="31" t="s">
        <v>134</v>
      </c>
      <c r="B25" s="32"/>
      <c r="C25" s="32"/>
      <c r="D25" s="32"/>
      <c r="E25" s="32"/>
      <c r="F25" s="32"/>
      <c r="G25" s="32"/>
      <c r="H25" s="33"/>
      <c r="M25" s="36"/>
      <c r="N25" s="7" t="str">
        <f t="shared" si="3"/>
        <v/>
      </c>
      <c r="O25" s="7" t="str">
        <f t="shared" si="4"/>
        <v/>
      </c>
      <c r="P25" s="273" t="str">
        <f t="shared" si="5"/>
        <v/>
      </c>
      <c r="Q25" s="277"/>
      <c r="R25" s="277"/>
      <c r="S25" s="278"/>
      <c r="T25" s="277"/>
      <c r="U25" s="277"/>
      <c r="V25" s="278"/>
      <c r="W25" s="277"/>
      <c r="X25" s="277"/>
      <c r="Y25" s="278"/>
      <c r="Z25" s="277"/>
      <c r="AA25" s="277"/>
      <c r="AB25" s="278"/>
      <c r="AC25" s="277"/>
      <c r="AD25" s="277"/>
      <c r="AE25" s="278"/>
      <c r="AF25" s="277"/>
      <c r="AG25" s="277"/>
      <c r="AH25" s="278"/>
      <c r="AI25" s="277"/>
      <c r="AJ25" s="277"/>
      <c r="AK25" s="278"/>
      <c r="AL25" s="277"/>
      <c r="AM25" s="277"/>
      <c r="AN25" s="278"/>
      <c r="AQ25" s="31" t="str">
        <f t="shared" si="1"/>
        <v>System data battery storage system</v>
      </c>
      <c r="AU25" s="6"/>
      <c r="AW25" s="6" t="str">
        <f t="shared" si="6"/>
        <v/>
      </c>
      <c r="AY25" s="244" t="s">
        <v>120</v>
      </c>
      <c r="AZ25" s="245"/>
      <c r="BA25" s="245"/>
      <c r="BB25" s="245"/>
      <c r="BC25" s="245"/>
      <c r="BD25" s="245"/>
      <c r="BE25" s="245"/>
      <c r="BF25" s="245"/>
    </row>
    <row r="26" spans="1:58" x14ac:dyDescent="0.2">
      <c r="A26" s="34" t="s">
        <v>263</v>
      </c>
      <c r="B26" s="197" t="s">
        <v>127</v>
      </c>
      <c r="C26" s="48" t="str">
        <f>IF(_Debug_Modus=_JA,N26,IF(B26="",I26,B26))</f>
        <v>NEIN</v>
      </c>
      <c r="D26" s="38"/>
      <c r="E26" s="38"/>
      <c r="F26" s="38"/>
      <c r="G26" s="38"/>
      <c r="H26" s="39"/>
      <c r="I26" s="23" t="str">
        <f>_JA</f>
        <v>JA</v>
      </c>
      <c r="J26" s="23" t="str">
        <f>_NEIN</f>
        <v>NEIN</v>
      </c>
      <c r="M26" s="36"/>
      <c r="N26" s="7" t="str">
        <f t="shared" si="3"/>
        <v>NEIN</v>
      </c>
      <c r="O26" s="7" t="str">
        <f t="shared" si="4"/>
        <v/>
      </c>
      <c r="P26" s="273" t="str">
        <f t="shared" si="5"/>
        <v/>
      </c>
      <c r="Q26" s="277" t="s">
        <v>126</v>
      </c>
      <c r="R26" s="277"/>
      <c r="S26" s="278"/>
      <c r="T26" s="277" t="s">
        <v>127</v>
      </c>
      <c r="U26" s="277"/>
      <c r="V26" s="278"/>
      <c r="W26" s="277" t="s">
        <v>126</v>
      </c>
      <c r="X26" s="277"/>
      <c r="Y26" s="278"/>
      <c r="Z26" s="277" t="s">
        <v>127</v>
      </c>
      <c r="AA26" s="277"/>
      <c r="AB26" s="278"/>
      <c r="AC26" s="277" t="s">
        <v>126</v>
      </c>
      <c r="AD26" s="277"/>
      <c r="AE26" s="278"/>
      <c r="AF26" s="277"/>
      <c r="AG26" s="277"/>
      <c r="AH26" s="278"/>
      <c r="AI26" s="277"/>
      <c r="AJ26" s="277"/>
      <c r="AK26" s="278"/>
      <c r="AL26" s="277"/>
      <c r="AM26" s="277"/>
      <c r="AN26" s="278"/>
      <c r="AQ26" s="34" t="str">
        <f t="shared" si="1"/>
        <v>Battery storage available</v>
      </c>
      <c r="AU26" s="6"/>
      <c r="AW26" s="6" t="str">
        <f t="shared" si="6"/>
        <v/>
      </c>
      <c r="AY26" s="243"/>
      <c r="AZ26" s="243"/>
      <c r="BA26" s="243"/>
      <c r="BB26" s="243"/>
      <c r="BC26" s="243"/>
      <c r="BD26" s="243"/>
      <c r="BE26" s="243"/>
      <c r="BF26" s="243"/>
    </row>
    <row r="27" spans="1:58" x14ac:dyDescent="0.2">
      <c r="A27" s="34" t="s">
        <v>143</v>
      </c>
      <c r="B27" s="208" t="s">
        <v>137</v>
      </c>
      <c r="C27" s="38"/>
      <c r="D27" s="38"/>
      <c r="E27" s="38"/>
      <c r="F27" s="38"/>
      <c r="G27" s="38"/>
      <c r="H27" s="39"/>
      <c r="M27" s="36"/>
      <c r="N27" s="7" t="str">
        <f t="shared" si="3"/>
        <v/>
      </c>
      <c r="O27" s="7" t="str">
        <f t="shared" si="4"/>
        <v/>
      </c>
      <c r="P27" s="273" t="str">
        <f t="shared" si="5"/>
        <v/>
      </c>
      <c r="Q27" s="277" t="s">
        <v>137</v>
      </c>
      <c r="R27" s="277"/>
      <c r="S27" s="278"/>
      <c r="T27" s="277"/>
      <c r="U27" s="277"/>
      <c r="V27" s="278"/>
      <c r="W27" s="277" t="s">
        <v>137</v>
      </c>
      <c r="X27" s="277"/>
      <c r="Y27" s="278"/>
      <c r="Z27" s="277"/>
      <c r="AA27" s="277"/>
      <c r="AB27" s="278"/>
      <c r="AC27" s="277"/>
      <c r="AD27" s="277"/>
      <c r="AE27" s="278"/>
      <c r="AF27" s="277"/>
      <c r="AG27" s="277"/>
      <c r="AH27" s="278"/>
      <c r="AI27" s="277"/>
      <c r="AJ27" s="277"/>
      <c r="AK27" s="278"/>
      <c r="AL27" s="277"/>
      <c r="AM27" s="277"/>
      <c r="AN27" s="278"/>
      <c r="AQ27" s="34" t="str">
        <f t="shared" si="1"/>
        <v>Storage Technology</v>
      </c>
      <c r="AU27" s="6"/>
      <c r="AW27" s="6" t="str">
        <f t="shared" si="6"/>
        <v/>
      </c>
      <c r="AY27" s="243"/>
      <c r="AZ27" s="243"/>
      <c r="BA27" s="243"/>
      <c r="BB27" s="243"/>
      <c r="BC27" s="243"/>
      <c r="BD27" s="243"/>
      <c r="BE27" s="243"/>
      <c r="BF27" s="243"/>
    </row>
    <row r="28" spans="1:58" x14ac:dyDescent="0.2">
      <c r="A28" s="34" t="s">
        <v>132</v>
      </c>
      <c r="B28" s="40"/>
      <c r="C28" s="41">
        <f>IF(_Batterie=_NEIN,0,IF(IF(B28="",IF(AND(_Debug_Modus=_JA,N28&lt;&gt;""),N28,I28),B28)&lt;K28,K28,IF(IF(B28="",IF(AND(_Debug_Modus=_JA,N28&lt;&gt;""),N28,I28),B28)&gt;L28,L28,IF(B28="",IF(AND(_Debug_Modus=_JA,N28&lt;&gt;""),N28,I28),B28))))</f>
        <v>0</v>
      </c>
      <c r="D28" s="38" t="s">
        <v>117</v>
      </c>
      <c r="E28" s="54" t="s">
        <v>352</v>
      </c>
      <c r="F28" s="54"/>
      <c r="G28" s="54"/>
      <c r="H28" s="240"/>
      <c r="I28" s="127">
        <f>IF(_Anlagenleistung*_spez_Jahresenergieertrag/1000&lt;_Gesamtverbrauch/1000,_Anlagenleistung*_spez_Jahresenergieertrag/1000,_Gesamtverbrauch/1000)</f>
        <v>4.5</v>
      </c>
      <c r="K28" s="21">
        <v>0</v>
      </c>
      <c r="L28" s="21">
        <v>100000</v>
      </c>
      <c r="M28" s="36"/>
      <c r="N28" s="7" t="str">
        <f t="shared" si="3"/>
        <v/>
      </c>
      <c r="O28" s="7" t="str">
        <f t="shared" si="4"/>
        <v/>
      </c>
      <c r="P28" s="273" t="str">
        <f t="shared" si="5"/>
        <v/>
      </c>
      <c r="Q28" s="277">
        <v>10</v>
      </c>
      <c r="R28" s="277"/>
      <c r="S28" s="278"/>
      <c r="T28" s="277"/>
      <c r="U28" s="277"/>
      <c r="V28" s="278"/>
      <c r="W28" s="277">
        <v>105</v>
      </c>
      <c r="X28" s="277"/>
      <c r="Y28" s="278"/>
      <c r="Z28" s="277"/>
      <c r="AA28" s="277"/>
      <c r="AB28" s="278"/>
      <c r="AC28" s="277"/>
      <c r="AD28" s="277"/>
      <c r="AE28" s="278"/>
      <c r="AF28" s="277"/>
      <c r="AG28" s="277"/>
      <c r="AH28" s="278"/>
      <c r="AI28" s="277"/>
      <c r="AJ28" s="277"/>
      <c r="AK28" s="278"/>
      <c r="AL28" s="277"/>
      <c r="AM28" s="277"/>
      <c r="AN28" s="278"/>
      <c r="AQ28" s="34" t="str">
        <f t="shared" si="1"/>
        <v>Storage capacity</v>
      </c>
      <c r="AU28" s="6" t="s">
        <v>296</v>
      </c>
      <c r="AW28" s="6" t="str">
        <f t="shared" si="6"/>
        <v>The smaller value of 1/1,000 of the annual production or 1/1,000 of the annual energy demand</v>
      </c>
      <c r="AY28" s="12" t="s">
        <v>219</v>
      </c>
      <c r="AZ28" s="243"/>
      <c r="BA28" s="243"/>
      <c r="BB28" s="369" t="s">
        <v>124</v>
      </c>
      <c r="BC28" s="369"/>
      <c r="BD28" s="369"/>
      <c r="BE28" s="369"/>
      <c r="BF28" s="369"/>
    </row>
    <row r="29" spans="1:58" x14ac:dyDescent="0.2">
      <c r="A29" s="34" t="s">
        <v>422</v>
      </c>
      <c r="B29" s="196"/>
      <c r="C29" s="42">
        <f t="shared" ref="C29:C33" si="7">IF(IF(B29="",IF(AND(_Debug_Modus=_JA,N29&lt;&gt;""),N29,I29),B29)&lt;K29,K29,IF(IF(B29="",IF(AND(_Debug_Modus=_JA,N29&lt;&gt;""),N29,I29),B29)&gt;L29,L29,IF(B29="",IF(AND(_Debug_Modus=_JA,N29&lt;&gt;""),N29,I29),B29)))</f>
        <v>90</v>
      </c>
      <c r="D29" s="38" t="s">
        <v>34</v>
      </c>
      <c r="E29" s="372" t="s">
        <v>265</v>
      </c>
      <c r="F29" s="372"/>
      <c r="G29" s="372"/>
      <c r="H29" s="373"/>
      <c r="I29" s="127">
        <v>90</v>
      </c>
      <c r="K29" s="21">
        <v>0</v>
      </c>
      <c r="L29" s="21">
        <v>100</v>
      </c>
      <c r="M29" s="36"/>
      <c r="N29" s="7" t="str">
        <f t="shared" si="3"/>
        <v/>
      </c>
      <c r="O29" s="7" t="str">
        <f t="shared" si="4"/>
        <v/>
      </c>
      <c r="P29" s="273" t="str">
        <f t="shared" si="5"/>
        <v/>
      </c>
      <c r="Q29" s="277"/>
      <c r="R29" s="277"/>
      <c r="S29" s="278"/>
      <c r="T29" s="277"/>
      <c r="U29" s="277"/>
      <c r="V29" s="278"/>
      <c r="W29" s="277">
        <v>88</v>
      </c>
      <c r="X29" s="277"/>
      <c r="Y29" s="278"/>
      <c r="Z29" s="277"/>
      <c r="AA29" s="277"/>
      <c r="AB29" s="278"/>
      <c r="AC29" s="277"/>
      <c r="AD29" s="277"/>
      <c r="AE29" s="278"/>
      <c r="AF29" s="277"/>
      <c r="AG29" s="277"/>
      <c r="AH29" s="278"/>
      <c r="AI29" s="277"/>
      <c r="AJ29" s="277"/>
      <c r="AK29" s="278"/>
      <c r="AL29" s="277"/>
      <c r="AM29" s="277"/>
      <c r="AN29" s="278"/>
      <c r="AQ29" s="34" t="str">
        <f t="shared" si="1"/>
        <v>Efficiency of the storage system</v>
      </c>
      <c r="AU29" s="6" t="s">
        <v>447</v>
      </c>
      <c r="AW29" s="6" t="str">
        <f t="shared" si="6"/>
        <v>A value in the middle of the typical range is used</v>
      </c>
      <c r="AY29" s="12"/>
      <c r="AZ29" s="243"/>
      <c r="BA29" s="243"/>
      <c r="BB29" s="248">
        <v>0.8</v>
      </c>
      <c r="BC29" s="248">
        <v>0.9</v>
      </c>
      <c r="BD29" s="248">
        <v>1</v>
      </c>
      <c r="BE29" s="248">
        <v>1.1000000000000001</v>
      </c>
      <c r="BF29" s="248">
        <v>1.2</v>
      </c>
    </row>
    <row r="30" spans="1:58" x14ac:dyDescent="0.2">
      <c r="A30" s="34" t="s">
        <v>133</v>
      </c>
      <c r="B30" s="43"/>
      <c r="C30" s="44">
        <f t="shared" si="7"/>
        <v>15</v>
      </c>
      <c r="D30" s="38"/>
      <c r="E30" s="372" t="s">
        <v>266</v>
      </c>
      <c r="F30" s="372"/>
      <c r="G30" s="372"/>
      <c r="H30" s="373"/>
      <c r="I30" s="21">
        <v>15</v>
      </c>
      <c r="K30" s="21">
        <v>0</v>
      </c>
      <c r="L30" s="21">
        <f>_Anlagenlebensdauer</f>
        <v>30</v>
      </c>
      <c r="M30" s="36"/>
      <c r="N30" s="7" t="str">
        <f t="shared" si="3"/>
        <v/>
      </c>
      <c r="O30" s="7" t="str">
        <f t="shared" si="4"/>
        <v/>
      </c>
      <c r="P30" s="273" t="str">
        <f t="shared" si="5"/>
        <v/>
      </c>
      <c r="Q30" s="277"/>
      <c r="R30" s="277"/>
      <c r="S30" s="278"/>
      <c r="T30" s="277"/>
      <c r="U30" s="277"/>
      <c r="V30" s="278"/>
      <c r="W30" s="277">
        <v>14</v>
      </c>
      <c r="X30" s="277"/>
      <c r="Y30" s="278"/>
      <c r="Z30" s="277"/>
      <c r="AA30" s="277"/>
      <c r="AB30" s="278"/>
      <c r="AC30" s="277"/>
      <c r="AD30" s="277"/>
      <c r="AE30" s="278"/>
      <c r="AF30" s="277"/>
      <c r="AG30" s="277"/>
      <c r="AH30" s="278"/>
      <c r="AI30" s="277"/>
      <c r="AJ30" s="277"/>
      <c r="AK30" s="278"/>
      <c r="AL30" s="277"/>
      <c r="AM30" s="277"/>
      <c r="AN30" s="278"/>
      <c r="AQ30" s="34" t="str">
        <f t="shared" si="1"/>
        <v>Storage life</v>
      </c>
      <c r="AU30" s="6" t="s">
        <v>447</v>
      </c>
      <c r="AW30" s="6" t="str">
        <f t="shared" si="6"/>
        <v>A value in the middle of the typical range is used</v>
      </c>
      <c r="AY30" s="12"/>
      <c r="AZ30" s="243"/>
      <c r="BA30" s="246" t="str">
        <f>_Projektrendite</f>
        <v>--</v>
      </c>
      <c r="BB30" s="7">
        <f>$BD30*BB29</f>
        <v>0.18559999999999999</v>
      </c>
      <c r="BC30" s="7">
        <f>$BD30*BC29</f>
        <v>0.20879999999999999</v>
      </c>
      <c r="BD30" s="249">
        <f>IF(B47="",IF(AND(_Debug_Modus=_JA,N47&lt;&gt;""),N47,I47),B47)</f>
        <v>0.23199999999999998</v>
      </c>
      <c r="BE30" s="7">
        <f>$BD30*BE29</f>
        <v>0.25519999999999998</v>
      </c>
      <c r="BF30" s="7">
        <f>$BD30*BF29</f>
        <v>0.27839999999999998</v>
      </c>
    </row>
    <row r="31" spans="1:58" x14ac:dyDescent="0.2">
      <c r="A31" s="34" t="s">
        <v>12</v>
      </c>
      <c r="B31" s="43"/>
      <c r="C31" s="41">
        <f t="shared" si="7"/>
        <v>1.3333333333333333</v>
      </c>
      <c r="D31" s="38" t="s">
        <v>142</v>
      </c>
      <c r="E31" s="372" t="s">
        <v>267</v>
      </c>
      <c r="F31" s="372"/>
      <c r="G31" s="372"/>
      <c r="H31" s="373"/>
      <c r="I31" s="21">
        <f>20/I30</f>
        <v>1.3333333333333333</v>
      </c>
      <c r="K31" s="21">
        <v>0</v>
      </c>
      <c r="L31" s="21">
        <v>10</v>
      </c>
      <c r="M31" s="36"/>
      <c r="N31" s="7" t="str">
        <f t="shared" si="3"/>
        <v/>
      </c>
      <c r="O31" s="7" t="str">
        <f t="shared" si="4"/>
        <v/>
      </c>
      <c r="P31" s="273" t="str">
        <f t="shared" si="5"/>
        <v/>
      </c>
      <c r="Q31" s="277"/>
      <c r="R31" s="277"/>
      <c r="S31" s="278"/>
      <c r="T31" s="277"/>
      <c r="U31" s="277"/>
      <c r="V31" s="278"/>
      <c r="W31" s="277">
        <v>1</v>
      </c>
      <c r="X31" s="277"/>
      <c r="Y31" s="278"/>
      <c r="Z31" s="277"/>
      <c r="AA31" s="277"/>
      <c r="AB31" s="278"/>
      <c r="AC31" s="277"/>
      <c r="AD31" s="277"/>
      <c r="AE31" s="278"/>
      <c r="AF31" s="277"/>
      <c r="AG31" s="277"/>
      <c r="AH31" s="278"/>
      <c r="AI31" s="277"/>
      <c r="AJ31" s="277"/>
      <c r="AK31" s="278"/>
      <c r="AL31" s="277"/>
      <c r="AM31" s="277"/>
      <c r="AN31" s="278"/>
      <c r="AQ31" s="34" t="str">
        <f t="shared" si="1"/>
        <v>Degradation</v>
      </c>
      <c r="AU31" s="6" t="s">
        <v>297</v>
      </c>
      <c r="AW31" s="6" t="str">
        <f t="shared" si="6"/>
        <v>A reduction in battery capacity of 20% is expected within the service life</v>
      </c>
      <c r="AY31" s="374" t="s">
        <v>121</v>
      </c>
      <c r="AZ31" s="374"/>
      <c r="BA31" s="247">
        <f>IF(BA32-5&gt;0,BA32-5,0)</f>
        <v>23.270423710036205</v>
      </c>
      <c r="BB31" s="246" t="str">
        <f t="dataTable" ref="BB31:BF35" dt2D="1" dtr="1" r1="C47" r2="C45"/>
        <v>--</v>
      </c>
      <c r="BC31" s="246" t="str">
        <v>--</v>
      </c>
      <c r="BD31" s="246" t="str">
        <v>--</v>
      </c>
      <c r="BE31" s="246" t="str">
        <v>--</v>
      </c>
      <c r="BF31" s="246" t="str">
        <v>--</v>
      </c>
    </row>
    <row r="32" spans="1:58" x14ac:dyDescent="0.2">
      <c r="A32" s="34" t="s">
        <v>484</v>
      </c>
      <c r="B32" s="198"/>
      <c r="C32" s="44">
        <f>IF(_Batterie=_NEIN,0,IF(IF(B32="",IF(AND(_Debug_Modus=_JA,N32&lt;&gt;""),N32,I32),B32)&lt;K32,K32,IF(IF(B32="",IF(AND(_Debug_Modus=_JA,N32&lt;&gt;""),N32,I32),B32)&gt;L32,L32,IF(B32="",IF(AND(_Debug_Modus=_JA,N32&lt;&gt;""),N32,I32),B32))))</f>
        <v>0</v>
      </c>
      <c r="D32" s="38" t="s">
        <v>34</v>
      </c>
      <c r="E32" s="54"/>
      <c r="F32" s="54"/>
      <c r="G32" s="54"/>
      <c r="H32" s="240"/>
      <c r="I32" s="21">
        <f>IF(_Eigennutzungsgrad+20&gt;100,100,_Eigennutzungsgrad+20)</f>
        <v>53.270423710036205</v>
      </c>
      <c r="K32" s="21">
        <v>0</v>
      </c>
      <c r="L32" s="21">
        <v>100</v>
      </c>
      <c r="M32" s="36"/>
      <c r="N32" s="7" t="str">
        <f t="shared" si="3"/>
        <v/>
      </c>
      <c r="O32" s="7" t="str">
        <f t="shared" si="4"/>
        <v/>
      </c>
      <c r="P32" s="273" t="str">
        <f t="shared" si="5"/>
        <v/>
      </c>
      <c r="Q32" s="277">
        <v>45</v>
      </c>
      <c r="R32" s="277"/>
      <c r="S32" s="278"/>
      <c r="T32" s="277"/>
      <c r="U32" s="277"/>
      <c r="V32" s="278"/>
      <c r="W32" s="277">
        <v>70</v>
      </c>
      <c r="X32" s="277"/>
      <c r="Y32" s="278"/>
      <c r="Z32" s="277"/>
      <c r="AA32" s="277"/>
      <c r="AB32" s="278"/>
      <c r="AC32" s="277"/>
      <c r="AD32" s="277"/>
      <c r="AE32" s="278"/>
      <c r="AF32" s="277"/>
      <c r="AG32" s="277"/>
      <c r="AH32" s="278"/>
      <c r="AI32" s="277"/>
      <c r="AJ32" s="277"/>
      <c r="AK32" s="278"/>
      <c r="AL32" s="277"/>
      <c r="AM32" s="277"/>
      <c r="AN32" s="278"/>
      <c r="AQ32" s="34" t="str">
        <f t="shared" si="1"/>
        <v>Self-consumption share with battery</v>
      </c>
      <c r="AU32" s="6" t="s">
        <v>485</v>
      </c>
      <c r="AW32" s="6" t="str">
        <f t="shared" si="6"/>
        <v>An average increase in the share of self-consumption of 20% is expected, which is an expected value in the residential area</v>
      </c>
      <c r="AY32" s="374"/>
      <c r="AZ32" s="374"/>
      <c r="BA32" s="247">
        <f>IF(BA33-5&gt;0,BA33-5,0)</f>
        <v>28.270423710036205</v>
      </c>
      <c r="BB32" s="246" t="str">
        <v>--</v>
      </c>
      <c r="BC32" s="246" t="str">
        <v>--</v>
      </c>
      <c r="BD32" s="246" t="str">
        <v>--</v>
      </c>
      <c r="BE32" s="246" t="str">
        <v>--</v>
      </c>
      <c r="BF32" s="246" t="str">
        <v>--</v>
      </c>
    </row>
    <row r="33" spans="1:58" x14ac:dyDescent="0.2">
      <c r="A33" s="34" t="s">
        <v>486</v>
      </c>
      <c r="B33" s="41"/>
      <c r="C33" s="44">
        <f t="shared" si="7"/>
        <v>0</v>
      </c>
      <c r="D33" s="38" t="s">
        <v>34</v>
      </c>
      <c r="E33" s="54"/>
      <c r="F33" s="54"/>
      <c r="G33" s="54"/>
      <c r="H33" s="240"/>
      <c r="I33" s="129">
        <f>C32-_Eigennutzungsgrad</f>
        <v>-33.270423710036205</v>
      </c>
      <c r="K33" s="21">
        <v>0</v>
      </c>
      <c r="L33" s="21">
        <v>100</v>
      </c>
      <c r="M33" s="36"/>
      <c r="N33" s="7" t="str">
        <f t="shared" si="3"/>
        <v/>
      </c>
      <c r="O33" s="7" t="str">
        <f t="shared" si="4"/>
        <v/>
      </c>
      <c r="P33" s="273" t="str">
        <f t="shared" si="5"/>
        <v/>
      </c>
      <c r="Q33" s="277"/>
      <c r="R33" s="277"/>
      <c r="S33" s="278"/>
      <c r="T33" s="277"/>
      <c r="U33" s="277"/>
      <c r="V33" s="278"/>
      <c r="W33" s="277"/>
      <c r="X33" s="277"/>
      <c r="Y33" s="278"/>
      <c r="Z33" s="277"/>
      <c r="AA33" s="277"/>
      <c r="AB33" s="278"/>
      <c r="AC33" s="277"/>
      <c r="AD33" s="277"/>
      <c r="AE33" s="278"/>
      <c r="AF33" s="277"/>
      <c r="AG33" s="277"/>
      <c r="AH33" s="278"/>
      <c r="AI33" s="277"/>
      <c r="AJ33" s="277"/>
      <c r="AK33" s="278"/>
      <c r="AL33" s="277"/>
      <c r="AM33" s="277"/>
      <c r="AN33" s="278"/>
      <c r="AQ33" s="34" t="str">
        <f t="shared" si="1"/>
        <v>Increase in self-consumption share with battery</v>
      </c>
      <c r="AU33" s="6" t="s">
        <v>487</v>
      </c>
      <c r="AW33" s="6" t="str">
        <f t="shared" si="6"/>
        <v>Calculated from the difference between the self-consumption share with the battery and the self-consumption share at the place of production</v>
      </c>
      <c r="AY33" s="374"/>
      <c r="AZ33" s="374"/>
      <c r="BA33" s="250">
        <f>IF(IF(B45="",IF(AND(_Debug_Modus=_JA,N45&lt;&gt;""),N45,I45),B45)&lt;K45,K45,IF(IF(B45="",IF(AND(_Debug_Modus=_JA,N45&lt;&gt;""),N45,I45),B45)&gt;L45,L45,IF(B45="",IF(AND(_Debug_Modus=_JA,N45&lt;&gt;""),N45,I45),B45)))</f>
        <v>33.270423710036205</v>
      </c>
      <c r="BB33" s="246" t="str">
        <v>--</v>
      </c>
      <c r="BC33" s="246" t="str">
        <v>--</v>
      </c>
      <c r="BD33" s="246" t="str">
        <v>--</v>
      </c>
      <c r="BE33" s="246" t="str">
        <v>--</v>
      </c>
      <c r="BF33" s="246" t="str">
        <v>--</v>
      </c>
    </row>
    <row r="34" spans="1:58" x14ac:dyDescent="0.2">
      <c r="A34" s="37" t="s">
        <v>278</v>
      </c>
      <c r="B34" s="49"/>
      <c r="C34" s="50">
        <f>IF(_Batterie=_NEIN,0,IF(IF(B34="",IF(AND(_Debug_Modus=_JA,N34&lt;&gt;""),N34,I34),B34)&lt;K34,K34,IF(IF(B34="",IF(AND(_Debug_Modus=_JA,N34&lt;&gt;""),N34,I34),B34)&gt;L34,L34,IF(B34="",IF(AND(_Debug_Modus=_JA,N34&lt;&gt;""),N34,I34),B34))))</f>
        <v>0</v>
      </c>
      <c r="D34" s="51" t="s">
        <v>34</v>
      </c>
      <c r="E34" s="370" t="s">
        <v>415</v>
      </c>
      <c r="F34" s="370"/>
      <c r="G34" s="370"/>
      <c r="H34" s="371"/>
      <c r="I34" s="21">
        <v>30</v>
      </c>
      <c r="K34" s="21">
        <v>0</v>
      </c>
      <c r="L34" s="21">
        <f>100-_Reduktion_Leistungsspitzen</f>
        <v>100</v>
      </c>
      <c r="M34" s="36"/>
      <c r="N34" s="7" t="str">
        <f t="shared" si="3"/>
        <v/>
      </c>
      <c r="O34" s="7" t="str">
        <f t="shared" si="4"/>
        <v/>
      </c>
      <c r="P34" s="273" t="str">
        <f t="shared" si="5"/>
        <v/>
      </c>
      <c r="Q34" s="277">
        <v>50</v>
      </c>
      <c r="R34" s="277"/>
      <c r="S34" s="278"/>
      <c r="T34" s="277"/>
      <c r="U34" s="277"/>
      <c r="V34" s="278"/>
      <c r="W34" s="277">
        <v>40</v>
      </c>
      <c r="X34" s="277"/>
      <c r="Y34" s="278"/>
      <c r="Z34" s="277"/>
      <c r="AA34" s="277"/>
      <c r="AB34" s="278"/>
      <c r="AC34" s="277"/>
      <c r="AD34" s="277"/>
      <c r="AE34" s="278"/>
      <c r="AF34" s="277"/>
      <c r="AG34" s="277"/>
      <c r="AH34" s="278"/>
      <c r="AI34" s="277"/>
      <c r="AJ34" s="277"/>
      <c r="AK34" s="278"/>
      <c r="AL34" s="277"/>
      <c r="AM34" s="277"/>
      <c r="AN34" s="278"/>
      <c r="AQ34" s="37" t="str">
        <f t="shared" si="1"/>
        <v>Reduction of the sum of power peaks per year</v>
      </c>
      <c r="AU34" s="6" t="s">
        <v>298</v>
      </c>
      <c r="AW34" s="6" t="str">
        <f t="shared" si="6"/>
        <v>An average reduction in the sum of monthly performance peaks for one year of 30% is expected</v>
      </c>
      <c r="AY34" s="374"/>
      <c r="AZ34" s="374"/>
      <c r="BA34" s="247">
        <f>IF(BA33+5&lt;=100,BA33+5,100)</f>
        <v>38.270423710036205</v>
      </c>
      <c r="BB34" s="246" t="str">
        <v>--</v>
      </c>
      <c r="BC34" s="246" t="str">
        <v>--</v>
      </c>
      <c r="BD34" s="246" t="str">
        <v>--</v>
      </c>
      <c r="BE34" s="246" t="str">
        <v>--</v>
      </c>
      <c r="BF34" s="246" t="str">
        <v>--</v>
      </c>
    </row>
    <row r="35" spans="1:58" x14ac:dyDescent="0.2">
      <c r="A35" s="310"/>
      <c r="B35" s="310"/>
      <c r="C35" s="310"/>
      <c r="D35" s="310"/>
      <c r="E35" s="310"/>
      <c r="F35" s="310"/>
      <c r="G35" s="310"/>
      <c r="H35" s="310"/>
      <c r="M35" s="36"/>
      <c r="P35" s="261"/>
      <c r="Q35" s="208"/>
      <c r="R35" s="208"/>
      <c r="S35" s="276"/>
      <c r="T35" s="208"/>
      <c r="U35" s="208"/>
      <c r="V35" s="276"/>
      <c r="W35" s="208"/>
      <c r="X35" s="208"/>
      <c r="Y35" s="276"/>
      <c r="Z35" s="208"/>
      <c r="AA35" s="208"/>
      <c r="AB35" s="276"/>
      <c r="AC35" s="208"/>
      <c r="AD35" s="208"/>
      <c r="AE35" s="276"/>
      <c r="AF35" s="208"/>
      <c r="AG35" s="208"/>
      <c r="AH35" s="276"/>
      <c r="AI35" s="208"/>
      <c r="AJ35" s="208"/>
      <c r="AK35" s="276"/>
      <c r="AL35" s="208"/>
      <c r="AM35" s="208"/>
      <c r="AN35" s="276"/>
      <c r="AQ35" s="2" t="str">
        <f t="shared" si="1"/>
        <v/>
      </c>
      <c r="AW35" s="2" t="str">
        <f t="shared" si="6"/>
        <v/>
      </c>
      <c r="AY35" s="374"/>
      <c r="AZ35" s="374"/>
      <c r="BA35" s="247">
        <f>IF(BA34+5&lt;=100,BA34+5,100)</f>
        <v>43.270423710036205</v>
      </c>
      <c r="BB35" s="246" t="str">
        <v>--</v>
      </c>
      <c r="BC35" s="246" t="str">
        <v>--</v>
      </c>
      <c r="BD35" s="246" t="str">
        <v>--</v>
      </c>
      <c r="BE35" s="246" t="str">
        <v>--</v>
      </c>
      <c r="BF35" s="246" t="str">
        <v>--</v>
      </c>
    </row>
    <row r="36" spans="1:58" x14ac:dyDescent="0.2">
      <c r="A36" s="31" t="s">
        <v>91</v>
      </c>
      <c r="B36" s="32"/>
      <c r="C36" s="32"/>
      <c r="D36" s="32"/>
      <c r="E36" s="32"/>
      <c r="F36" s="32"/>
      <c r="G36" s="32"/>
      <c r="H36" s="33"/>
      <c r="M36" s="36"/>
      <c r="N36" s="7" t="str">
        <f t="shared" si="3"/>
        <v/>
      </c>
      <c r="O36" s="7" t="str">
        <f t="shared" si="4"/>
        <v/>
      </c>
      <c r="P36" s="273" t="str">
        <f t="shared" si="5"/>
        <v/>
      </c>
      <c r="Q36" s="277"/>
      <c r="R36" s="277"/>
      <c r="S36" s="278"/>
      <c r="T36" s="277"/>
      <c r="U36" s="277"/>
      <c r="V36" s="278"/>
      <c r="W36" s="277"/>
      <c r="X36" s="277"/>
      <c r="Y36" s="278"/>
      <c r="Z36" s="277"/>
      <c r="AA36" s="277"/>
      <c r="AB36" s="278"/>
      <c r="AC36" s="277"/>
      <c r="AD36" s="277"/>
      <c r="AE36" s="278"/>
      <c r="AF36" s="277"/>
      <c r="AG36" s="277"/>
      <c r="AH36" s="278"/>
      <c r="AI36" s="277"/>
      <c r="AJ36" s="277"/>
      <c r="AK36" s="278"/>
      <c r="AL36" s="277"/>
      <c r="AM36" s="277"/>
      <c r="AN36" s="278"/>
      <c r="AQ36" s="31" t="str">
        <f t="shared" si="1"/>
        <v>Consumption</v>
      </c>
      <c r="AU36" s="6"/>
      <c r="AW36" s="6" t="str">
        <f t="shared" si="6"/>
        <v/>
      </c>
      <c r="AY36" s="243"/>
      <c r="AZ36" s="243"/>
      <c r="BA36" s="243"/>
      <c r="BB36" s="243"/>
      <c r="BC36" s="243"/>
      <c r="BD36" s="243"/>
      <c r="BE36" s="243"/>
      <c r="BF36" s="243"/>
    </row>
    <row r="37" spans="1:58" ht="17" thickBot="1" x14ac:dyDescent="0.25">
      <c r="A37" s="34" t="s">
        <v>340</v>
      </c>
      <c r="B37" s="199"/>
      <c r="C37" s="46">
        <f>IF(B37="",IF(AND(_Debug_Modus=_JA,N37&lt;&gt;""),N37,I37),B37)</f>
        <v>4500</v>
      </c>
      <c r="D37" s="38" t="s">
        <v>117</v>
      </c>
      <c r="E37" s="54" t="s">
        <v>513</v>
      </c>
      <c r="F37" s="54"/>
      <c r="G37" s="39"/>
      <c r="H37" s="39"/>
      <c r="I37" s="21">
        <f>_Anlagenleistung*_spez_Jahresenergieertrag</f>
        <v>4500</v>
      </c>
      <c r="M37" s="36"/>
      <c r="N37" s="7">
        <f t="shared" si="3"/>
        <v>150000</v>
      </c>
      <c r="O37" s="7" t="str">
        <f t="shared" si="4"/>
        <v/>
      </c>
      <c r="P37" s="273" t="str">
        <f t="shared" si="5"/>
        <v/>
      </c>
      <c r="Q37" s="277">
        <v>5000</v>
      </c>
      <c r="R37" s="277"/>
      <c r="S37" s="278"/>
      <c r="T37" s="277">
        <v>5000</v>
      </c>
      <c r="U37" s="277"/>
      <c r="V37" s="278"/>
      <c r="W37" s="277">
        <v>70000</v>
      </c>
      <c r="X37" s="277"/>
      <c r="Y37" s="278"/>
      <c r="Z37" s="277">
        <v>150000</v>
      </c>
      <c r="AA37" s="277"/>
      <c r="AB37" s="278"/>
      <c r="AC37" s="277">
        <v>150000</v>
      </c>
      <c r="AD37" s="277"/>
      <c r="AE37" s="278"/>
      <c r="AF37" s="277"/>
      <c r="AG37" s="277"/>
      <c r="AH37" s="278"/>
      <c r="AI37" s="277"/>
      <c r="AJ37" s="277"/>
      <c r="AK37" s="278"/>
      <c r="AL37" s="277"/>
      <c r="AM37" s="277"/>
      <c r="AN37" s="278"/>
      <c r="AQ37" s="34" t="str">
        <f t="shared" si="1"/>
        <v>Annual energy consumption</v>
      </c>
      <c r="AU37" s="6" t="s">
        <v>299</v>
      </c>
      <c r="AW37" s="6" t="str">
        <f t="shared" si="6"/>
        <v>A coverage ratio of 100% is assumed, i.e. total consumption corresponds to total production</v>
      </c>
      <c r="AY37" s="244" t="s">
        <v>119</v>
      </c>
      <c r="AZ37" s="245"/>
      <c r="BA37" s="245"/>
      <c r="BB37" s="245"/>
      <c r="BC37" s="245"/>
      <c r="BD37" s="245"/>
      <c r="BE37" s="245"/>
      <c r="BF37" s="245"/>
    </row>
    <row r="38" spans="1:58" x14ac:dyDescent="0.2">
      <c r="A38" s="34" t="s">
        <v>287</v>
      </c>
      <c r="B38" s="199"/>
      <c r="C38" s="46">
        <f>IF(B38="",IF(AND(_Debug_Modus=_JA,N38&lt;&gt;""),N38,I38),B38)</f>
        <v>61.643835616438366</v>
      </c>
      <c r="D38" s="38" t="s">
        <v>84</v>
      </c>
      <c r="E38" s="54" t="s">
        <v>279</v>
      </c>
      <c r="F38" s="54"/>
      <c r="G38" s="39"/>
      <c r="H38" s="39"/>
      <c r="I38" s="21">
        <f>_Gesamtverbrauch/(365*24)*10*12</f>
        <v>61.643835616438366</v>
      </c>
      <c r="M38" s="36"/>
      <c r="N38" s="7">
        <f t="shared" si="3"/>
        <v>2000</v>
      </c>
      <c r="O38" s="7" t="str">
        <f t="shared" si="4"/>
        <v/>
      </c>
      <c r="P38" s="273" t="str">
        <f t="shared" si="5"/>
        <v/>
      </c>
      <c r="Q38" s="277">
        <v>60</v>
      </c>
      <c r="R38" s="277"/>
      <c r="S38" s="278"/>
      <c r="T38" s="277">
        <v>60</v>
      </c>
      <c r="U38" s="277"/>
      <c r="V38" s="278"/>
      <c r="W38" s="277">
        <v>1000</v>
      </c>
      <c r="X38" s="277"/>
      <c r="Y38" s="278"/>
      <c r="Z38" s="277">
        <v>2000</v>
      </c>
      <c r="AA38" s="277"/>
      <c r="AB38" s="278"/>
      <c r="AC38" s="277">
        <v>2000</v>
      </c>
      <c r="AD38" s="277"/>
      <c r="AE38" s="278"/>
      <c r="AF38" s="277"/>
      <c r="AG38" s="277"/>
      <c r="AH38" s="278"/>
      <c r="AI38" s="277"/>
      <c r="AJ38" s="277"/>
      <c r="AK38" s="278"/>
      <c r="AL38" s="277"/>
      <c r="AM38" s="277"/>
      <c r="AN38" s="278"/>
      <c r="AQ38" s="34" t="str">
        <f t="shared" si="1"/>
        <v>Sum of power peaks of all months</v>
      </c>
      <c r="AU38" s="6" t="s">
        <v>339</v>
      </c>
      <c r="AW38" s="6" t="str">
        <f t="shared" si="6"/>
        <v>The average hourly energy requirement is determined and multiplied by a factor of 10. This value is assumed to be the performance peak for each month</v>
      </c>
      <c r="AY38" s="243"/>
      <c r="AZ38" s="243"/>
      <c r="BA38" s="243"/>
      <c r="BB38" s="243"/>
      <c r="BC38" s="243"/>
      <c r="BD38" s="243"/>
      <c r="BE38" s="243"/>
      <c r="BF38" s="243"/>
    </row>
    <row r="39" spans="1:58" ht="3" customHeight="1" x14ac:dyDescent="0.2">
      <c r="AQ39" s="2" t="str">
        <f t="shared" si="1"/>
        <v/>
      </c>
      <c r="AW39" s="2" t="str">
        <f t="shared" si="6"/>
        <v/>
      </c>
      <c r="AY39" s="12" t="s">
        <v>219</v>
      </c>
      <c r="AZ39" s="243"/>
      <c r="BA39" s="243"/>
      <c r="BB39" s="386" t="s">
        <v>321</v>
      </c>
      <c r="BC39" s="386"/>
      <c r="BD39" s="386"/>
      <c r="BE39" s="386"/>
      <c r="BF39" s="386"/>
    </row>
    <row r="40" spans="1:58" x14ac:dyDescent="0.2">
      <c r="A40" s="310"/>
      <c r="B40" s="310"/>
      <c r="C40" s="310"/>
      <c r="D40" s="310"/>
      <c r="E40" s="310"/>
      <c r="F40" s="310"/>
      <c r="G40" s="310"/>
      <c r="H40" s="310"/>
      <c r="M40" s="36"/>
      <c r="N40" s="243" t="str">
        <f t="shared" si="3"/>
        <v/>
      </c>
      <c r="O40" s="243" t="str">
        <f t="shared" si="4"/>
        <v/>
      </c>
      <c r="P40" s="261" t="str">
        <f t="shared" si="5"/>
        <v/>
      </c>
      <c r="Q40" s="208"/>
      <c r="R40" s="208"/>
      <c r="S40" s="276"/>
      <c r="T40" s="208"/>
      <c r="U40" s="208"/>
      <c r="V40" s="276"/>
      <c r="W40" s="208"/>
      <c r="X40" s="208"/>
      <c r="Y40" s="276"/>
      <c r="Z40" s="208"/>
      <c r="AA40" s="208"/>
      <c r="AB40" s="276"/>
      <c r="AC40" s="208"/>
      <c r="AD40" s="208"/>
      <c r="AE40" s="276"/>
      <c r="AF40" s="208"/>
      <c r="AG40" s="208"/>
      <c r="AH40" s="276"/>
      <c r="AI40" s="208"/>
      <c r="AJ40" s="208"/>
      <c r="AK40" s="276"/>
      <c r="AL40" s="208"/>
      <c r="AM40" s="208"/>
      <c r="AN40" s="276"/>
      <c r="AQ40" s="2" t="str">
        <f t="shared" si="1"/>
        <v/>
      </c>
      <c r="AW40" s="2" t="str">
        <f t="shared" si="6"/>
        <v/>
      </c>
      <c r="AY40" s="12"/>
      <c r="AZ40" s="243"/>
      <c r="BA40" s="243"/>
      <c r="BB40" s="248">
        <v>0.8</v>
      </c>
      <c r="BC40" s="248">
        <v>0.9</v>
      </c>
      <c r="BD40" s="248">
        <v>1</v>
      </c>
      <c r="BE40" s="248">
        <v>1.1000000000000001</v>
      </c>
      <c r="BF40" s="248">
        <v>1.2</v>
      </c>
    </row>
    <row r="41" spans="1:58" x14ac:dyDescent="0.2">
      <c r="A41" s="68" t="s">
        <v>461</v>
      </c>
      <c r="B41" s="293" t="s">
        <v>126</v>
      </c>
      <c r="C41" s="294" t="str">
        <f>IF(_Debug_Modus=_JA,N41,IF(B41="",I41,B41))</f>
        <v>JA</v>
      </c>
      <c r="D41" s="32"/>
      <c r="E41" s="239" t="s">
        <v>309</v>
      </c>
      <c r="F41" s="32"/>
      <c r="G41" s="32"/>
      <c r="H41" s="33"/>
      <c r="I41" s="23" t="str">
        <f>_JA</f>
        <v>JA</v>
      </c>
      <c r="J41" s="23" t="str">
        <f>_NEIN</f>
        <v>NEIN</v>
      </c>
      <c r="M41" s="36"/>
      <c r="N41" s="7" t="str">
        <f t="shared" si="3"/>
        <v>JA</v>
      </c>
      <c r="O41" s="7" t="str">
        <f t="shared" si="4"/>
        <v/>
      </c>
      <c r="P41" s="273" t="str">
        <f t="shared" si="5"/>
        <v/>
      </c>
      <c r="Q41" s="277" t="s">
        <v>127</v>
      </c>
      <c r="R41" s="277"/>
      <c r="S41" s="278"/>
      <c r="T41" s="277" t="s">
        <v>127</v>
      </c>
      <c r="U41" s="277"/>
      <c r="V41" s="278"/>
      <c r="W41" s="277" t="s">
        <v>127</v>
      </c>
      <c r="X41" s="277"/>
      <c r="Y41" s="278"/>
      <c r="Z41" s="277" t="s">
        <v>126</v>
      </c>
      <c r="AA41" s="277"/>
      <c r="AB41" s="278"/>
      <c r="AC41" s="277" t="s">
        <v>126</v>
      </c>
      <c r="AD41" s="277"/>
      <c r="AE41" s="278"/>
      <c r="AF41" s="277"/>
      <c r="AG41" s="277"/>
      <c r="AH41" s="278"/>
      <c r="AI41" s="277"/>
      <c r="AJ41" s="277"/>
      <c r="AK41" s="278"/>
      <c r="AL41" s="277"/>
      <c r="AM41" s="277"/>
      <c r="AN41" s="278"/>
      <c r="AQ41" s="68" t="str">
        <f t="shared" si="1"/>
        <v>ZEV or vZEV</v>
      </c>
      <c r="AU41" s="6"/>
      <c r="AW41" s="6" t="str">
        <f t="shared" si="6"/>
        <v/>
      </c>
      <c r="AY41" s="12"/>
      <c r="AZ41" s="243"/>
      <c r="BA41" s="243"/>
      <c r="BB41" s="248"/>
      <c r="BC41" s="248"/>
      <c r="BD41" s="248"/>
      <c r="BE41" s="248"/>
      <c r="BF41" s="248"/>
    </row>
    <row r="42" spans="1:58" ht="15" customHeight="1" x14ac:dyDescent="0.2">
      <c r="A42" s="37" t="s">
        <v>429</v>
      </c>
      <c r="B42" s="57"/>
      <c r="C42" s="55">
        <f>IF(B42="",IF(AND(_Debug_Modus=_JA,N42&lt;&gt;""),N42,I42),B42)</f>
        <v>0</v>
      </c>
      <c r="D42" s="51" t="s">
        <v>313</v>
      </c>
      <c r="E42" s="52" t="s">
        <v>444</v>
      </c>
      <c r="F42" s="51"/>
      <c r="G42" s="51"/>
      <c r="H42" s="53"/>
      <c r="I42" s="21">
        <f>ROUNDDOWN(_Gesamtverbrauch/5000,0)</f>
        <v>0</v>
      </c>
      <c r="M42" s="36"/>
      <c r="N42" s="7">
        <f>IF(_xlfn.XLOOKUP($O$3,$Q$1:$AN$1,Q42:AN42,"-",0,1)&lt;&gt;"",_xlfn.XLOOKUP($O$3,$Q$1:$AN$1,Q42:AN42,"-",0,1),"")</f>
        <v>40</v>
      </c>
      <c r="O42" s="7" t="str">
        <f>IF(_xlfn.XLOOKUP($O$3,$Q$2:$AN$2,Q42:AN42,"-",0,1)&lt;&gt;"",_xlfn.XLOOKUP($O$3,$Q$2:$AN$2,Q42:AN42,"-",0,1),"")</f>
        <v/>
      </c>
      <c r="P42" s="273" t="str">
        <f>IF(_xlfn.XLOOKUP($O$3,$Q$3:$AN$3,Q42:AN42,"-",0,1)&lt;&gt;"",_xlfn.XLOOKUP($O$3,$Q$3:$AN$3,Q42:AN42,"-",0,1),"")</f>
        <v/>
      </c>
      <c r="Q42" s="277">
        <v>1</v>
      </c>
      <c r="R42" s="277"/>
      <c r="S42" s="278"/>
      <c r="T42" s="277">
        <v>1</v>
      </c>
      <c r="U42" s="277"/>
      <c r="V42" s="278"/>
      <c r="W42" s="277">
        <v>1</v>
      </c>
      <c r="X42" s="277"/>
      <c r="Y42" s="278"/>
      <c r="Z42" s="277">
        <v>40</v>
      </c>
      <c r="AA42" s="277"/>
      <c r="AB42" s="278"/>
      <c r="AC42" s="277">
        <v>40</v>
      </c>
      <c r="AD42" s="277"/>
      <c r="AE42" s="278"/>
      <c r="AF42" s="277"/>
      <c r="AG42" s="277"/>
      <c r="AH42" s="278"/>
      <c r="AI42" s="277"/>
      <c r="AJ42" s="277"/>
      <c r="AK42" s="278"/>
      <c r="AL42" s="277"/>
      <c r="AM42" s="277"/>
      <c r="AN42" s="278"/>
      <c r="AQ42" s="37" t="str">
        <f t="shared" si="1"/>
        <v>Number of separately measured participants ZEV</v>
      </c>
      <c r="AU42" s="6" t="s">
        <v>304</v>
      </c>
      <c r="AW42" s="6" t="str">
        <f t="shared" si="6"/>
        <v>One consumer per 5,000 kWh is assumed.</v>
      </c>
      <c r="AY42" s="12"/>
      <c r="AZ42" s="243"/>
      <c r="BA42" s="246" t="str">
        <f>_Projektrendite</f>
        <v>--</v>
      </c>
      <c r="BB42" s="7">
        <f>$BD42*BB40</f>
        <v>6.4000000000000001E-2</v>
      </c>
      <c r="BC42" s="7">
        <f>$BD42*BC40</f>
        <v>7.2000000000000008E-2</v>
      </c>
      <c r="BD42" s="249">
        <f>I73</f>
        <v>0.08</v>
      </c>
      <c r="BE42" s="7">
        <f>$BD42*BE40</f>
        <v>8.8000000000000009E-2</v>
      </c>
      <c r="BF42" s="7">
        <f>$BD42*BF40</f>
        <v>9.6000000000000002E-2</v>
      </c>
    </row>
    <row r="43" spans="1:58" x14ac:dyDescent="0.2">
      <c r="A43" s="59" t="s">
        <v>209</v>
      </c>
      <c r="B43" s="48"/>
      <c r="C43" s="48"/>
      <c r="D43" s="38"/>
      <c r="E43" s="54" t="s">
        <v>213</v>
      </c>
      <c r="F43" s="38"/>
      <c r="G43" s="38"/>
      <c r="H43" s="39"/>
      <c r="I43" s="23"/>
      <c r="J43" s="23"/>
      <c r="M43" s="36"/>
      <c r="N43" s="7"/>
      <c r="O43" s="7"/>
      <c r="P43" s="273"/>
      <c r="Q43" s="277"/>
      <c r="R43" s="277"/>
      <c r="S43" s="278"/>
      <c r="T43" s="277"/>
      <c r="U43" s="277"/>
      <c r="V43" s="278"/>
      <c r="W43" s="277"/>
      <c r="X43" s="277"/>
      <c r="Y43" s="278"/>
      <c r="Z43" s="277"/>
      <c r="AA43" s="277"/>
      <c r="AB43" s="278"/>
      <c r="AC43" s="277"/>
      <c r="AD43" s="277"/>
      <c r="AE43" s="278"/>
      <c r="AF43" s="277"/>
      <c r="AG43" s="277"/>
      <c r="AH43" s="278"/>
      <c r="AI43" s="277"/>
      <c r="AJ43" s="277"/>
      <c r="AK43" s="278"/>
      <c r="AL43" s="277"/>
      <c r="AM43" s="277"/>
      <c r="AN43" s="278"/>
      <c r="AQ43" s="59" t="str">
        <f>_xlfn.TRANSLATE(A43,"de","en")</f>
        <v>Self-consumption at the point of production</v>
      </c>
      <c r="AU43" s="6"/>
      <c r="AW43" s="6" t="str">
        <f t="shared" si="6"/>
        <v/>
      </c>
      <c r="AY43" s="374" t="s">
        <v>218</v>
      </c>
      <c r="AZ43" s="248">
        <v>1.2</v>
      </c>
      <c r="BA43" s="247">
        <f>$BA$45*AZ43</f>
        <v>18412.8</v>
      </c>
      <c r="BB43" s="246" t="str">
        <f t="dataTable" ref="BB43:BF47" dt2D="1" dtr="1" r1="C73" r2="C86" ca="1"/>
        <v>--</v>
      </c>
      <c r="BC43" s="246" t="str">
        <v>--</v>
      </c>
      <c r="BD43" s="246" t="str">
        <v>--</v>
      </c>
      <c r="BE43" s="246" t="str">
        <v>--</v>
      </c>
      <c r="BF43" s="246" t="str">
        <v>--</v>
      </c>
    </row>
    <row r="44" spans="1:58" x14ac:dyDescent="0.2">
      <c r="A44" s="34" t="s">
        <v>280</v>
      </c>
      <c r="B44" s="200"/>
      <c r="C44" s="44">
        <f>IF(IF(B44="",IF(AND(_Debug_Modus=_JA,N44&lt;&gt;""),N44,I44),B44)&lt;K44,K44,IF(IF(B44="",IF(AND(_Debug_Modus=_JA,N44&lt;&gt;""),N44,I44),B44)&gt;L44,L44,IF(B44="",IF(AND(_Debug_Modus=_JA,N44&lt;&gt;""),N44,I44),B44)))</f>
        <v>0</v>
      </c>
      <c r="D44" s="38" t="s">
        <v>34</v>
      </c>
      <c r="E44" s="372" t="s">
        <v>423</v>
      </c>
      <c r="F44" s="372"/>
      <c r="G44" s="372"/>
      <c r="H44" s="373"/>
      <c r="I44" s="21">
        <v>0</v>
      </c>
      <c r="K44" s="21">
        <v>0</v>
      </c>
      <c r="L44" s="21">
        <v>100</v>
      </c>
      <c r="M44" s="36"/>
      <c r="N44" s="7">
        <f t="shared" si="3"/>
        <v>2</v>
      </c>
      <c r="O44" s="7" t="str">
        <f t="shared" si="4"/>
        <v/>
      </c>
      <c r="P44" s="273" t="str">
        <f t="shared" si="5"/>
        <v/>
      </c>
      <c r="Q44" s="277">
        <v>2</v>
      </c>
      <c r="R44" s="277"/>
      <c r="S44" s="278"/>
      <c r="T44" s="277">
        <v>2</v>
      </c>
      <c r="U44" s="277"/>
      <c r="V44" s="278"/>
      <c r="W44" s="277">
        <v>2</v>
      </c>
      <c r="X44" s="277"/>
      <c r="Y44" s="278"/>
      <c r="Z44" s="277">
        <v>2</v>
      </c>
      <c r="AA44" s="277"/>
      <c r="AB44" s="278"/>
      <c r="AC44" s="277">
        <v>2</v>
      </c>
      <c r="AD44" s="277"/>
      <c r="AE44" s="278"/>
      <c r="AF44" s="277"/>
      <c r="AG44" s="277"/>
      <c r="AH44" s="278"/>
      <c r="AI44" s="277"/>
      <c r="AJ44" s="277"/>
      <c r="AK44" s="278"/>
      <c r="AL44" s="277"/>
      <c r="AM44" s="277"/>
      <c r="AN44" s="278"/>
      <c r="AQ44" s="34" t="str">
        <f>_xlfn.TRANSLATE(A44,"de","en")</f>
        <v>Reduction of power peaks per year</v>
      </c>
      <c r="AU44" s="6" t="s">
        <v>300</v>
      </c>
      <c r="AW44" s="6" t="str">
        <f t="shared" si="6"/>
        <v>An average reduction in the peak benefit of 0% is assumed (based on a coverage ratio of approx. 10%)</v>
      </c>
      <c r="AY44" s="374"/>
      <c r="AZ44" s="248">
        <v>1.1000000000000001</v>
      </c>
      <c r="BA44" s="247">
        <f>$BA$45*AZ44</f>
        <v>16878.400000000001</v>
      </c>
      <c r="BB44" s="246" t="str">
        <v>--</v>
      </c>
      <c r="BC44" s="246" t="str">
        <v>--</v>
      </c>
      <c r="BD44" s="246" t="str">
        <v>--</v>
      </c>
      <c r="BE44" s="246" t="str">
        <v>--</v>
      </c>
      <c r="BF44" s="246" t="str">
        <v>--</v>
      </c>
    </row>
    <row r="45" spans="1:58" x14ac:dyDescent="0.2">
      <c r="A45" s="34" t="str">
        <f>"Eigenverbrauchsanteil"&amp;IF(_ZEV=_JA," ZEV oder vZEV","")&amp;" in %"</f>
        <v>Eigenverbrauchsanteil ZEV oder vZEV in %</v>
      </c>
      <c r="B45" s="173"/>
      <c r="C45" s="44">
        <f>IF(IF(B45="",IF(AND(_Debug_Modus=_JA,N45&lt;&gt;""),N45,I45),B45)&lt;K45,K45,IF(IF(B45="",IF(AND(_Debug_Modus=_JA,N45&lt;&gt;""),N45,I45),B45)&gt;L45,L45,IF(B45="",IF(AND(_Debug_Modus=_JA,N45&lt;&gt;""),N45,I45),B45)))</f>
        <v>33.270423710036205</v>
      </c>
      <c r="D45" s="38" t="s">
        <v>34</v>
      </c>
      <c r="E45" s="54" t="s">
        <v>35</v>
      </c>
      <c r="F45" s="54"/>
      <c r="G45" s="54"/>
      <c r="H45" s="240"/>
      <c r="I45" s="21">
        <f>IF(ISNUMBER(320.67*(_Anlagenleistung*_spez_Jahresenergieertrag/_Gesamtverbrauch*100)^-0.492),320.67*(_Anlagenleistung*_spez_Jahresenergieertrag/_Gesamtverbrauch*100)^-0.492,0)</f>
        <v>33.270423710036205</v>
      </c>
      <c r="K45" s="21">
        <v>0</v>
      </c>
      <c r="L45" s="21">
        <v>100</v>
      </c>
      <c r="M45" s="36"/>
      <c r="N45" s="7">
        <f t="shared" si="3"/>
        <v>55</v>
      </c>
      <c r="O45" s="7" t="str">
        <f t="shared" si="4"/>
        <v/>
      </c>
      <c r="P45" s="273" t="str">
        <f t="shared" si="5"/>
        <v/>
      </c>
      <c r="Q45" s="277">
        <v>25</v>
      </c>
      <c r="R45" s="277"/>
      <c r="S45" s="278"/>
      <c r="T45" s="277">
        <v>25</v>
      </c>
      <c r="U45" s="277"/>
      <c r="V45" s="278"/>
      <c r="W45" s="277">
        <v>30</v>
      </c>
      <c r="X45" s="277"/>
      <c r="Y45" s="278"/>
      <c r="Z45" s="277">
        <v>55</v>
      </c>
      <c r="AA45" s="277"/>
      <c r="AB45" s="278"/>
      <c r="AC45" s="277">
        <v>55</v>
      </c>
      <c r="AD45" s="277"/>
      <c r="AE45" s="278"/>
      <c r="AF45" s="277"/>
      <c r="AG45" s="277"/>
      <c r="AH45" s="278"/>
      <c r="AI45" s="277"/>
      <c r="AJ45" s="277"/>
      <c r="AK45" s="278"/>
      <c r="AL45" s="277"/>
      <c r="AM45" s="277"/>
      <c r="AN45" s="278"/>
      <c r="AQ45" s="34" t="str">
        <f>_xlfn.TRANSLATE(A45,"de","en")</f>
        <v>Self-consumption share ZEV or vZEV in %</v>
      </c>
      <c r="AU45" s="6" t="s">
        <v>301</v>
      </c>
      <c r="AW45" s="6" t="str">
        <f t="shared" si="6"/>
        <v>The value is calculated on the basis of a fitting curve for a residential building profile from the coverage ratio</v>
      </c>
      <c r="AY45" s="374"/>
      <c r="AZ45" s="248">
        <v>1</v>
      </c>
      <c r="BA45" s="250">
        <f>IF(B86="",IF(AND(_Debug_Modus=_JA,N86&lt;&gt;""),N86,I86),B86)</f>
        <v>15344</v>
      </c>
      <c r="BB45" s="246" t="str">
        <v>--</v>
      </c>
      <c r="BC45" s="246" t="str">
        <v>--</v>
      </c>
      <c r="BD45" s="246" t="str">
        <v>--</v>
      </c>
      <c r="BE45" s="246" t="str">
        <v>--</v>
      </c>
      <c r="BF45" s="246" t="str">
        <v>--</v>
      </c>
    </row>
    <row r="46" spans="1:58" x14ac:dyDescent="0.2">
      <c r="A46" s="37" t="str">
        <f>"Eigenverbrauchsanteil"&amp;IF(_ZEV="JA"," ZEV oder vZEV","")&amp; " in kWh"</f>
        <v>Eigenverbrauchsanteil ZEV oder vZEV in kWh</v>
      </c>
      <c r="B46" s="305"/>
      <c r="C46" s="55">
        <f>_Eigennutzungsgrad/100*_Durchschnittlicher_Energieertrag</f>
        <v>1410.3332610684347</v>
      </c>
      <c r="D46" s="51" t="s">
        <v>99</v>
      </c>
      <c r="E46" s="52" t="s">
        <v>501</v>
      </c>
      <c r="F46" s="52"/>
      <c r="G46" s="52"/>
      <c r="H46" s="241"/>
      <c r="M46" s="36"/>
      <c r="N46" s="7"/>
      <c r="O46" s="7"/>
      <c r="P46" s="273"/>
      <c r="Q46" s="277"/>
      <c r="R46" s="277"/>
      <c r="S46" s="278"/>
      <c r="T46" s="277"/>
      <c r="U46" s="277"/>
      <c r="V46" s="278"/>
      <c r="W46" s="277"/>
      <c r="X46" s="277"/>
      <c r="Y46" s="278"/>
      <c r="Z46" s="277"/>
      <c r="AA46" s="277"/>
      <c r="AB46" s="278"/>
      <c r="AC46" s="277"/>
      <c r="AD46" s="277"/>
      <c r="AE46" s="278"/>
      <c r="AF46" s="277"/>
      <c r="AG46" s="277"/>
      <c r="AH46" s="278"/>
      <c r="AI46" s="277"/>
      <c r="AJ46" s="277"/>
      <c r="AK46" s="278"/>
      <c r="AL46" s="277"/>
      <c r="AM46" s="277"/>
      <c r="AN46" s="278"/>
      <c r="AQ46" s="37" t="str">
        <f>_xlfn.TRANSLATE(A46,"de","en")</f>
        <v>Self-consumption share ZEV or vZEV in kWh</v>
      </c>
      <c r="AU46" s="6"/>
      <c r="AW46" s="6" t="str">
        <f t="shared" si="6"/>
        <v/>
      </c>
      <c r="AY46" s="374"/>
      <c r="AZ46" s="248">
        <v>0.90000000000000013</v>
      </c>
      <c r="BA46" s="247">
        <f>$BA$45*AZ46</f>
        <v>13809.600000000002</v>
      </c>
      <c r="BB46" s="246" t="str">
        <v>--</v>
      </c>
      <c r="BC46" s="246" t="str">
        <v>--</v>
      </c>
      <c r="BD46" s="246" t="str">
        <v>--</v>
      </c>
      <c r="BE46" s="246" t="str">
        <v>--</v>
      </c>
      <c r="BF46" s="246" t="str">
        <v>--</v>
      </c>
    </row>
    <row r="47" spans="1:58" ht="32" x14ac:dyDescent="0.2">
      <c r="A47" s="228" t="str">
        <f>IF(_ZEV=_NEIN,"ersetzter Bezugstarif",IF(_ZEV=_JA,"PV- Stromtarif ZEV","Definiere die Eigenverbrauchsart beim Verbrauch"))</f>
        <v>PV- Stromtarif ZEV</v>
      </c>
      <c r="B47" s="232"/>
      <c r="C47" s="233">
        <f>IF(B47="",IF(AND(_Debug_Modus=_JA,N47&lt;&gt;""),N47,I47),B47)</f>
        <v>0.23199999999999998</v>
      </c>
      <c r="D47" s="231" t="s">
        <v>19</v>
      </c>
      <c r="E47" s="234" t="str">
        <f>IF(_MWStPflicht=_MWStpflichtig,"(exkl. MWSt.)","(inkl. MWSt.)")</f>
        <v>(exkl. MWSt.)</v>
      </c>
      <c r="F47" s="365" t="str">
        <f>HYPERLINK("https://www.strompreis.elcom.admin.ch/","(für Praxismodell Stromtarif VNB abzgl. Dienstleistungsgebühren)
aktuelle Stromtarife:  https://www.strompreis.elcom.admin.ch/")</f>
        <v>(für Praxismodell Stromtarif VNB abzgl. Dienstleistungsgebühren)
aktuelle Stromtarife:  https://www.strompreis.elcom.admin.ch/</v>
      </c>
      <c r="G47" s="366"/>
      <c r="H47" s="367"/>
      <c r="I47" s="21">
        <f>IF(_ZEV=_NEIN,0.29,0.29*0.8-_Tarif_Abrechnung_ZEV)</f>
        <v>0.23199999999999998</v>
      </c>
      <c r="M47" s="36"/>
      <c r="N47" s="7">
        <f t="shared" si="3"/>
        <v>0.24</v>
      </c>
      <c r="O47" s="7" t="str">
        <f t="shared" si="4"/>
        <v/>
      </c>
      <c r="P47" s="273" t="str">
        <f t="shared" si="5"/>
        <v/>
      </c>
      <c r="Q47" s="277">
        <v>0.33</v>
      </c>
      <c r="R47" s="277"/>
      <c r="S47" s="278"/>
      <c r="T47" s="277">
        <v>0.33</v>
      </c>
      <c r="U47" s="277"/>
      <c r="V47" s="278"/>
      <c r="W47" s="277">
        <v>0.3</v>
      </c>
      <c r="X47" s="277"/>
      <c r="Y47" s="278"/>
      <c r="Z47" s="277">
        <f>W47*0.8</f>
        <v>0.24</v>
      </c>
      <c r="AA47" s="277"/>
      <c r="AB47" s="278"/>
      <c r="AC47" s="277">
        <v>0.24</v>
      </c>
      <c r="AD47" s="277"/>
      <c r="AE47" s="278"/>
      <c r="AF47" s="277"/>
      <c r="AG47" s="277"/>
      <c r="AH47" s="278"/>
      <c r="AI47" s="277"/>
      <c r="AJ47" s="277"/>
      <c r="AK47" s="278"/>
      <c r="AL47" s="277"/>
      <c r="AM47" s="277"/>
      <c r="AN47" s="278"/>
      <c r="AQ47" s="228" t="str">
        <f t="shared" si="1"/>
        <v>PV electricity tariff ZEV</v>
      </c>
      <c r="AU47" s="229" t="s">
        <v>448</v>
      </c>
      <c r="AV47" s="328"/>
      <c r="AW47" s="229" t="str">
        <f t="shared" si="6"/>
        <v>For systems without ZEV, the median electricity price H4 Total (May / 2025) of https://www.strompreis.elcom.admin.ch/ is used.
80% of this is used for internal electricity sales in ZEV, minus ZEV billing costs.</v>
      </c>
      <c r="AY47" s="374"/>
      <c r="AZ47" s="248">
        <v>0.8</v>
      </c>
      <c r="BA47" s="247">
        <f>$BA$45*AZ47</f>
        <v>12275.2</v>
      </c>
      <c r="BB47" s="246" t="str">
        <v>--</v>
      </c>
      <c r="BC47" s="246" t="str">
        <v>--</v>
      </c>
      <c r="BD47" s="246" t="str">
        <v>--</v>
      </c>
      <c r="BE47" s="246" t="str">
        <v>--</v>
      </c>
      <c r="BF47" s="246" t="str">
        <v>--</v>
      </c>
    </row>
    <row r="48" spans="1:58" x14ac:dyDescent="0.2">
      <c r="A48" s="34" t="str">
        <f>IF(_ZEV=_NEIN,"Leistungstarif",IF(_ZEV=_JA,"Leistungstarif ZEV","Definiere die Eigenverbrauchsart beim Verbrauch"))</f>
        <v>Leistungstarif ZEV</v>
      </c>
      <c r="B48" s="198"/>
      <c r="C48" s="47">
        <f>IF(IF(B48="",IF(AND(_Debug_Modus=_JA,N48&lt;&gt;""),N48,I48),B48)&lt;K48,K48,IF(IF(B48="",IF(AND(_Debug_Modus=_JA,N48&lt;&gt;""),N48,I48),B48)&gt;L48,L48,IF(B48="",IF(AND(_Debug_Modus=_JA,N48&lt;&gt;""),N48,I48),B48)))</f>
        <v>1.5</v>
      </c>
      <c r="D48" s="38" t="s">
        <v>148</v>
      </c>
      <c r="E48" s="54" t="str">
        <f>IF(_MWStPflicht=_MWStpflichtig,"(exkl. MWSt.)","(inkl. MWSt.)")</f>
        <v>(exkl. MWSt.)</v>
      </c>
      <c r="F48" s="54"/>
      <c r="G48" s="54"/>
      <c r="H48" s="240"/>
      <c r="I48" s="21">
        <f>IF(_Gesamtverbrauch&gt;50000,10,1.5)</f>
        <v>1.5</v>
      </c>
      <c r="K48" s="21">
        <v>0</v>
      </c>
      <c r="L48" s="21">
        <v>100</v>
      </c>
      <c r="M48" s="36"/>
      <c r="N48" s="7">
        <f t="shared" si="3"/>
        <v>6</v>
      </c>
      <c r="O48" s="7" t="str">
        <f t="shared" si="4"/>
        <v/>
      </c>
      <c r="P48" s="273" t="str">
        <f t="shared" si="5"/>
        <v/>
      </c>
      <c r="Q48" s="277">
        <v>0</v>
      </c>
      <c r="R48" s="277"/>
      <c r="S48" s="278"/>
      <c r="T48" s="277">
        <v>0</v>
      </c>
      <c r="U48" s="277"/>
      <c r="V48" s="278"/>
      <c r="W48" s="277">
        <v>7.5</v>
      </c>
      <c r="X48" s="277"/>
      <c r="Y48" s="278"/>
      <c r="Z48" s="277">
        <f>W48*0.8</f>
        <v>6</v>
      </c>
      <c r="AA48" s="277"/>
      <c r="AB48" s="278"/>
      <c r="AC48" s="277">
        <v>6</v>
      </c>
      <c r="AD48" s="277"/>
      <c r="AE48" s="278"/>
      <c r="AF48" s="277"/>
      <c r="AG48" s="277"/>
      <c r="AH48" s="278"/>
      <c r="AI48" s="277"/>
      <c r="AJ48" s="277"/>
      <c r="AK48" s="278"/>
      <c r="AL48" s="277"/>
      <c r="AM48" s="277"/>
      <c r="AN48" s="278"/>
      <c r="AQ48" s="34" t="str">
        <f t="shared" si="1"/>
        <v>ZEV service tariff</v>
      </c>
      <c r="AU48" s="6" t="s">
        <v>302</v>
      </c>
      <c r="AW48" s="6" t="str">
        <f t="shared" si="6"/>
        <v>For consumers &gt; 50MWh consumption per year, a power tariff of 10 CHF/kW is used, for smaller consumers 1.50 CHF/kW</v>
      </c>
      <c r="AY48" s="243"/>
      <c r="AZ48" s="243"/>
      <c r="BA48" s="243"/>
      <c r="BB48" s="243"/>
      <c r="BC48" s="243"/>
      <c r="BD48" s="243"/>
      <c r="BE48" s="243"/>
      <c r="BF48" s="243"/>
    </row>
    <row r="49" spans="1:58" x14ac:dyDescent="0.2">
      <c r="A49" s="34" t="s">
        <v>347</v>
      </c>
      <c r="B49" s="345"/>
      <c r="C49" s="345"/>
      <c r="D49" s="345"/>
      <c r="E49" s="54" t="s">
        <v>346</v>
      </c>
      <c r="F49" s="54"/>
      <c r="G49" s="240"/>
      <c r="H49" s="240"/>
      <c r="M49" s="36"/>
      <c r="N49" s="7" t="str">
        <f t="shared" si="3"/>
        <v>Stromprodukt G1</v>
      </c>
      <c r="O49" s="7" t="str">
        <f t="shared" si="4"/>
        <v/>
      </c>
      <c r="P49" s="273" t="str">
        <f t="shared" si="5"/>
        <v/>
      </c>
      <c r="Q49" s="277" t="s">
        <v>384</v>
      </c>
      <c r="R49" s="277"/>
      <c r="S49" s="278"/>
      <c r="T49" s="277" t="s">
        <v>384</v>
      </c>
      <c r="U49" s="277"/>
      <c r="V49" s="278"/>
      <c r="W49" s="277" t="s">
        <v>391</v>
      </c>
      <c r="X49" s="277"/>
      <c r="Y49" s="278"/>
      <c r="Z49" s="277" t="s">
        <v>391</v>
      </c>
      <c r="AA49" s="277"/>
      <c r="AB49" s="278"/>
      <c r="AC49" s="277" t="s">
        <v>391</v>
      </c>
      <c r="AD49" s="277"/>
      <c r="AE49" s="278"/>
      <c r="AF49" s="277"/>
      <c r="AG49" s="277"/>
      <c r="AH49" s="278"/>
      <c r="AI49" s="277"/>
      <c r="AJ49" s="277"/>
      <c r="AK49" s="278"/>
      <c r="AL49" s="277"/>
      <c r="AM49" s="277"/>
      <c r="AN49" s="278"/>
      <c r="AQ49" s="34" t="str">
        <f t="shared" si="1"/>
        <v>Tariff determination based on electricity product</v>
      </c>
      <c r="AU49" s="6"/>
      <c r="AW49" s="6" t="str">
        <f t="shared" si="6"/>
        <v/>
      </c>
      <c r="AY49" s="243"/>
      <c r="AZ49" s="243"/>
      <c r="BA49" s="243"/>
      <c r="BB49" s="243"/>
      <c r="BC49" s="243"/>
      <c r="BD49" s="243"/>
      <c r="BE49" s="243"/>
      <c r="BF49" s="243"/>
    </row>
    <row r="50" spans="1:58" ht="17" thickBot="1" x14ac:dyDescent="0.25">
      <c r="A50" s="34" t="s">
        <v>286</v>
      </c>
      <c r="B50" s="201"/>
      <c r="C50" s="63">
        <f>IF(_ZEV="JA",IF(AND(_Debug_Modus=_JA,N50&lt;&gt;""),N50,IF(B50="",I50,B50)),J50)</f>
        <v>0</v>
      </c>
      <c r="D50" s="38" t="s">
        <v>19</v>
      </c>
      <c r="E50" s="54" t="str">
        <f>IF(_MWStPflicht=_MWStpflichtig,"(exkl. MWSt.)","(inkl. MWSt.)")</f>
        <v>(exkl. MWSt.)</v>
      </c>
      <c r="F50" s="54" t="s">
        <v>502</v>
      </c>
      <c r="G50" s="240"/>
      <c r="H50" s="240"/>
      <c r="I50" s="21">
        <v>0</v>
      </c>
      <c r="J50" s="21">
        <v>0</v>
      </c>
      <c r="M50" s="36"/>
      <c r="N50" s="7" t="str">
        <f t="shared" si="3"/>
        <v/>
      </c>
      <c r="O50" s="7" t="str">
        <f t="shared" ref="O50:O90" si="8">IF(_xlfn.XLOOKUP($O$3,$Q$2:$AN$2,Q50:AN50,"-",0,1)&lt;&gt;"",_xlfn.XLOOKUP($O$3,$Q$2:$AN$2,Q50:AN50,"-",0,1),"")</f>
        <v/>
      </c>
      <c r="P50" s="273" t="str">
        <f t="shared" ref="P50:P90" si="9">IF(_xlfn.XLOOKUP($O$3,$Q$3:$AN$3,Q50:AN50,"-",0,1)&lt;&gt;"",_xlfn.XLOOKUP($O$3,$Q$3:$AN$3,Q50:AN50,"-",0,1),"")</f>
        <v/>
      </c>
      <c r="Q50" s="277"/>
      <c r="R50" s="277"/>
      <c r="S50" s="278"/>
      <c r="T50" s="277"/>
      <c r="U50" s="277"/>
      <c r="V50" s="278"/>
      <c r="W50" s="277"/>
      <c r="X50" s="277"/>
      <c r="Y50" s="278"/>
      <c r="Z50" s="277"/>
      <c r="AA50" s="277"/>
      <c r="AB50" s="278"/>
      <c r="AC50" s="277"/>
      <c r="AD50" s="277"/>
      <c r="AE50" s="278"/>
      <c r="AF50" s="277"/>
      <c r="AG50" s="277"/>
      <c r="AH50" s="278"/>
      <c r="AI50" s="277"/>
      <c r="AJ50" s="277"/>
      <c r="AK50" s="278"/>
      <c r="AL50" s="277"/>
      <c r="AM50" s="277"/>
      <c r="AN50" s="278"/>
      <c r="AQ50" s="34" t="str">
        <f t="shared" si="1"/>
        <v>Billing costs ZEV (per kWh self-consumption)</v>
      </c>
      <c r="AU50" s="6" t="s">
        <v>308</v>
      </c>
      <c r="AW50" s="6" t="str">
        <f t="shared" si="6"/>
        <v>No billing costs per kWh are used, but a basic fee</v>
      </c>
      <c r="AY50" s="244" t="s">
        <v>221</v>
      </c>
      <c r="AZ50" s="245"/>
      <c r="BA50" s="245"/>
      <c r="BB50" s="245"/>
      <c r="BC50" s="245"/>
      <c r="BD50" s="245"/>
      <c r="BE50" s="245"/>
      <c r="BF50" s="245"/>
    </row>
    <row r="51" spans="1:58" x14ac:dyDescent="0.2">
      <c r="A51" s="51" t="s">
        <v>410</v>
      </c>
      <c r="B51" s="303"/>
      <c r="C51" s="304">
        <f>IF(_ZEV="JA",IF(AND(_Debug_Modus=_JA,N51&lt;&gt;""),N51,IF(B51="",I51,B51)),J51)</f>
        <v>8</v>
      </c>
      <c r="D51" s="51" t="s">
        <v>303</v>
      </c>
      <c r="E51" s="52" t="str">
        <f>IF(_MWStPflicht=_MWStpflichtig,"(exkl. MWSt.)","(inkl. MWSt.)")</f>
        <v>(exkl. MWSt.)</v>
      </c>
      <c r="F51" s="52" t="s">
        <v>441</v>
      </c>
      <c r="G51" s="52"/>
      <c r="H51" s="241"/>
      <c r="I51" s="21">
        <f>10*0.8</f>
        <v>8</v>
      </c>
      <c r="J51" s="21">
        <v>0</v>
      </c>
      <c r="M51" s="36"/>
      <c r="N51" s="7">
        <f t="shared" si="3"/>
        <v>6</v>
      </c>
      <c r="O51" s="7" t="str">
        <f t="shared" si="8"/>
        <v/>
      </c>
      <c r="P51" s="273" t="str">
        <f t="shared" si="9"/>
        <v/>
      </c>
      <c r="Q51" s="277"/>
      <c r="R51" s="277"/>
      <c r="S51" s="278"/>
      <c r="T51" s="277"/>
      <c r="U51" s="277"/>
      <c r="V51" s="278"/>
      <c r="W51" s="277"/>
      <c r="X51" s="277"/>
      <c r="Y51" s="278"/>
      <c r="Z51" s="277">
        <v>6</v>
      </c>
      <c r="AA51" s="277"/>
      <c r="AB51" s="278"/>
      <c r="AC51" s="277">
        <v>6</v>
      </c>
      <c r="AD51" s="277"/>
      <c r="AE51" s="278"/>
      <c r="AF51" s="277"/>
      <c r="AG51" s="277"/>
      <c r="AH51" s="278"/>
      <c r="AI51" s="277"/>
      <c r="AJ51" s="277"/>
      <c r="AK51" s="278"/>
      <c r="AL51" s="277"/>
      <c r="AM51" s="277"/>
      <c r="AN51" s="278"/>
      <c r="AQ51" s="51" t="str">
        <f t="shared" si="1"/>
        <v>Basic costs for billing ZEV per participant</v>
      </c>
      <c r="AU51" s="6" t="s">
        <v>449</v>
      </c>
      <c r="AW51" s="6" t="str">
        <f t="shared" si="6"/>
        <v>80% of the basic price of the individual participants can be charged. A basic price of 10 CHF/month is assumed</v>
      </c>
      <c r="AY51" s="243"/>
      <c r="AZ51" s="243"/>
      <c r="BA51" s="243"/>
      <c r="BB51" s="243"/>
      <c r="BC51" s="243"/>
      <c r="BD51" s="243"/>
      <c r="BE51" s="243"/>
      <c r="BF51" s="243"/>
    </row>
    <row r="52" spans="1:58" x14ac:dyDescent="0.2">
      <c r="A52" s="34" t="s">
        <v>325</v>
      </c>
      <c r="B52" s="226">
        <v>0</v>
      </c>
      <c r="C52" s="46" t="s">
        <v>409</v>
      </c>
      <c r="D52" s="46"/>
      <c r="E52" s="46">
        <f>B52*_Anzahl_Verbraucher*12</f>
        <v>0</v>
      </c>
      <c r="F52" s="38" t="s">
        <v>95</v>
      </c>
      <c r="G52" s="38"/>
      <c r="H52" s="39"/>
      <c r="M52" s="36"/>
      <c r="N52" s="7" t="str">
        <f>IF(_xlfn.XLOOKUP($O$3,$Q$1:$AN$1,Q52:AN52,"-",0,1)&lt;&gt;"",_xlfn.XLOOKUP($O$3,$Q$1:$AN$1,Q52:AN52,"-",0,1),"")</f>
        <v/>
      </c>
      <c r="O52" s="7" t="str">
        <f>IF(_xlfn.XLOOKUP($O$3,$Q$2:$AN$2,Q52:AN52,"-",0,1)&lt;&gt;"",_xlfn.XLOOKUP($O$3,$Q$2:$AN$2,Q52:AN52,"-",0,1),"")</f>
        <v/>
      </c>
      <c r="P52" s="273" t="str">
        <f>IF(_xlfn.XLOOKUP($O$3,$Q$3:$AN$3,Q52:AN52,"-",0,1)&lt;&gt;"",_xlfn.XLOOKUP($O$3,$Q$3:$AN$3,Q52:AN52,"-",0,1),"")</f>
        <v/>
      </c>
      <c r="Q52" s="277"/>
      <c r="R52" s="277"/>
      <c r="S52" s="278"/>
      <c r="T52" s="277"/>
      <c r="U52" s="277"/>
      <c r="V52" s="278"/>
      <c r="W52" s="277"/>
      <c r="X52" s="277"/>
      <c r="Y52" s="278"/>
      <c r="Z52" s="277"/>
      <c r="AA52" s="277"/>
      <c r="AB52" s="278"/>
      <c r="AC52" s="277"/>
      <c r="AD52" s="277"/>
      <c r="AE52" s="278"/>
      <c r="AF52" s="277"/>
      <c r="AG52" s="277"/>
      <c r="AH52" s="278"/>
      <c r="AI52" s="277"/>
      <c r="AJ52" s="277"/>
      <c r="AK52" s="278"/>
      <c r="AL52" s="277"/>
      <c r="AM52" s="277"/>
      <c r="AN52" s="278"/>
      <c r="AQ52" s="34" t="str">
        <f t="shared" si="1"/>
        <v>Auxiliary invoice operating costs ZEV</v>
      </c>
      <c r="AU52" s="6" t="s">
        <v>337</v>
      </c>
      <c r="AW52" s="6" t="str">
        <f t="shared" si="6"/>
        <v>No assumptions are calculated for the operating costs of the ZEV.</v>
      </c>
      <c r="AY52" s="243"/>
      <c r="AZ52" s="243"/>
      <c r="BA52" s="243"/>
      <c r="BB52" s="243"/>
      <c r="BC52" s="243"/>
      <c r="BD52" s="243"/>
      <c r="BE52" s="243"/>
      <c r="BF52" s="243"/>
    </row>
    <row r="53" spans="1:58" x14ac:dyDescent="0.2">
      <c r="A53" s="37" t="s">
        <v>305</v>
      </c>
      <c r="B53" s="57"/>
      <c r="C53" s="55">
        <f>IF(_ZEV=_NEIN,0,IF(B53="",IF(AND(_Debug_Modus=_JA,N53&lt;&gt;""),N53,I53),B53))</f>
        <v>0</v>
      </c>
      <c r="D53" s="51" t="s">
        <v>95</v>
      </c>
      <c r="E53" s="52" t="str">
        <f>IF(_MWStPflicht=_MWStpflichtig,"(exkl. MWSt.)","(inkl. MWSt.)")</f>
        <v>(exkl. MWSt.)</v>
      </c>
      <c r="F53" s="298" t="s">
        <v>399</v>
      </c>
      <c r="G53" s="51"/>
      <c r="H53" s="241"/>
      <c r="I53" s="22">
        <f>E52</f>
        <v>0</v>
      </c>
      <c r="J53" s="253"/>
      <c r="M53" s="36"/>
      <c r="N53" s="7">
        <f>IF(_xlfn.XLOOKUP($O$3,$Q$1:$AN$1,Q53:AN53,"-",0,1)&lt;&gt;"",_xlfn.XLOOKUP($O$3,$Q$1:$AN$1,Q53:AN53,"-",0,1),"")</f>
        <v>2160</v>
      </c>
      <c r="O53" s="7" t="str">
        <f>IF(_xlfn.XLOOKUP($O$3,$Q$2:$AN$2,Q53:AN53,"-",0,1)&lt;&gt;"",_xlfn.XLOOKUP($O$3,$Q$2:$AN$2,Q53:AN53,"-",0,1),"")</f>
        <v/>
      </c>
      <c r="P53" s="273" t="str">
        <f>IF(_xlfn.XLOOKUP($O$3,$Q$3:$AN$3,Q53:AN53,"-",0,1)&lt;&gt;"",_xlfn.XLOOKUP($O$3,$Q$3:$AN$3,Q53:AN53,"-",0,1),"")</f>
        <v/>
      </c>
      <c r="Q53" s="277"/>
      <c r="R53" s="277"/>
      <c r="S53" s="278"/>
      <c r="T53" s="277"/>
      <c r="U53" s="277"/>
      <c r="V53" s="278"/>
      <c r="W53" s="277"/>
      <c r="X53" s="277"/>
      <c r="Y53" s="278"/>
      <c r="Z53" s="277">
        <f>4.5*Z42*12</f>
        <v>2160</v>
      </c>
      <c r="AA53" s="277"/>
      <c r="AB53" s="278"/>
      <c r="AC53" s="277">
        <v>2160</v>
      </c>
      <c r="AD53" s="277"/>
      <c r="AE53" s="278"/>
      <c r="AF53" s="277"/>
      <c r="AG53" s="277"/>
      <c r="AH53" s="278"/>
      <c r="AI53" s="277"/>
      <c r="AJ53" s="277"/>
      <c r="AK53" s="278"/>
      <c r="AL53" s="277"/>
      <c r="AM53" s="277"/>
      <c r="AN53" s="278"/>
      <c r="AQ53" s="37" t="str">
        <f t="shared" si="1"/>
        <v>Operating costs ZEV (administration and accounting)</v>
      </c>
      <c r="AU53" s="6"/>
      <c r="AW53" s="6" t="str">
        <f t="shared" si="6"/>
        <v/>
      </c>
      <c r="AY53" s="243"/>
      <c r="AZ53" s="243"/>
      <c r="BA53" s="243"/>
      <c r="BB53" s="243"/>
      <c r="BC53" s="243"/>
      <c r="BD53" s="243"/>
      <c r="BE53" s="243"/>
      <c r="BF53" s="243"/>
    </row>
    <row r="54" spans="1:58" x14ac:dyDescent="0.2">
      <c r="A54" s="310"/>
      <c r="B54" s="310"/>
      <c r="C54" s="310"/>
      <c r="D54" s="310"/>
      <c r="E54" s="310"/>
      <c r="F54" s="310"/>
      <c r="G54" s="310"/>
      <c r="H54" s="310"/>
      <c r="M54" s="36"/>
      <c r="N54" s="243" t="str">
        <f t="shared" si="3"/>
        <v/>
      </c>
      <c r="O54" s="243" t="str">
        <f t="shared" si="8"/>
        <v/>
      </c>
      <c r="P54" s="261" t="str">
        <f t="shared" si="9"/>
        <v/>
      </c>
      <c r="Q54" s="208"/>
      <c r="R54" s="208"/>
      <c r="S54" s="276"/>
      <c r="T54" s="208"/>
      <c r="U54" s="208"/>
      <c r="V54" s="276"/>
      <c r="W54" s="208"/>
      <c r="X54" s="208"/>
      <c r="Y54" s="276"/>
      <c r="Z54" s="208"/>
      <c r="AA54" s="208"/>
      <c r="AB54" s="276"/>
      <c r="AC54" s="208"/>
      <c r="AD54" s="208"/>
      <c r="AE54" s="276"/>
      <c r="AF54" s="208"/>
      <c r="AG54" s="208"/>
      <c r="AH54" s="276"/>
      <c r="AI54" s="208"/>
      <c r="AJ54" s="208"/>
      <c r="AK54" s="276"/>
      <c r="AL54" s="208"/>
      <c r="AM54" s="208"/>
      <c r="AN54" s="276"/>
      <c r="AQ54" s="2" t="str">
        <f t="shared" si="1"/>
        <v/>
      </c>
      <c r="AW54" s="2" t="str">
        <f t="shared" si="6"/>
        <v/>
      </c>
      <c r="AY54" s="12" t="s">
        <v>226</v>
      </c>
      <c r="AZ54" s="243"/>
      <c r="BA54" s="243"/>
      <c r="BB54" s="369" t="s">
        <v>124</v>
      </c>
      <c r="BC54" s="369"/>
      <c r="BD54" s="369"/>
      <c r="BE54" s="369"/>
      <c r="BF54" s="369"/>
    </row>
    <row r="55" spans="1:58" x14ac:dyDescent="0.2">
      <c r="A55" s="31" t="s">
        <v>207</v>
      </c>
      <c r="B55" s="32"/>
      <c r="C55" s="32"/>
      <c r="D55" s="32"/>
      <c r="E55" s="239" t="s">
        <v>212</v>
      </c>
      <c r="F55" s="32"/>
      <c r="G55" s="33"/>
      <c r="H55" s="33"/>
      <c r="M55" s="36"/>
      <c r="N55" s="7" t="str">
        <f t="shared" si="3"/>
        <v/>
      </c>
      <c r="O55" s="7" t="str">
        <f t="shared" si="8"/>
        <v/>
      </c>
      <c r="P55" s="273" t="str">
        <f t="shared" si="9"/>
        <v/>
      </c>
      <c r="Q55" s="277"/>
      <c r="R55" s="277"/>
      <c r="S55" s="278"/>
      <c r="T55" s="277"/>
      <c r="U55" s="277"/>
      <c r="V55" s="278"/>
      <c r="W55" s="277"/>
      <c r="X55" s="277"/>
      <c r="Y55" s="278"/>
      <c r="Z55" s="277"/>
      <c r="AA55" s="277"/>
      <c r="AB55" s="278"/>
      <c r="AC55" s="277"/>
      <c r="AD55" s="277"/>
      <c r="AE55" s="278"/>
      <c r="AF55" s="277"/>
      <c r="AG55" s="277"/>
      <c r="AH55" s="278"/>
      <c r="AI55" s="277"/>
      <c r="AJ55" s="277"/>
      <c r="AK55" s="278"/>
      <c r="AL55" s="277"/>
      <c r="AM55" s="277"/>
      <c r="AN55" s="278"/>
      <c r="AQ55" s="31" t="str">
        <f t="shared" si="1"/>
        <v>Local Electricity Community</v>
      </c>
      <c r="AU55" s="6"/>
      <c r="AW55" s="6" t="str">
        <f t="shared" si="6"/>
        <v/>
      </c>
      <c r="AY55" s="12"/>
      <c r="AZ55" s="243"/>
      <c r="BA55" s="243"/>
      <c r="BB55" s="248">
        <v>0.8</v>
      </c>
      <c r="BC55" s="248">
        <v>0.9</v>
      </c>
      <c r="BD55" s="248">
        <v>1</v>
      </c>
      <c r="BE55" s="248">
        <v>1.1000000000000001</v>
      </c>
      <c r="BF55" s="248">
        <v>1.2</v>
      </c>
    </row>
    <row r="56" spans="1:58" x14ac:dyDescent="0.2">
      <c r="A56" s="34" t="s">
        <v>202</v>
      </c>
      <c r="B56" s="197" t="s">
        <v>126</v>
      </c>
      <c r="C56" s="48" t="str">
        <f>IF(_Debug_Modus=_JA,N56,IF(B56="",I56,B56))</f>
        <v>JA</v>
      </c>
      <c r="D56" s="38"/>
      <c r="E56" s="54"/>
      <c r="F56" s="38"/>
      <c r="G56" s="38"/>
      <c r="H56" s="39"/>
      <c r="I56" s="23" t="str">
        <f>_JA</f>
        <v>JA</v>
      </c>
      <c r="J56" s="23" t="str">
        <f>_NEIN</f>
        <v>NEIN</v>
      </c>
      <c r="M56" s="36"/>
      <c r="N56" s="7" t="str">
        <f t="shared" si="3"/>
        <v>NEIN</v>
      </c>
      <c r="O56" s="7" t="str">
        <f t="shared" si="8"/>
        <v/>
      </c>
      <c r="P56" s="273" t="str">
        <f t="shared" si="9"/>
        <v/>
      </c>
      <c r="Q56" s="277" t="s">
        <v>127</v>
      </c>
      <c r="R56" s="277"/>
      <c r="S56" s="278"/>
      <c r="T56" s="277" t="s">
        <v>127</v>
      </c>
      <c r="U56" s="277"/>
      <c r="V56" s="278"/>
      <c r="W56" s="277" t="s">
        <v>127</v>
      </c>
      <c r="X56" s="277"/>
      <c r="Y56" s="278"/>
      <c r="Z56" s="277" t="s">
        <v>127</v>
      </c>
      <c r="AA56" s="277"/>
      <c r="AB56" s="278"/>
      <c r="AC56" s="277" t="s">
        <v>126</v>
      </c>
      <c r="AD56" s="277"/>
      <c r="AE56" s="278"/>
      <c r="AF56" s="277"/>
      <c r="AG56" s="277"/>
      <c r="AH56" s="278"/>
      <c r="AI56" s="277"/>
      <c r="AJ56" s="277"/>
      <c r="AK56" s="278"/>
      <c r="AL56" s="277"/>
      <c r="AM56" s="277"/>
      <c r="AN56" s="278"/>
      <c r="AQ56" s="34" t="str">
        <f t="shared" si="1"/>
        <v>LEG</v>
      </c>
      <c r="AU56" s="6"/>
      <c r="AW56" s="6" t="str">
        <f t="shared" si="6"/>
        <v/>
      </c>
      <c r="AY56" s="12"/>
      <c r="AZ56" s="243"/>
      <c r="BA56" s="246" t="str">
        <f>_Projektrendite_mit_Batterie</f>
        <v>--</v>
      </c>
      <c r="BB56" s="7">
        <f>$BD56*BB55</f>
        <v>0.18559999999999999</v>
      </c>
      <c r="BC56" s="7">
        <f>$BD56*BC55</f>
        <v>0.20879999999999999</v>
      </c>
      <c r="BD56" s="249">
        <f>IF(B47="",IF(AND(_Debug_Modus=_JA,N47&lt;&gt;""),N47,I47),B47)</f>
        <v>0.23199999999999998</v>
      </c>
      <c r="BE56" s="7">
        <f>$BD56*BE55</f>
        <v>0.25519999999999998</v>
      </c>
      <c r="BF56" s="7">
        <f>$BD56*BF55</f>
        <v>0.27839999999999998</v>
      </c>
    </row>
    <row r="57" spans="1:58" x14ac:dyDescent="0.2">
      <c r="A57" s="34" t="s">
        <v>372</v>
      </c>
      <c r="B57" s="197" t="s">
        <v>375</v>
      </c>
      <c r="C57" s="48" t="str">
        <f>IF(_Debug_Modus=_JA,N57,IF(B57="",I57,B57))</f>
        <v>NE 5 &amp; 7</v>
      </c>
      <c r="D57" s="38"/>
      <c r="E57" s="54" t="s">
        <v>427</v>
      </c>
      <c r="F57" s="38"/>
      <c r="G57" s="39"/>
      <c r="H57" s="39"/>
      <c r="I57" s="23"/>
      <c r="J57" s="23"/>
      <c r="M57" s="36"/>
      <c r="N57" s="7" t="s">
        <v>375</v>
      </c>
      <c r="O57" s="7" t="str">
        <f t="shared" si="8"/>
        <v/>
      </c>
      <c r="P57" s="273" t="str">
        <f t="shared" si="9"/>
        <v/>
      </c>
      <c r="Q57" s="277" t="s">
        <v>375</v>
      </c>
      <c r="R57" s="277"/>
      <c r="S57" s="278"/>
      <c r="T57" s="277" t="s">
        <v>375</v>
      </c>
      <c r="U57" s="277"/>
      <c r="V57" s="278"/>
      <c r="W57" s="277" t="s">
        <v>375</v>
      </c>
      <c r="X57" s="277"/>
      <c r="Y57" s="278"/>
      <c r="Z57" s="277" t="s">
        <v>375</v>
      </c>
      <c r="AA57" s="277"/>
      <c r="AB57" s="278"/>
      <c r="AC57" s="277" t="s">
        <v>375</v>
      </c>
      <c r="AD57" s="277"/>
      <c r="AE57" s="278"/>
      <c r="AF57" s="277"/>
      <c r="AG57" s="277"/>
      <c r="AH57" s="278"/>
      <c r="AI57" s="277"/>
      <c r="AJ57" s="277"/>
      <c r="AK57" s="278"/>
      <c r="AL57" s="277"/>
      <c r="AM57" s="277"/>
      <c r="AN57" s="278"/>
      <c r="AQ57" s="34" t="str">
        <f t="shared" si="1"/>
        <v>Use of network levels</v>
      </c>
      <c r="AU57" s="6"/>
      <c r="AW57" s="6" t="str">
        <f t="shared" si="6"/>
        <v/>
      </c>
      <c r="AY57" s="374" t="s">
        <v>222</v>
      </c>
      <c r="AZ57" s="248">
        <v>1.2</v>
      </c>
      <c r="BA57" s="247">
        <f>$BA$59*AZ57</f>
        <v>0</v>
      </c>
      <c r="BB57" s="246" t="str">
        <f t="dataTable" ref="BB57:BF61" dt2D="1" dtr="1" r1="C47" r2="C100" ca="1"/>
        <v>--</v>
      </c>
      <c r="BC57" s="246" t="str">
        <v>--</v>
      </c>
      <c r="BD57" s="246" t="str">
        <v>--</v>
      </c>
      <c r="BE57" s="246" t="str">
        <v>--</v>
      </c>
      <c r="BF57" s="246" t="str">
        <v>--</v>
      </c>
    </row>
    <row r="58" spans="1:58" x14ac:dyDescent="0.2">
      <c r="A58" s="34" t="s">
        <v>515</v>
      </c>
      <c r="B58" s="173"/>
      <c r="C58" s="44">
        <f>IF(_LEG=_NEIN,0,IF(IF(B58="",IF(AND(_Debug_Modus=_JA,N58&lt;&gt;""),N58,I58),B58)&lt;K58,K58,IF(IF(B58="",IF(AND(_Debug_Modus=_JA,N58&lt;&gt;""),N58,I58),B58)&gt;L58,L58,IF(B58="",IF(AND(_Debug_Modus=_JA,N58&lt;&gt;""),N58,I58),B58))))</f>
        <v>66.729576289963802</v>
      </c>
      <c r="D58" s="38" t="s">
        <v>34</v>
      </c>
      <c r="E58" s="54" t="s">
        <v>35</v>
      </c>
      <c r="F58" s="54"/>
      <c r="G58" s="38"/>
      <c r="H58" s="39"/>
      <c r="I58" s="21">
        <f>L58</f>
        <v>66.729576289963802</v>
      </c>
      <c r="K58" s="21">
        <v>0</v>
      </c>
      <c r="L58" s="21">
        <f>100-_Eigennutzungsgrad-_Erhöhung_Eigennutzungsgrad_Speicher</f>
        <v>66.729576289963802</v>
      </c>
      <c r="M58" s="36"/>
      <c r="N58" s="7" t="str">
        <f t="shared" ref="N58:N96" si="10">IF(_xlfn.XLOOKUP($O$3,$Q$1:$AN$1,Q58:AN58,"-",0,1)&lt;&gt;"",_xlfn.XLOOKUP($O$3,$Q$1:$AN$1,Q58:AN58,"-",0,1),"")</f>
        <v/>
      </c>
      <c r="O58" s="7" t="str">
        <f t="shared" si="8"/>
        <v/>
      </c>
      <c r="P58" s="273" t="str">
        <f t="shared" si="9"/>
        <v/>
      </c>
      <c r="Q58" s="277"/>
      <c r="R58" s="277"/>
      <c r="S58" s="278"/>
      <c r="T58" s="277"/>
      <c r="U58" s="277"/>
      <c r="V58" s="278"/>
      <c r="W58" s="277"/>
      <c r="X58" s="277"/>
      <c r="Y58" s="278"/>
      <c r="Z58" s="277"/>
      <c r="AA58" s="277"/>
      <c r="AB58" s="278"/>
      <c r="AC58" s="277"/>
      <c r="AD58" s="277"/>
      <c r="AE58" s="278"/>
      <c r="AF58" s="277"/>
      <c r="AG58" s="277"/>
      <c r="AH58" s="278"/>
      <c r="AI58" s="277"/>
      <c r="AJ58" s="277"/>
      <c r="AK58" s="278"/>
      <c r="AL58" s="277"/>
      <c r="AM58" s="277"/>
      <c r="AN58" s="278"/>
      <c r="AQ58" s="34" t="str">
        <f t="shared" si="1"/>
        <v>Share of solar power in LEG in %</v>
      </c>
      <c r="AU58" s="6" t="s">
        <v>460</v>
      </c>
      <c r="AW58" s="6" t="str">
        <f t="shared" si="6"/>
        <v>The default value is calculated in such a way that the entire surplus (excluding self-consumption and self-consumption battery) is sold in the LEG.</v>
      </c>
      <c r="AY58" s="374"/>
      <c r="AZ58" s="248">
        <v>1.1000000000000001</v>
      </c>
      <c r="BA58" s="247">
        <f>$BA$59*AZ58</f>
        <v>0</v>
      </c>
      <c r="BB58" s="246" t="str">
        <v>--</v>
      </c>
      <c r="BC58" s="246" t="str">
        <v>--</v>
      </c>
      <c r="BD58" s="246" t="str">
        <v>--</v>
      </c>
      <c r="BE58" s="246" t="str">
        <v>--</v>
      </c>
      <c r="BF58" s="246" t="str">
        <v>--</v>
      </c>
    </row>
    <row r="59" spans="1:58" x14ac:dyDescent="0.2">
      <c r="A59" s="34" t="s">
        <v>516</v>
      </c>
      <c r="B59" s="290"/>
      <c r="C59" s="292">
        <f>_Anteil_LEG/100*_Durchschnittlicher_Energieertrag</f>
        <v>2828.6667389315653</v>
      </c>
      <c r="D59" s="38" t="s">
        <v>117</v>
      </c>
      <c r="E59" s="54" t="s">
        <v>501</v>
      </c>
      <c r="F59" s="54"/>
      <c r="G59" s="51"/>
      <c r="H59" s="39"/>
      <c r="I59" s="21"/>
      <c r="K59" s="21"/>
      <c r="L59" s="21"/>
      <c r="M59" s="36"/>
      <c r="N59" s="7"/>
      <c r="O59" s="7"/>
      <c r="P59" s="273"/>
      <c r="Q59" s="277"/>
      <c r="R59" s="277"/>
      <c r="S59" s="278"/>
      <c r="T59" s="277"/>
      <c r="U59" s="277"/>
      <c r="V59" s="278"/>
      <c r="W59" s="277"/>
      <c r="X59" s="277"/>
      <c r="Y59" s="278"/>
      <c r="Z59" s="277"/>
      <c r="AA59" s="277"/>
      <c r="AB59" s="278"/>
      <c r="AC59" s="277"/>
      <c r="AD59" s="277"/>
      <c r="AE59" s="278"/>
      <c r="AF59" s="277"/>
      <c r="AG59" s="277"/>
      <c r="AH59" s="278"/>
      <c r="AI59" s="277"/>
      <c r="AJ59" s="277"/>
      <c r="AK59" s="278"/>
      <c r="AL59" s="277"/>
      <c r="AM59" s="277"/>
      <c r="AN59" s="278"/>
      <c r="AQ59" s="34" t="str">
        <f t="shared" si="1"/>
        <v>Share of solar power in LEG in kWh</v>
      </c>
      <c r="AU59" s="6"/>
      <c r="AW59" s="6" t="str">
        <f t="shared" si="6"/>
        <v/>
      </c>
      <c r="AY59" s="374"/>
      <c r="AZ59" s="248">
        <v>1</v>
      </c>
      <c r="BA59" s="250">
        <f>IF(B100="",IF(AND(_Debug_Modus=_JA,N100&lt;&gt;""),N100,I100),B100)</f>
        <v>0</v>
      </c>
      <c r="BB59" s="246" t="str">
        <v>--</v>
      </c>
      <c r="BC59" s="246" t="str">
        <v>--</v>
      </c>
      <c r="BD59" s="246" t="str">
        <v>--</v>
      </c>
      <c r="BE59" s="246" t="str">
        <v>--</v>
      </c>
      <c r="BF59" s="246" t="str">
        <v>--</v>
      </c>
    </row>
    <row r="60" spans="1:58" x14ac:dyDescent="0.2">
      <c r="A60" s="68" t="s">
        <v>504</v>
      </c>
      <c r="B60" s="202"/>
      <c r="C60" s="69">
        <f>IF(_LEG="JA",IF(AND(_Debug_Modus=_JA,N60&lt;&gt;""),N60,IF(B60="",I60,B60)),J60)</f>
        <v>9.6666666666666665E-2</v>
      </c>
      <c r="D60" s="32" t="s">
        <v>19</v>
      </c>
      <c r="E60" s="239" t="str">
        <f>IF(_MWStPflicht=_MWStpflichtig,"(exkl. MWSt.)","(inkl. MWSt.)")</f>
        <v>(exkl. MWSt.)</v>
      </c>
      <c r="F60" s="239" t="s">
        <v>459</v>
      </c>
      <c r="G60" s="39"/>
      <c r="H60" s="33"/>
      <c r="I60" s="21">
        <f>0.29*1/3</f>
        <v>9.6666666666666665E-2</v>
      </c>
      <c r="J60" s="21">
        <v>0</v>
      </c>
      <c r="M60" s="36"/>
      <c r="N60" s="7" t="str">
        <f t="shared" si="10"/>
        <v/>
      </c>
      <c r="O60" s="7" t="str">
        <f t="shared" si="8"/>
        <v/>
      </c>
      <c r="P60" s="273" t="str">
        <f t="shared" si="9"/>
        <v/>
      </c>
      <c r="Q60" s="277"/>
      <c r="R60" s="277"/>
      <c r="S60" s="278"/>
      <c r="T60" s="277"/>
      <c r="U60" s="277"/>
      <c r="V60" s="278"/>
      <c r="W60" s="277"/>
      <c r="X60" s="277"/>
      <c r="Y60" s="278"/>
      <c r="Z60" s="277"/>
      <c r="AA60" s="277"/>
      <c r="AB60" s="278"/>
      <c r="AC60" s="277">
        <v>0.1</v>
      </c>
      <c r="AD60" s="277"/>
      <c r="AE60" s="278"/>
      <c r="AF60" s="277"/>
      <c r="AG60" s="277"/>
      <c r="AH60" s="278"/>
      <c r="AI60" s="277"/>
      <c r="AJ60" s="277"/>
      <c r="AK60" s="278"/>
      <c r="AL60" s="277"/>
      <c r="AM60" s="277"/>
      <c r="AN60" s="278"/>
      <c r="AQ60" s="68" t="str">
        <f t="shared" si="1"/>
        <v>PV electricity tariff LEG incl. billing</v>
      </c>
      <c r="AU60" s="6" t="s">
        <v>450</v>
      </c>
      <c r="AW60" s="6" t="str">
        <f t="shared" si="6"/>
        <v>The PV electricity tariff in the LEG is 1/3 of the electricity price H4 Total (May / 2025) of https://www.strompreis.elcom.admin.ch/.</v>
      </c>
      <c r="AY60" s="374"/>
      <c r="AZ60" s="248">
        <v>0.90000000000000013</v>
      </c>
      <c r="BA60" s="247">
        <f>$BA$59*AZ60</f>
        <v>0</v>
      </c>
      <c r="BB60" s="246" t="str">
        <v>--</v>
      </c>
      <c r="BC60" s="246" t="str">
        <v>--</v>
      </c>
      <c r="BD60" s="246" t="str">
        <v>--</v>
      </c>
      <c r="BE60" s="246" t="str">
        <v>--</v>
      </c>
      <c r="BF60" s="246" t="str">
        <v>--</v>
      </c>
    </row>
    <row r="61" spans="1:58" x14ac:dyDescent="0.2">
      <c r="A61" s="34" t="s">
        <v>291</v>
      </c>
      <c r="B61" s="201"/>
      <c r="C61" s="63">
        <f>IF(_LEG="JA",IF(AND(_Debug_Modus=_JA,N61&lt;&gt;""),N61,IF(B61="",I61,B61)),J61)</f>
        <v>1.4999999999999999E-2</v>
      </c>
      <c r="D61" s="38" t="s">
        <v>19</v>
      </c>
      <c r="E61" s="54" t="str">
        <f>IF(_MWStPflicht=_MWStpflichtig,"(exkl. MWSt.)","(inkl. MWSt.)")</f>
        <v>(exkl. MWSt.)</v>
      </c>
      <c r="F61" s="54" t="s">
        <v>382</v>
      </c>
      <c r="G61" s="39"/>
      <c r="H61" s="39"/>
      <c r="I61" s="21">
        <v>1.4999999999999999E-2</v>
      </c>
      <c r="J61" s="21">
        <v>0</v>
      </c>
      <c r="M61" s="36"/>
      <c r="N61" s="7" t="str">
        <f t="shared" si="10"/>
        <v/>
      </c>
      <c r="O61" s="7" t="str">
        <f t="shared" si="8"/>
        <v/>
      </c>
      <c r="P61" s="273" t="str">
        <f t="shared" si="9"/>
        <v/>
      </c>
      <c r="Q61" s="277"/>
      <c r="R61" s="277"/>
      <c r="S61" s="278"/>
      <c r="T61" s="277"/>
      <c r="U61" s="277"/>
      <c r="V61" s="278"/>
      <c r="W61" s="277"/>
      <c r="X61" s="277"/>
      <c r="Y61" s="278"/>
      <c r="Z61" s="277"/>
      <c r="AA61" s="277"/>
      <c r="AB61" s="278"/>
      <c r="AC61" s="277">
        <v>0.02</v>
      </c>
      <c r="AD61" s="277"/>
      <c r="AE61" s="278"/>
      <c r="AF61" s="277"/>
      <c r="AG61" s="277"/>
      <c r="AH61" s="278"/>
      <c r="AI61" s="277"/>
      <c r="AJ61" s="277"/>
      <c r="AK61" s="278"/>
      <c r="AL61" s="277"/>
      <c r="AM61" s="277"/>
      <c r="AN61" s="278"/>
      <c r="AQ61" s="34" t="str">
        <f t="shared" si="1"/>
        <v>Billing costs LEG</v>
      </c>
      <c r="AU61" s="6" t="s">
        <v>428</v>
      </c>
      <c r="AW61" s="6" t="str">
        <f t="shared" si="6"/>
        <v>The billing costs of the LEG are assumed to be 1.5 cents/kWh.</v>
      </c>
      <c r="AY61" s="374"/>
      <c r="AZ61" s="248">
        <v>0.8</v>
      </c>
      <c r="BA61" s="247">
        <f>$BA$59*AZ61</f>
        <v>0</v>
      </c>
      <c r="BB61" s="246" t="str">
        <v>--</v>
      </c>
      <c r="BC61" s="246" t="str">
        <v>--</v>
      </c>
      <c r="BD61" s="246" t="str">
        <v>--</v>
      </c>
      <c r="BE61" s="246" t="str">
        <v>--</v>
      </c>
      <c r="BF61" s="246" t="str">
        <v>--</v>
      </c>
    </row>
    <row r="62" spans="1:58" x14ac:dyDescent="0.2">
      <c r="A62" s="37" t="s">
        <v>503</v>
      </c>
      <c r="B62" s="172"/>
      <c r="C62" s="67">
        <f>I62</f>
        <v>8.1666666666666665E-2</v>
      </c>
      <c r="D62" s="51" t="s">
        <v>19</v>
      </c>
      <c r="E62" s="52" t="str">
        <f>IF(_MWStPflicht=_MWStpflichtig,"(exkl. MWSt.)","(inkl. MWSt.)")</f>
        <v>(exkl. MWSt.)</v>
      </c>
      <c r="F62" s="52"/>
      <c r="G62" s="51"/>
      <c r="H62" s="53"/>
      <c r="I62" s="21">
        <f>_PV_Tarif_LEG-_Abrechnungstarif_LEG</f>
        <v>8.1666666666666665E-2</v>
      </c>
      <c r="M62" s="36"/>
      <c r="N62" s="7" t="str">
        <f t="shared" si="10"/>
        <v/>
      </c>
      <c r="O62" s="7" t="str">
        <f t="shared" si="8"/>
        <v/>
      </c>
      <c r="P62" s="273" t="str">
        <f t="shared" si="9"/>
        <v/>
      </c>
      <c r="Q62" s="277"/>
      <c r="R62" s="277"/>
      <c r="S62" s="278"/>
      <c r="T62" s="277"/>
      <c r="U62" s="277"/>
      <c r="V62" s="278"/>
      <c r="W62" s="277"/>
      <c r="X62" s="277"/>
      <c r="Y62" s="278"/>
      <c r="Z62" s="277"/>
      <c r="AA62" s="277"/>
      <c r="AB62" s="278"/>
      <c r="AC62" s="277"/>
      <c r="AD62" s="277"/>
      <c r="AE62" s="278"/>
      <c r="AF62" s="277"/>
      <c r="AG62" s="277"/>
      <c r="AH62" s="278"/>
      <c r="AI62" s="277"/>
      <c r="AJ62" s="277"/>
      <c r="AK62" s="278"/>
      <c r="AL62" s="277"/>
      <c r="AM62" s="277"/>
      <c r="AN62" s="278"/>
      <c r="AQ62" s="37" t="str">
        <f t="shared" si="1"/>
        <v>PV electricity tariff LEG excl. billing</v>
      </c>
      <c r="AU62" s="6"/>
      <c r="AW62" s="6" t="str">
        <f t="shared" si="6"/>
        <v/>
      </c>
      <c r="AY62" s="243"/>
      <c r="AZ62" s="243"/>
      <c r="BA62" s="243"/>
      <c r="BB62" s="243"/>
      <c r="BC62" s="243"/>
      <c r="BD62" s="243"/>
      <c r="BE62" s="243"/>
      <c r="BF62" s="243"/>
    </row>
    <row r="63" spans="1:58" x14ac:dyDescent="0.2">
      <c r="A63" s="34"/>
      <c r="B63" s="299"/>
      <c r="C63" s="63"/>
      <c r="D63" s="31" t="s">
        <v>522</v>
      </c>
      <c r="E63" s="300"/>
      <c r="F63" s="239"/>
      <c r="G63" s="32"/>
      <c r="H63" s="33"/>
      <c r="I63" s="21"/>
      <c r="M63" s="36"/>
      <c r="N63" s="7"/>
      <c r="O63" s="7"/>
      <c r="P63" s="273"/>
      <c r="Q63" s="277"/>
      <c r="R63" s="277"/>
      <c r="S63" s="278"/>
      <c r="T63" s="277"/>
      <c r="U63" s="277"/>
      <c r="V63" s="278"/>
      <c r="W63" s="277"/>
      <c r="X63" s="277"/>
      <c r="Y63" s="278"/>
      <c r="Z63" s="277"/>
      <c r="AA63" s="277"/>
      <c r="AB63" s="278"/>
      <c r="AC63" s="277"/>
      <c r="AD63" s="277"/>
      <c r="AE63" s="278"/>
      <c r="AF63" s="277"/>
      <c r="AG63" s="277"/>
      <c r="AH63" s="278"/>
      <c r="AI63" s="277"/>
      <c r="AJ63" s="277"/>
      <c r="AK63" s="278"/>
      <c r="AL63" s="277"/>
      <c r="AM63" s="277"/>
      <c r="AN63" s="278"/>
      <c r="AQ63" s="34" t="str">
        <f t="shared" si="1"/>
        <v/>
      </c>
      <c r="AU63" s="6"/>
      <c r="AW63" s="6" t="str">
        <f t="shared" si="6"/>
        <v/>
      </c>
      <c r="AY63" s="12" t="s">
        <v>227</v>
      </c>
      <c r="AZ63" s="243"/>
      <c r="BA63" s="243"/>
      <c r="BB63" s="369" t="s">
        <v>124</v>
      </c>
      <c r="BC63" s="369"/>
      <c r="BD63" s="369"/>
      <c r="BE63" s="369"/>
      <c r="BF63" s="369"/>
    </row>
    <row r="64" spans="1:58" x14ac:dyDescent="0.2">
      <c r="A64" s="34"/>
      <c r="B64" s="299"/>
      <c r="C64" s="63"/>
      <c r="D64" s="34" t="s">
        <v>518</v>
      </c>
      <c r="E64" s="299"/>
      <c r="F64" s="38" t="s">
        <v>520</v>
      </c>
      <c r="G64" s="299"/>
      <c r="H64" s="39" t="s">
        <v>519</v>
      </c>
      <c r="I64" s="21"/>
      <c r="M64" s="36"/>
      <c r="N64" s="7"/>
      <c r="O64" s="7"/>
      <c r="P64" s="273"/>
      <c r="Q64" s="277"/>
      <c r="R64" s="277"/>
      <c r="S64" s="278"/>
      <c r="T64" s="277"/>
      <c r="U64" s="277"/>
      <c r="V64" s="278"/>
      <c r="W64" s="277"/>
      <c r="X64" s="277"/>
      <c r="Y64" s="278"/>
      <c r="Z64" s="277"/>
      <c r="AA64" s="277"/>
      <c r="AB64" s="278"/>
      <c r="AC64" s="277"/>
      <c r="AD64" s="277"/>
      <c r="AE64" s="278"/>
      <c r="AF64" s="277"/>
      <c r="AG64" s="277"/>
      <c r="AH64" s="278"/>
      <c r="AI64" s="277"/>
      <c r="AJ64" s="277"/>
      <c r="AK64" s="278"/>
      <c r="AL64" s="277"/>
      <c r="AM64" s="277"/>
      <c r="AN64" s="278"/>
      <c r="AQ64" s="34" t="str">
        <f t="shared" si="1"/>
        <v/>
      </c>
      <c r="AU64" s="6"/>
      <c r="AW64" s="6" t="str">
        <f t="shared" si="6"/>
        <v/>
      </c>
      <c r="AY64" s="12"/>
      <c r="AZ64" s="243"/>
      <c r="BA64" s="243"/>
      <c r="BB64" s="248">
        <v>0.8</v>
      </c>
      <c r="BC64" s="248">
        <v>0.9</v>
      </c>
      <c r="BD64" s="248">
        <v>1</v>
      </c>
      <c r="BE64" s="248">
        <v>1.1000000000000001</v>
      </c>
      <c r="BF64" s="248">
        <v>1.2</v>
      </c>
    </row>
    <row r="65" spans="1:58" x14ac:dyDescent="0.2">
      <c r="A65" s="34"/>
      <c r="B65" s="299"/>
      <c r="C65" s="299"/>
      <c r="D65" s="301"/>
      <c r="E65" s="55" t="s">
        <v>326</v>
      </c>
      <c r="F65" s="55">
        <f>_Anteil_LEG/100*_spez_Jahresenergieertrag*_Anlagenleistung</f>
        <v>3002.8309330483712</v>
      </c>
      <c r="G65" s="51" t="s">
        <v>117</v>
      </c>
      <c r="H65" s="302">
        <f>D65*_Anteil_LEG/100*_Anlagenleistung*_spez_Jahresenergieertrag</f>
        <v>0</v>
      </c>
      <c r="M65" s="36"/>
      <c r="N65" s="7" t="str">
        <f>IF(_xlfn.XLOOKUP($O$3,$Q$1:$AN$1,Q65:AN65,"-",0,1)&lt;&gt;"",_xlfn.XLOOKUP($O$3,$Q$1:$AN$1,Q65:AN65,"-",0,1),"")</f>
        <v/>
      </c>
      <c r="O65" s="7" t="str">
        <f>IF(_xlfn.XLOOKUP($O$3,$Q$2:$AN$2,Q65:AN65,"-",0,1)&lt;&gt;"",_xlfn.XLOOKUP($O$3,$Q$2:$AN$2,Q65:AN65,"-",0,1),"")</f>
        <v/>
      </c>
      <c r="P65" s="273" t="str">
        <f>IF(_xlfn.XLOOKUP($O$3,$Q$3:$AN$3,Q65:AN65,"-",0,1)&lt;&gt;"",_xlfn.XLOOKUP($O$3,$Q$3:$AN$3,Q65:AN65,"-",0,1),"")</f>
        <v/>
      </c>
      <c r="Q65" s="277"/>
      <c r="R65" s="277"/>
      <c r="S65" s="278"/>
      <c r="T65" s="277"/>
      <c r="U65" s="277"/>
      <c r="V65" s="278"/>
      <c r="W65" s="277"/>
      <c r="X65" s="277"/>
      <c r="Y65" s="278"/>
      <c r="Z65" s="277"/>
      <c r="AA65" s="277"/>
      <c r="AB65" s="278"/>
      <c r="AC65" s="277"/>
      <c r="AD65" s="277"/>
      <c r="AE65" s="278"/>
      <c r="AF65" s="277"/>
      <c r="AG65" s="277"/>
      <c r="AH65" s="278"/>
      <c r="AI65" s="277"/>
      <c r="AJ65" s="277"/>
      <c r="AK65" s="278"/>
      <c r="AL65" s="277"/>
      <c r="AM65" s="277"/>
      <c r="AN65" s="278"/>
      <c r="AQ65" s="34" t="str">
        <f t="shared" si="1"/>
        <v/>
      </c>
      <c r="AU65" s="6"/>
      <c r="AW65" s="6" t="str">
        <f t="shared" si="6"/>
        <v/>
      </c>
      <c r="AY65" s="12"/>
      <c r="AZ65" s="243"/>
      <c r="BA65" s="246" t="str">
        <f>_Projektrendite_nur_Batterie</f>
        <v>--</v>
      </c>
      <c r="BB65" s="7">
        <f>$BD65*BB64</f>
        <v>0.18559999999999999</v>
      </c>
      <c r="BC65" s="7">
        <f>$BD65*BC64</f>
        <v>0.20879999999999999</v>
      </c>
      <c r="BD65" s="249">
        <f>IF(B47="",IF(AND(_Debug_Modus=_JA,N47&lt;&gt;""),N47,I47),B47)</f>
        <v>0.23199999999999998</v>
      </c>
      <c r="BE65" s="7">
        <f>$BD65*BE64</f>
        <v>0.25519999999999998</v>
      </c>
      <c r="BF65" s="7">
        <f>$BD65*BF64</f>
        <v>0.27839999999999998</v>
      </c>
    </row>
    <row r="66" spans="1:58" x14ac:dyDescent="0.2">
      <c r="A66" s="37" t="s">
        <v>324</v>
      </c>
      <c r="B66" s="57"/>
      <c r="C66" s="55">
        <f>IF(_LEG=_NEIN,0,IF(B66="",IF(AND(_Debug_Modus=_JA,N66&lt;&gt;""),N66,I66),B66))</f>
        <v>0</v>
      </c>
      <c r="D66" s="51" t="s">
        <v>95</v>
      </c>
      <c r="E66" s="52" t="str">
        <f>IF(_MWStPflicht=_MWStpflichtig,"(exkl. MWSt.)","(inkl. MWSt.)")</f>
        <v>(exkl. MWSt.)</v>
      </c>
      <c r="F66" s="298" t="s">
        <v>398</v>
      </c>
      <c r="G66" s="51"/>
      <c r="H66" s="241"/>
      <c r="I66" s="22">
        <f>H65</f>
        <v>0</v>
      </c>
      <c r="J66" s="253"/>
      <c r="M66" s="36"/>
      <c r="N66" s="7" t="str">
        <f>IF(_xlfn.XLOOKUP($O$3,$Q$1:$AN$1,Q66:AN66,"-",0,1)&lt;&gt;"",_xlfn.XLOOKUP($O$3,$Q$1:$AN$1,Q66:AN66,"-",0,1),"")</f>
        <v/>
      </c>
      <c r="O66" s="7" t="str">
        <f>IF(_xlfn.XLOOKUP($O$3,$Q$2:$AN$2,Q66:AN66,"-",0,1)&lt;&gt;"",_xlfn.XLOOKUP($O$3,$Q$2:$AN$2,Q66:AN66,"-",0,1),"")</f>
        <v/>
      </c>
      <c r="P66" s="273" t="str">
        <f>IF(_xlfn.XLOOKUP($O$3,$Q$3:$AN$3,Q66:AN66,"-",0,1)&lt;&gt;"",_xlfn.XLOOKUP($O$3,$Q$3:$AN$3,Q66:AN66,"-",0,1),"")</f>
        <v/>
      </c>
      <c r="Q66" s="277"/>
      <c r="R66" s="277"/>
      <c r="S66" s="278"/>
      <c r="T66" s="277"/>
      <c r="U66" s="277"/>
      <c r="V66" s="278"/>
      <c r="W66" s="277"/>
      <c r="X66" s="277"/>
      <c r="Y66" s="278"/>
      <c r="Z66" s="277"/>
      <c r="AA66" s="277"/>
      <c r="AB66" s="278"/>
      <c r="AC66" s="277">
        <v>430</v>
      </c>
      <c r="AD66" s="277"/>
      <c r="AE66" s="278"/>
      <c r="AF66" s="277"/>
      <c r="AG66" s="277"/>
      <c r="AH66" s="278"/>
      <c r="AI66" s="277"/>
      <c r="AJ66" s="277"/>
      <c r="AK66" s="278"/>
      <c r="AL66" s="277"/>
      <c r="AM66" s="277"/>
      <c r="AN66" s="278"/>
      <c r="AQ66" s="37" t="str">
        <f t="shared" ref="AQ66:AQ129" si="11">_xlfn.TRANSLATE(A66,"de","en")</f>
        <v>Operating costs LEG (administration and billing)</v>
      </c>
      <c r="AU66" s="6" t="s">
        <v>338</v>
      </c>
      <c r="AW66" s="6" t="str">
        <f t="shared" si="6"/>
        <v>No assumptions are calculated for the operating costs of the LEG.</v>
      </c>
      <c r="AY66" s="374" t="s">
        <v>222</v>
      </c>
      <c r="AZ66" s="248">
        <v>1.2</v>
      </c>
      <c r="BA66" s="247">
        <f>$BA$59*AZ66</f>
        <v>0</v>
      </c>
      <c r="BB66" s="246" t="str">
        <f t="dataTable" ref="BB66:BF70" dt2D="1" dtr="1" r1="C47" r2="C100" ca="1"/>
        <v>--</v>
      </c>
      <c r="BC66" s="246" t="str">
        <v>--</v>
      </c>
      <c r="BD66" s="246" t="str">
        <v>--</v>
      </c>
      <c r="BE66" s="246" t="str">
        <v>--</v>
      </c>
      <c r="BF66" s="246" t="str">
        <v>--</v>
      </c>
    </row>
    <row r="67" spans="1:58" x14ac:dyDescent="0.2">
      <c r="A67" s="310"/>
      <c r="B67" s="310"/>
      <c r="C67" s="310"/>
      <c r="D67" s="310"/>
      <c r="E67" s="310"/>
      <c r="F67" s="310"/>
      <c r="G67" s="310"/>
      <c r="H67" s="310"/>
      <c r="M67" s="36"/>
      <c r="N67" s="243" t="str">
        <f t="shared" si="10"/>
        <v/>
      </c>
      <c r="O67" s="243" t="str">
        <f t="shared" si="8"/>
        <v/>
      </c>
      <c r="P67" s="261" t="str">
        <f t="shared" si="9"/>
        <v/>
      </c>
      <c r="Q67" s="208"/>
      <c r="R67" s="208"/>
      <c r="S67" s="276"/>
      <c r="T67" s="208"/>
      <c r="U67" s="208"/>
      <c r="V67" s="276"/>
      <c r="W67" s="208"/>
      <c r="X67" s="208"/>
      <c r="Y67" s="276"/>
      <c r="Z67" s="208"/>
      <c r="AA67" s="208"/>
      <c r="AB67" s="276"/>
      <c r="AC67" s="208"/>
      <c r="AD67" s="208"/>
      <c r="AE67" s="276"/>
      <c r="AF67" s="208"/>
      <c r="AG67" s="208"/>
      <c r="AH67" s="276"/>
      <c r="AI67" s="208"/>
      <c r="AJ67" s="208"/>
      <c r="AK67" s="276"/>
      <c r="AL67" s="208"/>
      <c r="AM67" s="208"/>
      <c r="AN67" s="276"/>
      <c r="AQ67" s="2" t="str">
        <f t="shared" si="11"/>
        <v/>
      </c>
      <c r="AW67" s="2" t="str">
        <f t="shared" si="6"/>
        <v/>
      </c>
      <c r="AY67" s="374"/>
      <c r="AZ67" s="248">
        <v>1.1000000000000001</v>
      </c>
      <c r="BA67" s="247">
        <f>$BA$59*AZ67</f>
        <v>0</v>
      </c>
      <c r="BB67" s="246" t="str">
        <v>--</v>
      </c>
      <c r="BC67" s="246" t="str">
        <v>--</v>
      </c>
      <c r="BD67" s="246" t="str">
        <v>--</v>
      </c>
      <c r="BE67" s="246" t="str">
        <v>--</v>
      </c>
      <c r="BF67" s="246" t="str">
        <v>--</v>
      </c>
    </row>
    <row r="68" spans="1:58" x14ac:dyDescent="0.2">
      <c r="A68" s="31" t="s">
        <v>545</v>
      </c>
      <c r="B68" s="58"/>
      <c r="C68" s="32"/>
      <c r="D68" s="32"/>
      <c r="E68" s="239" t="s">
        <v>322</v>
      </c>
      <c r="F68" s="32"/>
      <c r="G68" s="33"/>
      <c r="H68" s="33"/>
      <c r="M68" s="36"/>
      <c r="N68" s="7" t="str">
        <f t="shared" si="10"/>
        <v/>
      </c>
      <c r="O68" s="7" t="str">
        <f t="shared" si="8"/>
        <v/>
      </c>
      <c r="P68" s="273" t="str">
        <f t="shared" si="9"/>
        <v/>
      </c>
      <c r="Q68" s="277"/>
      <c r="R68" s="277"/>
      <c r="S68" s="278"/>
      <c r="T68" s="277"/>
      <c r="U68" s="277"/>
      <c r="V68" s="278"/>
      <c r="W68" s="277"/>
      <c r="X68" s="277"/>
      <c r="Y68" s="278"/>
      <c r="Z68" s="277"/>
      <c r="AA68" s="277"/>
      <c r="AB68" s="278"/>
      <c r="AC68" s="277"/>
      <c r="AD68" s="277"/>
      <c r="AE68" s="278"/>
      <c r="AF68" s="277"/>
      <c r="AG68" s="277"/>
      <c r="AH68" s="278"/>
      <c r="AI68" s="277"/>
      <c r="AJ68" s="277"/>
      <c r="AK68" s="278"/>
      <c r="AL68" s="277"/>
      <c r="AM68" s="277"/>
      <c r="AN68" s="278"/>
      <c r="AQ68" s="31" t="str">
        <f t="shared" si="11"/>
        <v>Purchase remuneration (feed-in tariff)</v>
      </c>
      <c r="AU68" s="6"/>
      <c r="AW68" s="6" t="str">
        <f t="shared" si="6"/>
        <v/>
      </c>
      <c r="AY68" s="374"/>
      <c r="AZ68" s="248">
        <v>1</v>
      </c>
      <c r="BA68" s="250">
        <f>IF(B100="",IF(AND(_Debug_Modus=_JA,N100&lt;&gt;""),N100,I100),B100)</f>
        <v>0</v>
      </c>
      <c r="BB68" s="246" t="str">
        <v>--</v>
      </c>
      <c r="BC68" s="246" t="str">
        <v>--</v>
      </c>
      <c r="BD68" s="246" t="str">
        <v>--</v>
      </c>
      <c r="BE68" s="246" t="str">
        <v>--</v>
      </c>
      <c r="BF68" s="246" t="str">
        <v>--</v>
      </c>
    </row>
    <row r="69" spans="1:58" x14ac:dyDescent="0.2">
      <c r="A69" s="34" t="s">
        <v>505</v>
      </c>
      <c r="B69" s="291"/>
      <c r="C69" s="44">
        <f>(100-_Eigennutzungsgrad-_Anteil_LEG)</f>
        <v>0</v>
      </c>
      <c r="D69" s="38" t="s">
        <v>34</v>
      </c>
      <c r="E69" s="54" t="s">
        <v>508</v>
      </c>
      <c r="F69" s="38"/>
      <c r="G69" s="38"/>
      <c r="H69" s="39"/>
      <c r="M69" s="36"/>
      <c r="N69" s="7"/>
      <c r="O69" s="7"/>
      <c r="P69" s="273"/>
      <c r="Q69" s="277"/>
      <c r="R69" s="277"/>
      <c r="S69" s="278"/>
      <c r="T69" s="277"/>
      <c r="U69" s="277"/>
      <c r="V69" s="278"/>
      <c r="W69" s="277"/>
      <c r="X69" s="277"/>
      <c r="Y69" s="278"/>
      <c r="Z69" s="277"/>
      <c r="AA69" s="277"/>
      <c r="AB69" s="278"/>
      <c r="AC69" s="277"/>
      <c r="AD69" s="277"/>
      <c r="AE69" s="278"/>
      <c r="AF69" s="277"/>
      <c r="AG69" s="277"/>
      <c r="AH69" s="278"/>
      <c r="AI69" s="277"/>
      <c r="AJ69" s="277"/>
      <c r="AK69" s="278"/>
      <c r="AL69" s="277"/>
      <c r="AM69" s="277"/>
      <c r="AN69" s="278"/>
      <c r="AQ69" s="34" t="str">
        <f t="shared" si="11"/>
        <v>Share of solar power with purchase remuneration in %</v>
      </c>
      <c r="AU69" s="6"/>
      <c r="AW69" s="6" t="str">
        <f t="shared" si="6"/>
        <v/>
      </c>
      <c r="AY69" s="374"/>
      <c r="AZ69" s="248">
        <v>0.90000000000000013</v>
      </c>
      <c r="BA69" s="247">
        <f>$BA$59*AZ69</f>
        <v>0</v>
      </c>
      <c r="BB69" s="246" t="str">
        <v>--</v>
      </c>
      <c r="BC69" s="246" t="str">
        <v>--</v>
      </c>
      <c r="BD69" s="246" t="str">
        <v>--</v>
      </c>
      <c r="BE69" s="246" t="str">
        <v>--</v>
      </c>
      <c r="BF69" s="246" t="str">
        <v>--</v>
      </c>
    </row>
    <row r="70" spans="1:58" x14ac:dyDescent="0.2">
      <c r="A70" s="34" t="s">
        <v>506</v>
      </c>
      <c r="B70" s="291"/>
      <c r="C70" s="46">
        <f>(100-_Eigennutzungsgrad-_Anteil_LEG)/100*_Durchschnittlicher_Energieertrag</f>
        <v>0</v>
      </c>
      <c r="D70" s="38" t="s">
        <v>117</v>
      </c>
      <c r="E70" s="54" t="s">
        <v>507</v>
      </c>
      <c r="F70" s="38"/>
      <c r="G70" s="38"/>
      <c r="H70" s="39"/>
      <c r="M70" s="36"/>
      <c r="N70" s="7"/>
      <c r="O70" s="7"/>
      <c r="P70" s="273"/>
      <c r="Q70" s="277"/>
      <c r="R70" s="277"/>
      <c r="S70" s="278"/>
      <c r="T70" s="277"/>
      <c r="U70" s="277"/>
      <c r="V70" s="278"/>
      <c r="W70" s="277"/>
      <c r="X70" s="277"/>
      <c r="Y70" s="278"/>
      <c r="Z70" s="277"/>
      <c r="AA70" s="277"/>
      <c r="AB70" s="278"/>
      <c r="AC70" s="277"/>
      <c r="AD70" s="277"/>
      <c r="AE70" s="278"/>
      <c r="AF70" s="277"/>
      <c r="AG70" s="277"/>
      <c r="AH70" s="278"/>
      <c r="AI70" s="277"/>
      <c r="AJ70" s="277"/>
      <c r="AK70" s="278"/>
      <c r="AL70" s="277"/>
      <c r="AM70" s="277"/>
      <c r="AN70" s="278"/>
      <c r="AQ70" s="34" t="str">
        <f t="shared" si="11"/>
        <v>Share of solar power with purchase remuneration in kWh</v>
      </c>
      <c r="AU70" s="6"/>
      <c r="AW70" s="6" t="str">
        <f t="shared" si="6"/>
        <v/>
      </c>
      <c r="AY70" s="374"/>
      <c r="AZ70" s="248">
        <v>0.8</v>
      </c>
      <c r="BA70" s="247">
        <f>$BA$59*AZ70</f>
        <v>0</v>
      </c>
      <c r="BB70" s="246" t="str">
        <v>--</v>
      </c>
      <c r="BC70" s="246" t="str">
        <v>--</v>
      </c>
      <c r="BD70" s="246" t="str">
        <v>--</v>
      </c>
      <c r="BE70" s="246" t="str">
        <v>--</v>
      </c>
      <c r="BF70" s="246" t="str">
        <v>--</v>
      </c>
    </row>
    <row r="71" spans="1:58" x14ac:dyDescent="0.2">
      <c r="A71" s="34" t="s">
        <v>319</v>
      </c>
      <c r="B71" s="201"/>
      <c r="C71" s="63">
        <f>IF(B71="",IF(AND(_Debug_Modus=_JA,N71&lt;&gt;""),N71,I71),B71)</f>
        <v>0.06</v>
      </c>
      <c r="D71" s="38" t="s">
        <v>19</v>
      </c>
      <c r="E71" s="54" t="s">
        <v>109</v>
      </c>
      <c r="F71" s="365" t="str">
        <f>HYPERLINK("https://www.pvtarif.ch","aktuelle Tarife Abnahmevergütung: https://www.pvtarif.ch")</f>
        <v>aktuelle Tarife Abnahmevergütung: https://www.pvtarif.ch</v>
      </c>
      <c r="G71" s="365"/>
      <c r="H71" s="368"/>
      <c r="I71" s="21">
        <v>0.06</v>
      </c>
      <c r="M71" s="36"/>
      <c r="N71" s="7">
        <f t="shared" si="10"/>
        <v>0.05</v>
      </c>
      <c r="O71" s="7" t="str">
        <f t="shared" si="8"/>
        <v/>
      </c>
      <c r="P71" s="273" t="str">
        <f t="shared" si="9"/>
        <v/>
      </c>
      <c r="Q71" s="277">
        <v>0.06</v>
      </c>
      <c r="R71" s="277"/>
      <c r="S71" s="278"/>
      <c r="T71" s="277">
        <v>0.06</v>
      </c>
      <c r="U71" s="277"/>
      <c r="V71" s="278"/>
      <c r="W71" s="277">
        <v>0.05</v>
      </c>
      <c r="X71" s="277"/>
      <c r="Y71" s="278"/>
      <c r="Z71" s="277">
        <v>0.05</v>
      </c>
      <c r="AA71" s="277"/>
      <c r="AB71" s="278"/>
      <c r="AC71" s="277">
        <v>0.02</v>
      </c>
      <c r="AD71" s="277"/>
      <c r="AE71" s="278"/>
      <c r="AF71" s="277"/>
      <c r="AG71" s="277"/>
      <c r="AH71" s="278"/>
      <c r="AI71" s="277"/>
      <c r="AJ71" s="277"/>
      <c r="AK71" s="278"/>
      <c r="AL71" s="277"/>
      <c r="AM71" s="277"/>
      <c r="AN71" s="278"/>
      <c r="AQ71" s="34" t="str">
        <f t="shared" si="11"/>
        <v>Purchase remuneration for energy</v>
      </c>
      <c r="AU71" s="6" t="s">
        <v>442</v>
      </c>
      <c r="AW71" s="6" t="str">
        <f t="shared" si="6"/>
        <v>The acceptance fee depends on location and performance, a minimum remuneration is assumed</v>
      </c>
    </row>
    <row r="72" spans="1:58" x14ac:dyDescent="0.2">
      <c r="A72" s="34" t="s">
        <v>36</v>
      </c>
      <c r="B72" s="201"/>
      <c r="C72" s="63">
        <f>IF(B72="",IF(AND(_Debug_Modus=_JA,N72&lt;&gt;""),N72,I72),B72)</f>
        <v>0.02</v>
      </c>
      <c r="D72" s="38" t="s">
        <v>19</v>
      </c>
      <c r="E72" s="54" t="s">
        <v>109</v>
      </c>
      <c r="F72" s="38"/>
      <c r="G72" s="38"/>
      <c r="H72" s="39"/>
      <c r="I72" s="21">
        <v>0.02</v>
      </c>
      <c r="M72" s="36"/>
      <c r="N72" s="7">
        <f t="shared" si="10"/>
        <v>0.01</v>
      </c>
      <c r="O72" s="7" t="str">
        <f t="shared" si="8"/>
        <v/>
      </c>
      <c r="P72" s="273" t="str">
        <f t="shared" si="9"/>
        <v/>
      </c>
      <c r="Q72" s="277">
        <v>0.02</v>
      </c>
      <c r="R72" s="277"/>
      <c r="S72" s="278"/>
      <c r="T72" s="277">
        <v>0.01</v>
      </c>
      <c r="U72" s="277"/>
      <c r="V72" s="278"/>
      <c r="W72" s="277">
        <v>0.01</v>
      </c>
      <c r="X72" s="277"/>
      <c r="Y72" s="278"/>
      <c r="Z72" s="277">
        <v>0.01</v>
      </c>
      <c r="AA72" s="277"/>
      <c r="AB72" s="278"/>
      <c r="AC72" s="277">
        <v>0.03</v>
      </c>
      <c r="AD72" s="277"/>
      <c r="AE72" s="278"/>
      <c r="AF72" s="277"/>
      <c r="AG72" s="277"/>
      <c r="AH72" s="278"/>
      <c r="AI72" s="277"/>
      <c r="AJ72" s="277"/>
      <c r="AK72" s="278"/>
      <c r="AL72" s="277"/>
      <c r="AM72" s="277"/>
      <c r="AN72" s="278"/>
      <c r="AQ72" s="34" t="str">
        <f t="shared" si="11"/>
        <v>Guarantee of Origin (HKN)</v>
      </c>
      <c r="AU72" s="6" t="s">
        <v>443</v>
      </c>
      <c r="AW72" s="6" t="str">
        <f t="shared" si="6"/>
        <v>The proof of origin depends on location and performance, a minimum HKN tariff is assumed</v>
      </c>
    </row>
    <row r="73" spans="1:58" x14ac:dyDescent="0.2">
      <c r="A73" s="37" t="s">
        <v>320</v>
      </c>
      <c r="B73" s="172"/>
      <c r="C73" s="170">
        <f>I73</f>
        <v>0.08</v>
      </c>
      <c r="D73" s="51" t="s">
        <v>19</v>
      </c>
      <c r="E73" s="52" t="s">
        <v>109</v>
      </c>
      <c r="F73" s="51"/>
      <c r="G73" s="51"/>
      <c r="H73" s="53"/>
      <c r="I73" s="21">
        <f>_Rückliefertarif_Energie+_Herkunftsnachweis</f>
        <v>0.08</v>
      </c>
      <c r="M73" s="36"/>
      <c r="N73" s="7" t="str">
        <f t="shared" si="10"/>
        <v/>
      </c>
      <c r="O73" s="7" t="str">
        <f t="shared" si="8"/>
        <v/>
      </c>
      <c r="P73" s="273" t="str">
        <f t="shared" si="9"/>
        <v/>
      </c>
      <c r="Q73" s="277"/>
      <c r="R73" s="277"/>
      <c r="S73" s="278"/>
      <c r="T73" s="277"/>
      <c r="U73" s="277"/>
      <c r="V73" s="278"/>
      <c r="W73" s="277"/>
      <c r="X73" s="277"/>
      <c r="Y73" s="278"/>
      <c r="Z73" s="277"/>
      <c r="AA73" s="277"/>
      <c r="AB73" s="278"/>
      <c r="AC73" s="277"/>
      <c r="AD73" s="277"/>
      <c r="AE73" s="278"/>
      <c r="AF73" s="277"/>
      <c r="AG73" s="277"/>
      <c r="AH73" s="278"/>
      <c r="AI73" s="277"/>
      <c r="AJ73" s="277"/>
      <c r="AK73" s="278"/>
      <c r="AL73" s="277"/>
      <c r="AM73" s="277"/>
      <c r="AN73" s="278"/>
      <c r="AQ73" s="37" t="str">
        <f t="shared" si="11"/>
        <v>Total Purchase Fee</v>
      </c>
      <c r="AU73" s="6"/>
      <c r="AW73" s="6" t="str">
        <f t="shared" si="6"/>
        <v/>
      </c>
    </row>
    <row r="74" spans="1:58" x14ac:dyDescent="0.2">
      <c r="A74" s="310"/>
      <c r="B74" s="310"/>
      <c r="C74" s="310"/>
      <c r="D74" s="310"/>
      <c r="E74" s="310"/>
      <c r="F74" s="310"/>
      <c r="G74" s="310"/>
      <c r="H74" s="310"/>
      <c r="M74" s="36"/>
      <c r="N74" s="243" t="str">
        <f t="shared" si="10"/>
        <v/>
      </c>
      <c r="O74" s="243" t="str">
        <f t="shared" si="8"/>
        <v/>
      </c>
      <c r="P74" s="261" t="str">
        <f t="shared" si="9"/>
        <v/>
      </c>
      <c r="Q74" s="208"/>
      <c r="R74" s="208"/>
      <c r="S74" s="276"/>
      <c r="T74" s="208"/>
      <c r="U74" s="208"/>
      <c r="V74" s="276"/>
      <c r="W74" s="208"/>
      <c r="X74" s="208"/>
      <c r="Y74" s="276"/>
      <c r="Z74" s="208"/>
      <c r="AA74" s="208"/>
      <c r="AB74" s="276"/>
      <c r="AC74" s="208"/>
      <c r="AD74" s="208"/>
      <c r="AE74" s="276"/>
      <c r="AF74" s="208"/>
      <c r="AG74" s="208"/>
      <c r="AH74" s="276"/>
      <c r="AI74" s="208"/>
      <c r="AJ74" s="208"/>
      <c r="AK74" s="276"/>
      <c r="AL74" s="208"/>
      <c r="AM74" s="208"/>
      <c r="AN74" s="276"/>
      <c r="AQ74" s="2" t="str">
        <f t="shared" si="11"/>
        <v/>
      </c>
      <c r="AW74" s="2" t="str">
        <f t="shared" si="6"/>
        <v/>
      </c>
    </row>
    <row r="75" spans="1:58" x14ac:dyDescent="0.2">
      <c r="A75" s="31" t="s">
        <v>21</v>
      </c>
      <c r="B75" s="56"/>
      <c r="C75" s="32"/>
      <c r="D75" s="32"/>
      <c r="E75" s="239" t="s">
        <v>214</v>
      </c>
      <c r="F75" s="32"/>
      <c r="G75" s="33"/>
      <c r="H75" s="33"/>
      <c r="M75" s="36"/>
      <c r="N75" s="7" t="str">
        <f t="shared" si="10"/>
        <v/>
      </c>
      <c r="O75" s="7" t="str">
        <f t="shared" si="8"/>
        <v/>
      </c>
      <c r="P75" s="273" t="str">
        <f t="shared" si="9"/>
        <v/>
      </c>
      <c r="Q75" s="277"/>
      <c r="R75" s="277"/>
      <c r="S75" s="278"/>
      <c r="T75" s="277"/>
      <c r="U75" s="277"/>
      <c r="V75" s="278"/>
      <c r="W75" s="277"/>
      <c r="X75" s="277"/>
      <c r="Y75" s="278"/>
      <c r="Z75" s="277"/>
      <c r="AA75" s="277"/>
      <c r="AB75" s="278"/>
      <c r="AC75" s="277"/>
      <c r="AD75" s="277"/>
      <c r="AE75" s="278"/>
      <c r="AF75" s="277"/>
      <c r="AG75" s="277"/>
      <c r="AH75" s="278"/>
      <c r="AI75" s="277"/>
      <c r="AJ75" s="277"/>
      <c r="AK75" s="278"/>
      <c r="AL75" s="277"/>
      <c r="AM75" s="277"/>
      <c r="AN75" s="278"/>
      <c r="AQ75" s="31" t="str">
        <f t="shared" si="11"/>
        <v>Promotion</v>
      </c>
      <c r="AU75" s="6"/>
      <c r="AW75" s="6" t="str">
        <f t="shared" si="6"/>
        <v/>
      </c>
    </row>
    <row r="76" spans="1:58" x14ac:dyDescent="0.2">
      <c r="A76" s="34" t="s">
        <v>158</v>
      </c>
      <c r="B76" s="151"/>
      <c r="C76" s="46">
        <f>IF(B76="",IF(AND(_Debug_Modus=_JA,N76&lt;&gt;""),N76,I76),B76)</f>
        <v>0</v>
      </c>
      <c r="D76" s="38" t="s">
        <v>20</v>
      </c>
      <c r="E76" s="242" t="s">
        <v>211</v>
      </c>
      <c r="F76" s="38"/>
      <c r="G76" s="39"/>
      <c r="H76" s="39"/>
      <c r="I76" s="21">
        <v>0</v>
      </c>
      <c r="M76" s="36"/>
      <c r="N76" s="7">
        <f t="shared" si="10"/>
        <v>28850</v>
      </c>
      <c r="O76" s="7" t="str">
        <f t="shared" si="8"/>
        <v/>
      </c>
      <c r="P76" s="273" t="str">
        <f t="shared" si="9"/>
        <v/>
      </c>
      <c r="Q76" s="277">
        <v>3603</v>
      </c>
      <c r="R76" s="277"/>
      <c r="S76" s="278"/>
      <c r="T76" s="277">
        <v>4004</v>
      </c>
      <c r="U76" s="277"/>
      <c r="V76" s="278"/>
      <c r="W76" s="277">
        <v>28850</v>
      </c>
      <c r="X76" s="277"/>
      <c r="Y76" s="278"/>
      <c r="Z76" s="277">
        <v>28850</v>
      </c>
      <c r="AA76" s="277"/>
      <c r="AB76" s="278"/>
      <c r="AC76" s="277">
        <v>28850</v>
      </c>
      <c r="AD76" s="277"/>
      <c r="AE76" s="278"/>
      <c r="AF76" s="277"/>
      <c r="AG76" s="277"/>
      <c r="AH76" s="278"/>
      <c r="AI76" s="277"/>
      <c r="AJ76" s="277"/>
      <c r="AK76" s="278"/>
      <c r="AL76" s="277"/>
      <c r="AM76" s="277"/>
      <c r="AN76" s="278"/>
      <c r="AQ76" s="34" t="str">
        <f t="shared" si="11"/>
        <v>One-time remuneration (EIV) PVA</v>
      </c>
      <c r="AU76" s="6" t="s">
        <v>328</v>
      </c>
      <c r="AW76" s="6" t="str">
        <f t="shared" si="6"/>
        <v>No subsidy is calculated automatically, the Pronovo tariff calculator is to be used.</v>
      </c>
    </row>
    <row r="77" spans="1:58" x14ac:dyDescent="0.2">
      <c r="A77" s="34" t="s">
        <v>159</v>
      </c>
      <c r="B77" s="151"/>
      <c r="C77" s="46">
        <f>IF(B77="",IF(AND(_Debug_Modus=_JA,N77&lt;&gt;""),N77,I77),B77)</f>
        <v>0</v>
      </c>
      <c r="D77" s="38" t="s">
        <v>20</v>
      </c>
      <c r="E77" s="54"/>
      <c r="F77" s="38"/>
      <c r="G77" s="38"/>
      <c r="H77" s="39"/>
      <c r="I77" s="21">
        <v>0</v>
      </c>
      <c r="M77" s="36"/>
      <c r="N77" s="7" t="str">
        <f t="shared" si="10"/>
        <v/>
      </c>
      <c r="O77" s="7" t="str">
        <f t="shared" si="8"/>
        <v/>
      </c>
      <c r="P77" s="273" t="str">
        <f t="shared" si="9"/>
        <v/>
      </c>
      <c r="Q77" s="277"/>
      <c r="R77" s="277"/>
      <c r="S77" s="278"/>
      <c r="T77" s="277"/>
      <c r="U77" s="277"/>
      <c r="V77" s="278"/>
      <c r="W77" s="277"/>
      <c r="X77" s="277"/>
      <c r="Y77" s="278"/>
      <c r="Z77" s="277"/>
      <c r="AA77" s="277"/>
      <c r="AB77" s="278"/>
      <c r="AC77" s="277"/>
      <c r="AD77" s="277"/>
      <c r="AE77" s="278"/>
      <c r="AF77" s="277"/>
      <c r="AG77" s="277"/>
      <c r="AH77" s="278"/>
      <c r="AI77" s="277"/>
      <c r="AJ77" s="277"/>
      <c r="AK77" s="278"/>
      <c r="AL77" s="277"/>
      <c r="AM77" s="277"/>
      <c r="AN77" s="278"/>
      <c r="AQ77" s="34" t="str">
        <f t="shared" si="11"/>
        <v>Facade bonus (FB) PVA</v>
      </c>
      <c r="AU77" s="6"/>
      <c r="AW77" s="6" t="str">
        <f t="shared" si="6"/>
        <v/>
      </c>
    </row>
    <row r="78" spans="1:58" x14ac:dyDescent="0.2">
      <c r="A78" s="34" t="s">
        <v>160</v>
      </c>
      <c r="B78" s="151"/>
      <c r="C78" s="46">
        <f>IF(B78="",IF(AND(_Debug_Modus=_JA,N78&lt;&gt;""),N78,I78),B78)</f>
        <v>0</v>
      </c>
      <c r="D78" s="38" t="s">
        <v>20</v>
      </c>
      <c r="E78" s="54"/>
      <c r="F78" s="38"/>
      <c r="G78" s="38"/>
      <c r="H78" s="39"/>
      <c r="I78" s="21">
        <v>0</v>
      </c>
      <c r="M78" s="36"/>
      <c r="N78" s="7" t="str">
        <f t="shared" si="10"/>
        <v/>
      </c>
      <c r="O78" s="7" t="str">
        <f t="shared" si="8"/>
        <v/>
      </c>
      <c r="P78" s="273" t="str">
        <f t="shared" si="9"/>
        <v/>
      </c>
      <c r="Q78" s="277"/>
      <c r="R78" s="277"/>
      <c r="S78" s="278"/>
      <c r="T78" s="277"/>
      <c r="U78" s="277"/>
      <c r="V78" s="278"/>
      <c r="W78" s="277"/>
      <c r="X78" s="277"/>
      <c r="Y78" s="278"/>
      <c r="Z78" s="277"/>
      <c r="AA78" s="277"/>
      <c r="AB78" s="278"/>
      <c r="AC78" s="277"/>
      <c r="AD78" s="277"/>
      <c r="AE78" s="278"/>
      <c r="AF78" s="277"/>
      <c r="AG78" s="277"/>
      <c r="AH78" s="278"/>
      <c r="AI78" s="277"/>
      <c r="AJ78" s="277"/>
      <c r="AK78" s="278"/>
      <c r="AL78" s="277"/>
      <c r="AM78" s="277"/>
      <c r="AN78" s="278"/>
      <c r="AQ78" s="34" t="str">
        <f t="shared" si="11"/>
        <v>Altitude Bonus (HB) PVA</v>
      </c>
      <c r="AU78" s="6"/>
      <c r="AW78" s="6" t="str">
        <f t="shared" si="6"/>
        <v/>
      </c>
    </row>
    <row r="79" spans="1:58" x14ac:dyDescent="0.2">
      <c r="A79" s="34" t="s">
        <v>161</v>
      </c>
      <c r="B79" s="151"/>
      <c r="C79" s="46">
        <f>IF(B79="",IF(AND(_Debug_Modus=_JA,N79&lt;&gt;""),N79,I79),B79)</f>
        <v>0</v>
      </c>
      <c r="D79" s="38" t="s">
        <v>20</v>
      </c>
      <c r="E79" s="54"/>
      <c r="F79" s="38"/>
      <c r="G79" s="38"/>
      <c r="H79" s="39"/>
      <c r="I79" s="21">
        <v>0</v>
      </c>
      <c r="M79" s="36"/>
      <c r="N79" s="7" t="str">
        <f t="shared" si="10"/>
        <v/>
      </c>
      <c r="O79" s="7" t="str">
        <f t="shared" si="8"/>
        <v/>
      </c>
      <c r="P79" s="273" t="str">
        <f t="shared" si="9"/>
        <v/>
      </c>
      <c r="Q79" s="277"/>
      <c r="R79" s="277"/>
      <c r="S79" s="278"/>
      <c r="T79" s="277"/>
      <c r="U79" s="277"/>
      <c r="V79" s="278"/>
      <c r="W79" s="277"/>
      <c r="X79" s="277"/>
      <c r="Y79" s="278"/>
      <c r="Z79" s="277"/>
      <c r="AA79" s="277"/>
      <c r="AB79" s="278"/>
      <c r="AC79" s="277"/>
      <c r="AD79" s="277"/>
      <c r="AE79" s="278"/>
      <c r="AF79" s="277"/>
      <c r="AG79" s="277"/>
      <c r="AH79" s="278"/>
      <c r="AI79" s="277"/>
      <c r="AJ79" s="277"/>
      <c r="AK79" s="278"/>
      <c r="AL79" s="277"/>
      <c r="AM79" s="277"/>
      <c r="AN79" s="278"/>
      <c r="AQ79" s="34" t="str">
        <f t="shared" si="11"/>
        <v>Parking bonus (PB) PVA</v>
      </c>
      <c r="AU79" s="6"/>
      <c r="AW79" s="6" t="str">
        <f t="shared" ref="AW79:AW131" si="12">_xlfn.TRANSLATE(AU79,"de","en")</f>
        <v/>
      </c>
    </row>
    <row r="80" spans="1:58" x14ac:dyDescent="0.2">
      <c r="A80" s="34" t="s">
        <v>164</v>
      </c>
      <c r="B80" s="45"/>
      <c r="C80" s="44">
        <f>IF(IF(B80="",IF(AND(_Debug_Modus=_JA,N80&lt;&gt;""),N80,I80),B80)&lt;K80,K80,IF(IF(B80="",IF(AND(_Debug_Modus=_JA,N80&lt;&gt;""),N80,I80),B80)&gt;L80,L80,IF(B80="",IF(AND(_Debug_Modus=_JA,N80&lt;&gt;""),N80,I80),B80)))</f>
        <v>1</v>
      </c>
      <c r="D80" s="38" t="s">
        <v>16</v>
      </c>
      <c r="E80" s="54" t="s">
        <v>424</v>
      </c>
      <c r="F80" s="38"/>
      <c r="G80" s="38"/>
      <c r="H80" s="39"/>
      <c r="I80" s="21">
        <v>1</v>
      </c>
      <c r="K80" s="21">
        <v>1</v>
      </c>
      <c r="L80" s="21">
        <f>_Anlagenlebensdauer-1</f>
        <v>29</v>
      </c>
      <c r="M80" s="36"/>
      <c r="N80" s="7" t="str">
        <f t="shared" si="10"/>
        <v/>
      </c>
      <c r="O80" s="7" t="str">
        <f t="shared" si="8"/>
        <v/>
      </c>
      <c r="P80" s="273" t="str">
        <f t="shared" si="9"/>
        <v/>
      </c>
      <c r="Q80" s="277"/>
      <c r="R80" s="277"/>
      <c r="S80" s="278"/>
      <c r="T80" s="277"/>
      <c r="U80" s="277"/>
      <c r="V80" s="278"/>
      <c r="W80" s="277"/>
      <c r="X80" s="277"/>
      <c r="Y80" s="278"/>
      <c r="Z80" s="277"/>
      <c r="AA80" s="277"/>
      <c r="AB80" s="278"/>
      <c r="AC80" s="277"/>
      <c r="AD80" s="277"/>
      <c r="AE80" s="278"/>
      <c r="AF80" s="277"/>
      <c r="AG80" s="277"/>
      <c r="AH80" s="278"/>
      <c r="AI80" s="277"/>
      <c r="AJ80" s="277"/>
      <c r="AK80" s="278"/>
      <c r="AL80" s="277"/>
      <c r="AM80" s="277"/>
      <c r="AN80" s="278"/>
      <c r="AQ80" s="34" t="str">
        <f t="shared" si="11"/>
        <v>Payment term EIV, FB, HB and PB PVA</v>
      </c>
      <c r="AU80" s="6"/>
      <c r="AW80" s="6" t="str">
        <f t="shared" si="12"/>
        <v/>
      </c>
    </row>
    <row r="81" spans="1:49" x14ac:dyDescent="0.2">
      <c r="A81" s="34" t="s">
        <v>210</v>
      </c>
      <c r="B81" s="45"/>
      <c r="C81" s="46">
        <f>IF(B81="",IF(AND(_Debug_Modus=_JA,N81&lt;&gt;""),N81,I81),B81)</f>
        <v>0</v>
      </c>
      <c r="D81" s="38" t="s">
        <v>20</v>
      </c>
      <c r="E81" s="54" t="s">
        <v>425</v>
      </c>
      <c r="F81" s="38"/>
      <c r="G81" s="38"/>
      <c r="H81" s="39"/>
      <c r="I81" s="21">
        <v>0</v>
      </c>
      <c r="M81" s="36"/>
      <c r="N81" s="7" t="str">
        <f t="shared" si="10"/>
        <v/>
      </c>
      <c r="O81" s="7" t="str">
        <f t="shared" si="8"/>
        <v/>
      </c>
      <c r="P81" s="273" t="str">
        <f t="shared" si="9"/>
        <v/>
      </c>
      <c r="Q81" s="277">
        <v>1500</v>
      </c>
      <c r="R81" s="277"/>
      <c r="S81" s="278"/>
      <c r="T81" s="277">
        <v>2000</v>
      </c>
      <c r="U81" s="277"/>
      <c r="V81" s="278"/>
      <c r="W81" s="277"/>
      <c r="X81" s="277"/>
      <c r="Y81" s="278"/>
      <c r="Z81" s="277"/>
      <c r="AA81" s="277"/>
      <c r="AB81" s="278"/>
      <c r="AC81" s="277"/>
      <c r="AD81" s="277"/>
      <c r="AE81" s="278"/>
      <c r="AF81" s="277"/>
      <c r="AG81" s="277"/>
      <c r="AH81" s="278"/>
      <c r="AI81" s="277"/>
      <c r="AJ81" s="277"/>
      <c r="AK81" s="278"/>
      <c r="AL81" s="277"/>
      <c r="AM81" s="277"/>
      <c r="AN81" s="278"/>
      <c r="AQ81" s="34" t="str">
        <f t="shared" si="11"/>
        <v>Other Funding PVA</v>
      </c>
      <c r="AU81" s="6"/>
      <c r="AW81" s="6" t="str">
        <f t="shared" si="12"/>
        <v/>
      </c>
    </row>
    <row r="82" spans="1:49" x14ac:dyDescent="0.2">
      <c r="A82" s="346" t="s">
        <v>163</v>
      </c>
      <c r="B82" s="45"/>
      <c r="C82" s="46">
        <f>IF(B82="",IF(AND(_Debug_Modus=_JA,N82&lt;&gt;""),N82,I82),B82)</f>
        <v>0</v>
      </c>
      <c r="D82" s="38" t="s">
        <v>20</v>
      </c>
      <c r="E82" s="54" t="s">
        <v>456</v>
      </c>
      <c r="F82" s="38"/>
      <c r="G82" s="38"/>
      <c r="H82" s="39"/>
      <c r="I82" s="21">
        <v>0</v>
      </c>
      <c r="M82" s="36"/>
      <c r="N82" s="7" t="str">
        <f t="shared" si="10"/>
        <v/>
      </c>
      <c r="O82" s="7" t="str">
        <f t="shared" si="8"/>
        <v/>
      </c>
      <c r="P82" s="273" t="str">
        <f t="shared" si="9"/>
        <v/>
      </c>
      <c r="Q82" s="277">
        <v>1000</v>
      </c>
      <c r="R82" s="277"/>
      <c r="S82" s="278"/>
      <c r="T82" s="277"/>
      <c r="U82" s="277"/>
      <c r="V82" s="278"/>
      <c r="W82" s="277"/>
      <c r="X82" s="277"/>
      <c r="Y82" s="278"/>
      <c r="Z82" s="277"/>
      <c r="AA82" s="277"/>
      <c r="AB82" s="278"/>
      <c r="AC82" s="277"/>
      <c r="AD82" s="277"/>
      <c r="AE82" s="278"/>
      <c r="AF82" s="277"/>
      <c r="AG82" s="277"/>
      <c r="AH82" s="278"/>
      <c r="AI82" s="277"/>
      <c r="AJ82" s="277"/>
      <c r="AK82" s="278"/>
      <c r="AL82" s="277"/>
      <c r="AM82" s="277"/>
      <c r="AN82" s="278"/>
      <c r="AQ82" s="34" t="str">
        <f t="shared" si="11"/>
        <v>Tax Savings PVA</v>
      </c>
      <c r="AU82" s="6"/>
      <c r="AW82" s="6" t="str">
        <f t="shared" si="12"/>
        <v/>
      </c>
    </row>
    <row r="83" spans="1:49" x14ac:dyDescent="0.2">
      <c r="A83" s="37" t="s">
        <v>162</v>
      </c>
      <c r="B83" s="57"/>
      <c r="C83" s="50">
        <f>IF(B83="",IF(AND(_Debug_Modus=_JA,N83&lt;&gt;""),N83,I83),B83)</f>
        <v>0</v>
      </c>
      <c r="D83" s="51" t="s">
        <v>20</v>
      </c>
      <c r="E83" s="52" t="s">
        <v>425</v>
      </c>
      <c r="F83" s="51"/>
      <c r="G83" s="51"/>
      <c r="H83" s="53"/>
      <c r="I83" s="21">
        <v>0</v>
      </c>
      <c r="M83" s="36"/>
      <c r="N83" s="7" t="str">
        <f t="shared" si="10"/>
        <v/>
      </c>
      <c r="O83" s="7" t="str">
        <f t="shared" si="8"/>
        <v/>
      </c>
      <c r="P83" s="273" t="str">
        <f t="shared" si="9"/>
        <v/>
      </c>
      <c r="Q83" s="277"/>
      <c r="R83" s="277"/>
      <c r="S83" s="278"/>
      <c r="T83" s="277"/>
      <c r="U83" s="277"/>
      <c r="V83" s="278"/>
      <c r="W83" s="277"/>
      <c r="X83" s="277"/>
      <c r="Y83" s="278"/>
      <c r="Z83" s="277"/>
      <c r="AA83" s="277"/>
      <c r="AB83" s="278"/>
      <c r="AC83" s="277"/>
      <c r="AD83" s="277"/>
      <c r="AE83" s="278"/>
      <c r="AF83" s="277"/>
      <c r="AG83" s="277"/>
      <c r="AH83" s="278"/>
      <c r="AI83" s="277"/>
      <c r="AJ83" s="277"/>
      <c r="AK83" s="278"/>
      <c r="AL83" s="277"/>
      <c r="AM83" s="277"/>
      <c r="AN83" s="278"/>
      <c r="AQ83" s="37" t="str">
        <f t="shared" si="11"/>
        <v>Funding for battery storage</v>
      </c>
      <c r="AU83" s="6"/>
      <c r="AW83" s="6" t="str">
        <f t="shared" si="12"/>
        <v/>
      </c>
    </row>
    <row r="84" spans="1:49" x14ac:dyDescent="0.2">
      <c r="A84" s="310"/>
      <c r="B84" s="310"/>
      <c r="C84" s="310"/>
      <c r="D84" s="310"/>
      <c r="E84" s="310"/>
      <c r="F84" s="310"/>
      <c r="G84" s="310"/>
      <c r="H84" s="310"/>
      <c r="M84" s="36"/>
      <c r="N84" s="243" t="str">
        <f t="shared" si="10"/>
        <v/>
      </c>
      <c r="O84" s="243" t="str">
        <f t="shared" si="8"/>
        <v/>
      </c>
      <c r="P84" s="261" t="str">
        <f t="shared" si="9"/>
        <v/>
      </c>
      <c r="Q84" s="208"/>
      <c r="R84" s="208"/>
      <c r="S84" s="276"/>
      <c r="T84" s="208"/>
      <c r="U84" s="208"/>
      <c r="V84" s="276"/>
      <c r="W84" s="208"/>
      <c r="X84" s="208"/>
      <c r="Y84" s="276"/>
      <c r="Z84" s="208"/>
      <c r="AA84" s="208"/>
      <c r="AB84" s="276"/>
      <c r="AC84" s="208"/>
      <c r="AD84" s="208"/>
      <c r="AE84" s="276"/>
      <c r="AF84" s="208"/>
      <c r="AG84" s="208"/>
      <c r="AH84" s="276"/>
      <c r="AI84" s="208"/>
      <c r="AJ84" s="208"/>
      <c r="AK84" s="276"/>
      <c r="AL84" s="208"/>
      <c r="AM84" s="208"/>
      <c r="AN84" s="276"/>
      <c r="AQ84" s="2" t="str">
        <f t="shared" si="11"/>
        <v/>
      </c>
      <c r="AW84" s="2" t="str">
        <f t="shared" si="12"/>
        <v/>
      </c>
    </row>
    <row r="85" spans="1:49" x14ac:dyDescent="0.2">
      <c r="A85" s="31" t="s">
        <v>155</v>
      </c>
      <c r="B85" s="58"/>
      <c r="C85" s="32"/>
      <c r="D85" s="32"/>
      <c r="E85" s="32"/>
      <c r="F85" s="32"/>
      <c r="G85" s="32"/>
      <c r="H85" s="33"/>
      <c r="M85" s="36"/>
      <c r="N85" s="7" t="str">
        <f t="shared" si="10"/>
        <v/>
      </c>
      <c r="O85" s="7" t="str">
        <f t="shared" si="8"/>
        <v/>
      </c>
      <c r="P85" s="273" t="str">
        <f t="shared" si="9"/>
        <v/>
      </c>
      <c r="Q85" s="277"/>
      <c r="R85" s="277"/>
      <c r="S85" s="278"/>
      <c r="T85" s="277"/>
      <c r="U85" s="277"/>
      <c r="V85" s="278"/>
      <c r="W85" s="277"/>
      <c r="X85" s="277"/>
      <c r="Y85" s="278"/>
      <c r="Z85" s="277"/>
      <c r="AA85" s="277"/>
      <c r="AB85" s="278"/>
      <c r="AC85" s="277"/>
      <c r="AD85" s="277"/>
      <c r="AE85" s="278"/>
      <c r="AF85" s="277"/>
      <c r="AG85" s="277"/>
      <c r="AH85" s="278"/>
      <c r="AI85" s="277"/>
      <c r="AJ85" s="277"/>
      <c r="AK85" s="278"/>
      <c r="AL85" s="277"/>
      <c r="AM85" s="277"/>
      <c r="AN85" s="278"/>
      <c r="AQ85" s="31" t="str">
        <f t="shared" si="11"/>
        <v>Investment and Capital Structure PVA</v>
      </c>
      <c r="AU85" s="6"/>
      <c r="AW85" s="6" t="str">
        <f t="shared" si="12"/>
        <v/>
      </c>
    </row>
    <row r="86" spans="1:49" x14ac:dyDescent="0.2">
      <c r="A86" s="34" t="s">
        <v>129</v>
      </c>
      <c r="B86" s="151"/>
      <c r="C86" s="46">
        <f>IF(B86="",IF(AND(_Debug_Modus=_JA,N86&lt;&gt;""),N86,I86),B86)</f>
        <v>15344</v>
      </c>
      <c r="D86" s="38" t="s">
        <v>20</v>
      </c>
      <c r="E86" s="54" t="s">
        <v>113</v>
      </c>
      <c r="F86" s="38"/>
      <c r="G86" s="38"/>
      <c r="H86" s="39"/>
      <c r="I86" s="22">
        <f xml:space="preserve"> IF(_Anlagenleistung=0,0,IF(_Anlagenleistung&lt;10,2034*_Anlagenleistung+6191,IF(_Anlagenleistung&lt;30, 1177*_Anlagenleistung+14762,IF(_Anlagenleistung&lt;100,1464*_Anlagenleistung+6148,758*_Anlagenleistung+76754))))</f>
        <v>15344</v>
      </c>
      <c r="M86" s="36"/>
      <c r="N86" s="7" t="str">
        <f t="shared" si="10"/>
        <v/>
      </c>
      <c r="O86" s="7" t="str">
        <f t="shared" si="8"/>
        <v/>
      </c>
      <c r="P86" s="273" t="str">
        <f t="shared" si="9"/>
        <v/>
      </c>
      <c r="Q86" s="277">
        <v>22000</v>
      </c>
      <c r="R86" s="277"/>
      <c r="S86" s="278"/>
      <c r="T86" s="277">
        <v>35000</v>
      </c>
      <c r="U86" s="277"/>
      <c r="V86" s="278"/>
      <c r="W86" s="277">
        <v>160000</v>
      </c>
      <c r="X86" s="277"/>
      <c r="Y86" s="278"/>
      <c r="Z86" s="277"/>
      <c r="AA86" s="277"/>
      <c r="AB86" s="278"/>
      <c r="AC86" s="277"/>
      <c r="AD86" s="277"/>
      <c r="AE86" s="278"/>
      <c r="AF86" s="277"/>
      <c r="AG86" s="277"/>
      <c r="AH86" s="278"/>
      <c r="AI86" s="277"/>
      <c r="AJ86" s="277"/>
      <c r="AK86" s="278"/>
      <c r="AL86" s="277"/>
      <c r="AM86" s="277"/>
      <c r="AN86" s="278"/>
      <c r="AQ86" s="34" t="str">
        <f t="shared" si="11"/>
        <v>Investment sum PVA</v>
      </c>
      <c r="AU86" s="6" t="s">
        <v>509</v>
      </c>
      <c r="AW86" s="6" t="str">
        <f t="shared" si="12"/>
        <v>The price from the 2024 price observation study will be calculated. This is the average price for a rooftop system.</v>
      </c>
    </row>
    <row r="87" spans="1:49" x14ac:dyDescent="0.2">
      <c r="A87" s="34" t="s">
        <v>130</v>
      </c>
      <c r="B87" s="151"/>
      <c r="C87" s="46">
        <f>IF(B87="",IF(AND(_Debug_Modus=_JA,N87&lt;&gt;""),N87,I87),B87)</f>
        <v>0</v>
      </c>
      <c r="D87" s="38" t="s">
        <v>20</v>
      </c>
      <c r="E87" s="54"/>
      <c r="F87" s="38"/>
      <c r="G87" s="38"/>
      <c r="H87" s="39"/>
      <c r="I87" s="21">
        <v>0</v>
      </c>
      <c r="M87" s="36"/>
      <c r="N87" s="7">
        <f t="shared" si="10"/>
        <v>40000</v>
      </c>
      <c r="O87" s="7" t="str">
        <f t="shared" si="8"/>
        <v/>
      </c>
      <c r="P87" s="273" t="str">
        <f t="shared" si="9"/>
        <v/>
      </c>
      <c r="Q87" s="277">
        <v>0</v>
      </c>
      <c r="R87" s="277"/>
      <c r="S87" s="278"/>
      <c r="T87" s="277"/>
      <c r="U87" s="277"/>
      <c r="V87" s="278"/>
      <c r="W87" s="277"/>
      <c r="X87" s="277"/>
      <c r="Y87" s="278"/>
      <c r="Z87" s="277">
        <f>Z42*1000</f>
        <v>40000</v>
      </c>
      <c r="AA87" s="277"/>
      <c r="AB87" s="278"/>
      <c r="AC87" s="277">
        <v>40000</v>
      </c>
      <c r="AD87" s="277"/>
      <c r="AE87" s="278"/>
      <c r="AF87" s="277"/>
      <c r="AG87" s="277"/>
      <c r="AH87" s="278"/>
      <c r="AI87" s="277"/>
      <c r="AJ87" s="277"/>
      <c r="AK87" s="278"/>
      <c r="AL87" s="277"/>
      <c r="AM87" s="277"/>
      <c r="AN87" s="278"/>
      <c r="AQ87" s="34" t="str">
        <f t="shared" si="11"/>
        <v>Investment costs ZEV</v>
      </c>
      <c r="AU87" s="6" t="s">
        <v>420</v>
      </c>
      <c r="AW87" s="6" t="str">
        <f t="shared" si="12"/>
        <v>No calculation value for the costs for "investment costs ZEV" is proposed</v>
      </c>
    </row>
    <row r="88" spans="1:49" x14ac:dyDescent="0.2">
      <c r="A88" s="34" t="s">
        <v>167</v>
      </c>
      <c r="B88" s="45"/>
      <c r="C88" s="46">
        <f>IF(B88="",IF(AND(_Debug_Modus=_JA,N88&lt;&gt;""),N88,I88),B88)</f>
        <v>0</v>
      </c>
      <c r="D88" s="38" t="s">
        <v>20</v>
      </c>
      <c r="E88" s="54"/>
      <c r="F88" s="38"/>
      <c r="G88" s="38"/>
      <c r="H88" s="39"/>
      <c r="I88" s="21">
        <v>0</v>
      </c>
      <c r="M88" s="36"/>
      <c r="N88" s="7" t="str">
        <f t="shared" si="10"/>
        <v/>
      </c>
      <c r="O88" s="7" t="str">
        <f t="shared" si="8"/>
        <v/>
      </c>
      <c r="P88" s="273" t="str">
        <f t="shared" si="9"/>
        <v/>
      </c>
      <c r="Q88" s="277"/>
      <c r="R88" s="277"/>
      <c r="S88" s="278"/>
      <c r="T88" s="277"/>
      <c r="U88" s="277"/>
      <c r="V88" s="278"/>
      <c r="W88" s="277">
        <v>15000</v>
      </c>
      <c r="X88" s="277"/>
      <c r="Y88" s="278"/>
      <c r="Z88" s="277"/>
      <c r="AA88" s="277"/>
      <c r="AB88" s="278"/>
      <c r="AC88" s="277"/>
      <c r="AD88" s="277"/>
      <c r="AE88" s="278"/>
      <c r="AF88" s="277"/>
      <c r="AG88" s="277"/>
      <c r="AH88" s="278"/>
      <c r="AI88" s="277"/>
      <c r="AJ88" s="277"/>
      <c r="AK88" s="278"/>
      <c r="AL88" s="277"/>
      <c r="AM88" s="277"/>
      <c r="AN88" s="278"/>
      <c r="AQ88" s="34" t="str">
        <f t="shared" si="11"/>
        <v>Other expenses PVA</v>
      </c>
      <c r="AU88" s="6" t="s">
        <v>329</v>
      </c>
      <c r="AW88" s="6" t="str">
        <f t="shared" si="12"/>
        <v>No information is provided on the additional costs of the PVA.</v>
      </c>
    </row>
    <row r="89" spans="1:49" x14ac:dyDescent="0.2">
      <c r="A89" s="34" t="s">
        <v>74</v>
      </c>
      <c r="B89" s="45"/>
      <c r="C89" s="46">
        <f>IF(B89="",IF(AND(_Debug_Modus=_JA,N89&lt;&gt;""),N89,I89),B89)</f>
        <v>0</v>
      </c>
      <c r="D89" s="38" t="s">
        <v>72</v>
      </c>
      <c r="E89" s="54" t="s">
        <v>114</v>
      </c>
      <c r="F89" s="38"/>
      <c r="G89" s="38"/>
      <c r="H89" s="39" t="s">
        <v>527</v>
      </c>
      <c r="I89" s="21">
        <v>0</v>
      </c>
      <c r="M89" s="36"/>
      <c r="N89" s="7" t="str">
        <f t="shared" si="10"/>
        <v/>
      </c>
      <c r="O89" s="7" t="str">
        <f t="shared" si="8"/>
        <v/>
      </c>
      <c r="P89" s="273" t="str">
        <f t="shared" si="9"/>
        <v/>
      </c>
      <c r="Q89" s="277"/>
      <c r="R89" s="277"/>
      <c r="S89" s="278"/>
      <c r="T89" s="277">
        <v>50</v>
      </c>
      <c r="U89" s="277"/>
      <c r="V89" s="278"/>
      <c r="W89" s="277"/>
      <c r="X89" s="277"/>
      <c r="Y89" s="278"/>
      <c r="Z89" s="277"/>
      <c r="AA89" s="277"/>
      <c r="AB89" s="278"/>
      <c r="AC89" s="277"/>
      <c r="AD89" s="277"/>
      <c r="AE89" s="278"/>
      <c r="AF89" s="277"/>
      <c r="AG89" s="277"/>
      <c r="AH89" s="278"/>
      <c r="AI89" s="277"/>
      <c r="AJ89" s="277"/>
      <c r="AK89" s="278"/>
      <c r="AL89" s="277"/>
      <c r="AM89" s="277"/>
      <c r="AN89" s="278"/>
      <c r="AQ89" s="34" t="str">
        <f t="shared" si="11"/>
        <v>Value Function Building envelope</v>
      </c>
      <c r="AU89" s="6" t="s">
        <v>330</v>
      </c>
      <c r="AW89" s="6" t="str">
        <f t="shared" si="12"/>
        <v>No assumptions are made about the function of the building envelope.</v>
      </c>
    </row>
    <row r="90" spans="1:49" x14ac:dyDescent="0.2">
      <c r="A90" s="34" t="s">
        <v>71</v>
      </c>
      <c r="B90" s="38"/>
      <c r="C90" s="46">
        <f>-_PV_Fläche*_Kosten_Funktion_GH</f>
        <v>0</v>
      </c>
      <c r="D90" s="38" t="s">
        <v>20</v>
      </c>
      <c r="E90" s="54"/>
      <c r="F90" s="38"/>
      <c r="G90" s="38"/>
      <c r="H90" s="39"/>
      <c r="M90" s="36"/>
      <c r="N90" s="7" t="str">
        <f t="shared" si="10"/>
        <v/>
      </c>
      <c r="O90" s="7" t="str">
        <f t="shared" si="8"/>
        <v/>
      </c>
      <c r="P90" s="273" t="str">
        <f t="shared" si="9"/>
        <v/>
      </c>
      <c r="Q90" s="277"/>
      <c r="R90" s="277"/>
      <c r="S90" s="278"/>
      <c r="T90" s="277"/>
      <c r="U90" s="277"/>
      <c r="V90" s="278"/>
      <c r="W90" s="277"/>
      <c r="X90" s="277"/>
      <c r="Y90" s="278"/>
      <c r="Z90" s="277"/>
      <c r="AA90" s="277"/>
      <c r="AB90" s="278"/>
      <c r="AC90" s="277"/>
      <c r="AD90" s="277"/>
      <c r="AE90" s="278"/>
      <c r="AF90" s="277"/>
      <c r="AG90" s="277"/>
      <c r="AH90" s="278"/>
      <c r="AI90" s="277"/>
      <c r="AJ90" s="277"/>
      <c r="AK90" s="278"/>
      <c r="AL90" s="277"/>
      <c r="AM90" s="277"/>
      <c r="AN90" s="278"/>
      <c r="AQ90" s="34" t="str">
        <f t="shared" si="11"/>
        <v>Deduction function building envelope</v>
      </c>
      <c r="AU90" s="6"/>
      <c r="AW90" s="6" t="str">
        <f t="shared" si="12"/>
        <v/>
      </c>
    </row>
    <row r="91" spans="1:49" x14ac:dyDescent="0.2">
      <c r="A91" s="34" t="s">
        <v>275</v>
      </c>
      <c r="B91" s="38"/>
      <c r="C91" s="46">
        <f>IF(_MWStPflicht=_nichtMWStpflichtig,(_Investitionssumme+_Investition_ZEV+_sonstige_Aufwände+_Abzug_Funktion_GH)*_MWStSatz/100,0)</f>
        <v>0</v>
      </c>
      <c r="D91" s="38" t="s">
        <v>20</v>
      </c>
      <c r="E91" s="54"/>
      <c r="F91" s="38"/>
      <c r="G91" s="38"/>
      <c r="H91" s="39"/>
      <c r="M91" s="36"/>
      <c r="N91" s="7" t="str">
        <f t="shared" si="10"/>
        <v/>
      </c>
      <c r="O91" s="7" t="str">
        <f t="shared" ref="O91:O125" si="13">IF(_xlfn.XLOOKUP($O$3,$Q$2:$AN$2,Q91:AN91,"-",0,1)&lt;&gt;"",_xlfn.XLOOKUP($O$3,$Q$2:$AN$2,Q91:AN91,"-",0,1),"")</f>
        <v/>
      </c>
      <c r="P91" s="273" t="str">
        <f t="shared" ref="P91:P122" si="14">IF(_xlfn.XLOOKUP($O$3,$Q$3:$AN$3,Q91:AN91,"-",0,1)&lt;&gt;"",_xlfn.XLOOKUP($O$3,$Q$3:$AN$3,Q91:AN91,"-",0,1),"")</f>
        <v/>
      </c>
      <c r="Q91" s="277"/>
      <c r="R91" s="277"/>
      <c r="S91" s="278"/>
      <c r="T91" s="277"/>
      <c r="U91" s="277"/>
      <c r="V91" s="278"/>
      <c r="W91" s="277"/>
      <c r="X91" s="277"/>
      <c r="Y91" s="278"/>
      <c r="Z91" s="277"/>
      <c r="AA91" s="277"/>
      <c r="AB91" s="278"/>
      <c r="AC91" s="277"/>
      <c r="AD91" s="277"/>
      <c r="AE91" s="278"/>
      <c r="AF91" s="277"/>
      <c r="AG91" s="277"/>
      <c r="AH91" s="278"/>
      <c r="AI91" s="277"/>
      <c r="AJ91" s="277"/>
      <c r="AK91" s="278"/>
      <c r="AL91" s="277"/>
      <c r="AM91" s="277"/>
      <c r="AN91" s="278"/>
      <c r="AQ91" s="34" t="str">
        <f t="shared" si="11"/>
        <v>VAT Investment costs</v>
      </c>
      <c r="AU91" s="6"/>
      <c r="AW91" s="6" t="str">
        <f t="shared" si="12"/>
        <v/>
      </c>
    </row>
    <row r="92" spans="1:49" x14ac:dyDescent="0.2">
      <c r="A92" s="59" t="s">
        <v>288</v>
      </c>
      <c r="B92" s="38"/>
      <c r="C92" s="152">
        <f>_Investitionssumme+_Investition_ZEV+_sonstige_Aufwände+_Abzug_Funktion_GH+_Vorsteuerabzug_Investitionskosten</f>
        <v>15344</v>
      </c>
      <c r="D92" s="60" t="s">
        <v>20</v>
      </c>
      <c r="E92" s="54" t="s">
        <v>73</v>
      </c>
      <c r="F92" s="38"/>
      <c r="G92" s="38"/>
      <c r="H92" s="39" t="s">
        <v>528</v>
      </c>
      <c r="M92" s="36"/>
      <c r="N92" s="7" t="str">
        <f t="shared" si="10"/>
        <v/>
      </c>
      <c r="O92" s="7" t="str">
        <f t="shared" si="13"/>
        <v/>
      </c>
      <c r="P92" s="273" t="str">
        <f t="shared" si="14"/>
        <v/>
      </c>
      <c r="Q92" s="277"/>
      <c r="R92" s="277"/>
      <c r="S92" s="278"/>
      <c r="T92" s="277"/>
      <c r="U92" s="277"/>
      <c r="V92" s="278"/>
      <c r="W92" s="277"/>
      <c r="X92" s="277"/>
      <c r="Y92" s="278"/>
      <c r="Z92" s="277"/>
      <c r="AA92" s="277"/>
      <c r="AB92" s="278"/>
      <c r="AC92" s="277"/>
      <c r="AD92" s="277"/>
      <c r="AE92" s="278"/>
      <c r="AF92" s="277"/>
      <c r="AG92" s="277"/>
      <c r="AH92" s="278"/>
      <c r="AI92" s="277"/>
      <c r="AJ92" s="277"/>
      <c r="AK92" s="278"/>
      <c r="AL92" s="277"/>
      <c r="AM92" s="277"/>
      <c r="AN92" s="278"/>
      <c r="AQ92" s="59" t="str">
        <f t="shared" si="11"/>
        <v>Relevant investment costs PVA</v>
      </c>
      <c r="AU92" s="6"/>
      <c r="AW92" s="6" t="str">
        <f t="shared" si="12"/>
        <v/>
      </c>
    </row>
    <row r="93" spans="1:49" x14ac:dyDescent="0.2">
      <c r="A93" s="59" t="s">
        <v>208</v>
      </c>
      <c r="B93" s="38"/>
      <c r="C93" s="152">
        <f>_relevante_Investitionskosten-_Einmalvergütung-_Fassadenbonus-_Höhenbonus-_Parkflächenbonus-_direkteFörderung-_Steuereinsparung</f>
        <v>15344</v>
      </c>
      <c r="D93" s="60" t="s">
        <v>20</v>
      </c>
      <c r="E93" s="54" t="s">
        <v>89</v>
      </c>
      <c r="F93" s="38"/>
      <c r="G93" s="38"/>
      <c r="H93" s="39" t="s">
        <v>89</v>
      </c>
      <c r="M93" s="36"/>
      <c r="N93" s="7" t="str">
        <f t="shared" si="10"/>
        <v/>
      </c>
      <c r="O93" s="7" t="str">
        <f t="shared" si="13"/>
        <v/>
      </c>
      <c r="P93" s="273" t="str">
        <f t="shared" si="14"/>
        <v/>
      </c>
      <c r="Q93" s="277"/>
      <c r="R93" s="277"/>
      <c r="S93" s="278"/>
      <c r="T93" s="277"/>
      <c r="U93" s="277"/>
      <c r="V93" s="278"/>
      <c r="W93" s="277"/>
      <c r="X93" s="277"/>
      <c r="Y93" s="278"/>
      <c r="Z93" s="277"/>
      <c r="AA93" s="277"/>
      <c r="AB93" s="278"/>
      <c r="AC93" s="277"/>
      <c r="AD93" s="277"/>
      <c r="AE93" s="278"/>
      <c r="AF93" s="277"/>
      <c r="AG93" s="277"/>
      <c r="AH93" s="278"/>
      <c r="AI93" s="277"/>
      <c r="AJ93" s="277"/>
      <c r="AK93" s="278"/>
      <c r="AL93" s="277"/>
      <c r="AM93" s="277"/>
      <c r="AN93" s="278"/>
      <c r="AQ93" s="59" t="str">
        <f t="shared" si="11"/>
        <v>Net investment PVA (less subsidy)</v>
      </c>
      <c r="AU93" s="6"/>
      <c r="AW93" s="6" t="str">
        <f t="shared" si="12"/>
        <v/>
      </c>
    </row>
    <row r="94" spans="1:49" ht="32" x14ac:dyDescent="0.2">
      <c r="A94" s="34"/>
      <c r="B94" s="38"/>
      <c r="C94" s="38"/>
      <c r="D94" s="38"/>
      <c r="E94" s="38" t="s">
        <v>24</v>
      </c>
      <c r="F94" s="38" t="s">
        <v>23</v>
      </c>
      <c r="G94" s="255" t="s">
        <v>400</v>
      </c>
      <c r="H94" s="256" t="s">
        <v>401</v>
      </c>
      <c r="J94" s="61"/>
      <c r="M94" s="36"/>
      <c r="N94" s="7" t="str">
        <f t="shared" si="10"/>
        <v/>
      </c>
      <c r="O94" s="7" t="str">
        <f t="shared" si="13"/>
        <v/>
      </c>
      <c r="P94" s="273" t="str">
        <f t="shared" si="14"/>
        <v/>
      </c>
      <c r="Q94" s="277"/>
      <c r="R94" s="277"/>
      <c r="S94" s="278"/>
      <c r="T94" s="277"/>
      <c r="U94" s="277"/>
      <c r="V94" s="278"/>
      <c r="W94" s="277"/>
      <c r="X94" s="277"/>
      <c r="Y94" s="278"/>
      <c r="Z94" s="277"/>
      <c r="AA94" s="277"/>
      <c r="AB94" s="278"/>
      <c r="AC94" s="277"/>
      <c r="AD94" s="277"/>
      <c r="AE94" s="278"/>
      <c r="AF94" s="277"/>
      <c r="AG94" s="277"/>
      <c r="AH94" s="278"/>
      <c r="AI94" s="277"/>
      <c r="AJ94" s="277"/>
      <c r="AK94" s="278"/>
      <c r="AL94" s="277"/>
      <c r="AM94" s="277"/>
      <c r="AN94" s="278"/>
      <c r="AQ94" s="34" t="str">
        <f t="shared" si="11"/>
        <v/>
      </c>
      <c r="AU94" s="6"/>
      <c r="AW94" s="6" t="str">
        <f t="shared" si="12"/>
        <v/>
      </c>
    </row>
    <row r="95" spans="1:49" x14ac:dyDescent="0.2">
      <c r="A95" s="34" t="s">
        <v>171</v>
      </c>
      <c r="B95" s="46"/>
      <c r="C95" s="46">
        <f>I95</f>
        <v>15344</v>
      </c>
      <c r="D95" s="38" t="s">
        <v>20</v>
      </c>
      <c r="E95" s="35">
        <v>0</v>
      </c>
      <c r="F95" s="46"/>
      <c r="G95" s="257">
        <f>IF(ISNUMBER(IF(_Debug_Modus=_JA,O95,E95)),IF(_Debug_Modus=_JA,O95,E95),0)</f>
        <v>0</v>
      </c>
      <c r="H95" s="215">
        <f>_Anlagenlebensdauer</f>
        <v>30</v>
      </c>
      <c r="I95" s="22">
        <f>_Investition_netto-C96-C97</f>
        <v>15344</v>
      </c>
      <c r="M95" s="36"/>
      <c r="N95" s="7" t="str">
        <f t="shared" si="10"/>
        <v/>
      </c>
      <c r="O95" s="7" t="str">
        <f t="shared" si="13"/>
        <v/>
      </c>
      <c r="P95" s="273" t="str">
        <f t="shared" si="14"/>
        <v/>
      </c>
      <c r="Q95" s="277"/>
      <c r="R95" s="277"/>
      <c r="S95" s="278"/>
      <c r="T95" s="277"/>
      <c r="U95" s="277"/>
      <c r="V95" s="278"/>
      <c r="W95" s="277"/>
      <c r="X95" s="277"/>
      <c r="Y95" s="278"/>
      <c r="Z95" s="277"/>
      <c r="AA95" s="277"/>
      <c r="AB95" s="278"/>
      <c r="AC95" s="277"/>
      <c r="AD95" s="277"/>
      <c r="AE95" s="278"/>
      <c r="AF95" s="277"/>
      <c r="AG95" s="277"/>
      <c r="AH95" s="278"/>
      <c r="AI95" s="277"/>
      <c r="AJ95" s="277"/>
      <c r="AK95" s="278"/>
      <c r="AL95" s="277"/>
      <c r="AM95" s="277"/>
      <c r="AN95" s="278"/>
      <c r="AQ95" s="34" t="str">
        <f t="shared" si="11"/>
        <v>Equity PVA</v>
      </c>
      <c r="AU95" s="6"/>
      <c r="AW95" s="6" t="str">
        <f t="shared" si="12"/>
        <v/>
      </c>
    </row>
    <row r="96" spans="1:49" x14ac:dyDescent="0.2">
      <c r="A96" s="34" t="s">
        <v>169</v>
      </c>
      <c r="B96" s="45"/>
      <c r="C96" s="46">
        <v>0</v>
      </c>
      <c r="D96" s="38" t="s">
        <v>20</v>
      </c>
      <c r="E96" s="35"/>
      <c r="F96" s="45"/>
      <c r="G96" s="257">
        <f>IF(ISNUMBER(IF(_Debug_Modus=_JA,O96,E96)),IF(_Debug_Modus=_JA,O96,E96),0)</f>
        <v>0</v>
      </c>
      <c r="H96" s="215">
        <f>IF(IF(F96="",IF(AND(_Debug_Modus=_JA,P96&lt;&gt;""),P96,I96),F96)&lt;K96,K96,IF(IF(F96="",IF(AND(_Debug_Modus=_JA,P96&lt;&gt;""),P96,I96),F96)&gt;L96,L96,IF(F96="",IF(AND(_Debug_Modus=_JA,P96&lt;&gt;""),P96,I96),F96)))</f>
        <v>0</v>
      </c>
      <c r="I96" s="21">
        <v>0</v>
      </c>
      <c r="K96" s="21">
        <v>0</v>
      </c>
      <c r="L96" s="22">
        <f>H95</f>
        <v>30</v>
      </c>
      <c r="M96" s="36"/>
      <c r="N96" s="7" t="str">
        <f t="shared" si="10"/>
        <v/>
      </c>
      <c r="O96" s="7" t="str">
        <f t="shared" si="13"/>
        <v/>
      </c>
      <c r="P96" s="273" t="str">
        <f t="shared" si="14"/>
        <v/>
      </c>
      <c r="Q96" s="277">
        <v>10000</v>
      </c>
      <c r="R96" s="277">
        <v>1</v>
      </c>
      <c r="S96" s="278">
        <v>10</v>
      </c>
      <c r="T96" s="277">
        <v>15000</v>
      </c>
      <c r="U96" s="277">
        <v>1.5</v>
      </c>
      <c r="V96" s="278">
        <v>15</v>
      </c>
      <c r="W96" s="277"/>
      <c r="X96" s="277"/>
      <c r="Y96" s="278"/>
      <c r="Z96" s="277"/>
      <c r="AA96" s="277"/>
      <c r="AB96" s="278"/>
      <c r="AC96" s="277"/>
      <c r="AD96" s="277"/>
      <c r="AE96" s="278"/>
      <c r="AF96" s="277"/>
      <c r="AG96" s="277"/>
      <c r="AH96" s="278"/>
      <c r="AI96" s="277"/>
      <c r="AJ96" s="277"/>
      <c r="AK96" s="278"/>
      <c r="AL96" s="277"/>
      <c r="AM96" s="277"/>
      <c r="AN96" s="278"/>
      <c r="AQ96" s="34" t="str">
        <f t="shared" si="11"/>
        <v>Debt 1 PVA</v>
      </c>
      <c r="AU96" s="6"/>
      <c r="AW96" s="6" t="str">
        <f t="shared" si="12"/>
        <v/>
      </c>
    </row>
    <row r="97" spans="1:49" x14ac:dyDescent="0.2">
      <c r="A97" s="37" t="s">
        <v>170</v>
      </c>
      <c r="B97" s="57"/>
      <c r="C97" s="55">
        <f>IF(B97="",IF(AND(_Debug_Modus=_JA,N97&lt;&gt;""),N97,I97),B97)</f>
        <v>0</v>
      </c>
      <c r="D97" s="51" t="s">
        <v>20</v>
      </c>
      <c r="E97" s="62"/>
      <c r="F97" s="57"/>
      <c r="G97" s="258">
        <f>IF(ISNUMBER(IF(_Debug_Modus=_JA,O97,E97)),IF(_Debug_Modus=_JA,O97,E97),0)</f>
        <v>0</v>
      </c>
      <c r="H97" s="216">
        <f>IF(IF(F97="",IF(AND(_Debug_Modus=_JA,P97&lt;&gt;""),P97,I97),F97)&lt;K97,K97,IF(IF(F97="",IF(AND(_Debug_Modus=_JA,P97&lt;&gt;""),P97,I97),F97)&gt;L97,L97,IF(F97="",IF(AND(_Debug_Modus=_JA,P97&lt;&gt;""),P97,I97),F97)))</f>
        <v>0</v>
      </c>
      <c r="I97" s="21">
        <v>0</v>
      </c>
      <c r="K97" s="21">
        <v>0</v>
      </c>
      <c r="L97" s="22">
        <f>H95</f>
        <v>30</v>
      </c>
      <c r="M97" s="36"/>
      <c r="N97" s="7" t="str">
        <f t="shared" ref="N97:N125" si="15">IF(_xlfn.XLOOKUP($O$3,$Q$1:$AN$1,Q97:AN97,"-",0,1)&lt;&gt;"",_xlfn.XLOOKUP($O$3,$Q$1:$AN$1,Q97:AN97,"-",0,1),"")</f>
        <v/>
      </c>
      <c r="O97" s="7" t="str">
        <f t="shared" si="13"/>
        <v/>
      </c>
      <c r="P97" s="273" t="str">
        <f t="shared" si="14"/>
        <v/>
      </c>
      <c r="Q97" s="277"/>
      <c r="R97" s="277"/>
      <c r="S97" s="278"/>
      <c r="T97" s="277"/>
      <c r="U97" s="277"/>
      <c r="V97" s="278"/>
      <c r="W97" s="277"/>
      <c r="X97" s="277"/>
      <c r="Y97" s="278"/>
      <c r="Z97" s="277"/>
      <c r="AA97" s="277"/>
      <c r="AB97" s="278"/>
      <c r="AC97" s="277"/>
      <c r="AD97" s="277"/>
      <c r="AE97" s="278"/>
      <c r="AF97" s="277"/>
      <c r="AG97" s="277"/>
      <c r="AH97" s="278"/>
      <c r="AI97" s="277"/>
      <c r="AJ97" s="277"/>
      <c r="AK97" s="278"/>
      <c r="AL97" s="277"/>
      <c r="AM97" s="277"/>
      <c r="AN97" s="278"/>
      <c r="AQ97" s="37" t="str">
        <f t="shared" si="11"/>
        <v>Debt capital 2 PVA</v>
      </c>
      <c r="AU97" s="6"/>
      <c r="AW97" s="6" t="str">
        <f t="shared" si="12"/>
        <v/>
      </c>
    </row>
    <row r="98" spans="1:49" x14ac:dyDescent="0.2">
      <c r="A98" s="310"/>
      <c r="B98" s="310"/>
      <c r="C98" s="310"/>
      <c r="D98" s="310"/>
      <c r="E98" s="310"/>
      <c r="F98" s="310"/>
      <c r="G98" s="310"/>
      <c r="H98" s="310"/>
      <c r="M98" s="36"/>
      <c r="N98" s="243" t="str">
        <f t="shared" si="15"/>
        <v/>
      </c>
      <c r="O98" s="243" t="str">
        <f t="shared" si="13"/>
        <v/>
      </c>
      <c r="P98" s="261" t="str">
        <f t="shared" si="14"/>
        <v/>
      </c>
      <c r="Q98" s="208"/>
      <c r="R98" s="208"/>
      <c r="S98" s="276"/>
      <c r="T98" s="208"/>
      <c r="U98" s="208"/>
      <c r="V98" s="276"/>
      <c r="W98" s="208"/>
      <c r="X98" s="208"/>
      <c r="Y98" s="276"/>
      <c r="Z98" s="208"/>
      <c r="AA98" s="208"/>
      <c r="AB98" s="276"/>
      <c r="AC98" s="208"/>
      <c r="AD98" s="208"/>
      <c r="AE98" s="276"/>
      <c r="AF98" s="208"/>
      <c r="AG98" s="208"/>
      <c r="AH98" s="276"/>
      <c r="AI98" s="208"/>
      <c r="AJ98" s="208"/>
      <c r="AK98" s="276"/>
      <c r="AL98" s="208"/>
      <c r="AM98" s="208"/>
      <c r="AN98" s="276"/>
      <c r="AQ98" s="2" t="str">
        <f t="shared" si="11"/>
        <v/>
      </c>
      <c r="AW98" s="2" t="str">
        <f t="shared" si="12"/>
        <v/>
      </c>
    </row>
    <row r="99" spans="1:49" x14ac:dyDescent="0.2">
      <c r="A99" s="31" t="s">
        <v>165</v>
      </c>
      <c r="B99" s="58"/>
      <c r="C99" s="32"/>
      <c r="D99" s="32"/>
      <c r="E99" s="32"/>
      <c r="F99" s="32"/>
      <c r="G99" s="32"/>
      <c r="H99" s="33"/>
      <c r="M99" s="36"/>
      <c r="N99" s="7" t="str">
        <f t="shared" si="15"/>
        <v/>
      </c>
      <c r="O99" s="7" t="str">
        <f t="shared" si="13"/>
        <v/>
      </c>
      <c r="P99" s="273" t="str">
        <f t="shared" si="14"/>
        <v/>
      </c>
      <c r="Q99" s="277"/>
      <c r="R99" s="277"/>
      <c r="S99" s="278"/>
      <c r="T99" s="277"/>
      <c r="U99" s="277"/>
      <c r="V99" s="278"/>
      <c r="W99" s="277"/>
      <c r="X99" s="277"/>
      <c r="Y99" s="278"/>
      <c r="Z99" s="277"/>
      <c r="AA99" s="277"/>
      <c r="AB99" s="278"/>
      <c r="AC99" s="277"/>
      <c r="AD99" s="277"/>
      <c r="AE99" s="278"/>
      <c r="AF99" s="277"/>
      <c r="AG99" s="277"/>
      <c r="AH99" s="278"/>
      <c r="AI99" s="277"/>
      <c r="AJ99" s="277"/>
      <c r="AK99" s="278"/>
      <c r="AL99" s="277"/>
      <c r="AM99" s="277"/>
      <c r="AN99" s="278"/>
      <c r="AQ99" s="31" t="str">
        <f t="shared" si="11"/>
        <v>Investment and Capital Structure Battery</v>
      </c>
      <c r="AU99" s="6"/>
      <c r="AW99" s="6" t="str">
        <f t="shared" si="12"/>
        <v/>
      </c>
    </row>
    <row r="100" spans="1:49" x14ac:dyDescent="0.2">
      <c r="A100" s="34" t="s">
        <v>156</v>
      </c>
      <c r="B100" s="151"/>
      <c r="C100" s="46">
        <f>IF(B100="",IF(AND(_Debug_Modus=_JA,N100&lt;&gt;""),N100,I100),B100)</f>
        <v>0</v>
      </c>
      <c r="D100" s="38" t="s">
        <v>20</v>
      </c>
      <c r="E100" s="54" t="s">
        <v>113</v>
      </c>
      <c r="F100" s="38"/>
      <c r="G100" s="38"/>
      <c r="H100" s="39"/>
      <c r="I100" s="22">
        <f>_Speicherkapazität*700</f>
        <v>0</v>
      </c>
      <c r="M100" s="36"/>
      <c r="N100" s="7" t="str">
        <f t="shared" si="15"/>
        <v/>
      </c>
      <c r="O100" s="7" t="str">
        <f t="shared" si="13"/>
        <v/>
      </c>
      <c r="P100" s="273" t="str">
        <f t="shared" si="14"/>
        <v/>
      </c>
      <c r="Q100" s="277">
        <v>5000</v>
      </c>
      <c r="R100" s="277"/>
      <c r="S100" s="278"/>
      <c r="T100" s="277"/>
      <c r="U100" s="277"/>
      <c r="V100" s="278"/>
      <c r="W100" s="277">
        <v>50000</v>
      </c>
      <c r="X100" s="277"/>
      <c r="Y100" s="278"/>
      <c r="Z100" s="277"/>
      <c r="AA100" s="277"/>
      <c r="AB100" s="278"/>
      <c r="AC100" s="277"/>
      <c r="AD100" s="277"/>
      <c r="AE100" s="278"/>
      <c r="AF100" s="277"/>
      <c r="AG100" s="277"/>
      <c r="AH100" s="278"/>
      <c r="AI100" s="277"/>
      <c r="AJ100" s="277"/>
      <c r="AK100" s="278"/>
      <c r="AL100" s="277"/>
      <c r="AM100" s="277"/>
      <c r="AN100" s="278"/>
      <c r="AQ100" s="34" t="str">
        <f t="shared" si="11"/>
        <v>Investment sum battery</v>
      </c>
      <c r="AU100" s="6" t="s">
        <v>331</v>
      </c>
      <c r="AW100" s="6" t="str">
        <f t="shared" si="12"/>
        <v>The default value is calculated with an average cost of 700 CHF/kWh.</v>
      </c>
    </row>
    <row r="101" spans="1:49" x14ac:dyDescent="0.2">
      <c r="A101" s="34" t="s">
        <v>166</v>
      </c>
      <c r="B101" s="45"/>
      <c r="C101" s="46">
        <f>IF(B101="",IF(AND(_Debug_Modus=_JA,N101&lt;&gt;""),N101,I101),B101)</f>
        <v>0</v>
      </c>
      <c r="D101" s="38" t="s">
        <v>20</v>
      </c>
      <c r="E101" s="54"/>
      <c r="F101" s="38"/>
      <c r="G101" s="38"/>
      <c r="H101" s="39"/>
      <c r="I101" s="21">
        <v>0</v>
      </c>
      <c r="M101" s="36"/>
      <c r="N101" s="7" t="str">
        <f t="shared" si="15"/>
        <v/>
      </c>
      <c r="O101" s="7" t="str">
        <f t="shared" si="13"/>
        <v/>
      </c>
      <c r="P101" s="273" t="str">
        <f t="shared" si="14"/>
        <v/>
      </c>
      <c r="Q101" s="277">
        <v>2000</v>
      </c>
      <c r="R101" s="277"/>
      <c r="S101" s="278"/>
      <c r="T101" s="277"/>
      <c r="U101" s="277"/>
      <c r="V101" s="278"/>
      <c r="W101" s="277">
        <v>6000</v>
      </c>
      <c r="X101" s="277"/>
      <c r="Y101" s="278"/>
      <c r="Z101" s="277"/>
      <c r="AA101" s="277"/>
      <c r="AB101" s="278"/>
      <c r="AC101" s="277"/>
      <c r="AD101" s="277"/>
      <c r="AE101" s="278"/>
      <c r="AF101" s="277"/>
      <c r="AG101" s="277"/>
      <c r="AH101" s="278"/>
      <c r="AI101" s="277"/>
      <c r="AJ101" s="277"/>
      <c r="AK101" s="278"/>
      <c r="AL101" s="277"/>
      <c r="AM101" s="277"/>
      <c r="AN101" s="278"/>
      <c r="AQ101" s="34" t="str">
        <f t="shared" si="11"/>
        <v>Other battery expenses</v>
      </c>
      <c r="AU101" s="6" t="s">
        <v>332</v>
      </c>
      <c r="AW101" s="6" t="str">
        <f t="shared" si="12"/>
        <v>No information is provided on the additional costs for the battery storage system.</v>
      </c>
    </row>
    <row r="102" spans="1:49" x14ac:dyDescent="0.2">
      <c r="A102" s="34" t="s">
        <v>157</v>
      </c>
      <c r="B102" s="45"/>
      <c r="C102" s="46">
        <f>IF(IF(B102="",IF(AND(_Debug_Modus=_JA,N102&lt;&gt;""),N102,I102),B102)&gt;0,-1,1)*IF(B102="",IF(AND(_Debug_Modus=_JA,N102&lt;&gt;""),N102,I102),B102)</f>
        <v>0</v>
      </c>
      <c r="D102" s="38" t="s">
        <v>20</v>
      </c>
      <c r="E102" s="54" t="s">
        <v>416</v>
      </c>
      <c r="F102" s="38"/>
      <c r="G102" s="38"/>
      <c r="H102" s="39"/>
      <c r="I102" s="21">
        <v>0</v>
      </c>
      <c r="M102" s="36"/>
      <c r="N102" s="7" t="str">
        <f t="shared" si="15"/>
        <v/>
      </c>
      <c r="O102" s="7" t="str">
        <f t="shared" si="13"/>
        <v/>
      </c>
      <c r="P102" s="273" t="str">
        <f t="shared" si="14"/>
        <v/>
      </c>
      <c r="Q102" s="277">
        <v>1000</v>
      </c>
      <c r="R102" s="277"/>
      <c r="S102" s="278"/>
      <c r="T102" s="277"/>
      <c r="U102" s="277"/>
      <c r="V102" s="278"/>
      <c r="W102" s="277"/>
      <c r="X102" s="277"/>
      <c r="Y102" s="278"/>
      <c r="Z102" s="277"/>
      <c r="AA102" s="277"/>
      <c r="AB102" s="278"/>
      <c r="AC102" s="277"/>
      <c r="AD102" s="277"/>
      <c r="AE102" s="278"/>
      <c r="AF102" s="277"/>
      <c r="AG102" s="277"/>
      <c r="AH102" s="278"/>
      <c r="AI102" s="277"/>
      <c r="AJ102" s="277"/>
      <c r="AK102" s="278"/>
      <c r="AL102" s="277"/>
      <c r="AM102" s="277"/>
      <c r="AN102" s="278"/>
      <c r="AQ102" s="34" t="str">
        <f t="shared" si="11"/>
        <v>Value Function Emergency Power</v>
      </c>
      <c r="AU102" s="6" t="s">
        <v>451</v>
      </c>
      <c r="AW102" s="6" t="str">
        <f t="shared" si="12"/>
        <v>No deductions are proposed for the value of the emergency power function.</v>
      </c>
    </row>
    <row r="103" spans="1:49" x14ac:dyDescent="0.2">
      <c r="A103" s="34" t="s">
        <v>187</v>
      </c>
      <c r="B103" s="38"/>
      <c r="C103" s="46">
        <f>IF(_MWStPflicht=_nichtMWStpflichtig,(_Investitionssumme_Batterie+_sonstige_Aufwände_Batterie+_Abzug_Funktion_Notstrom)*_MWStSatz/100,0)</f>
        <v>0</v>
      </c>
      <c r="D103" s="38" t="s">
        <v>20</v>
      </c>
      <c r="E103" s="54"/>
      <c r="F103" s="38"/>
      <c r="G103" s="38"/>
      <c r="H103" s="39"/>
      <c r="M103" s="36"/>
      <c r="N103" s="7" t="str">
        <f t="shared" si="15"/>
        <v/>
      </c>
      <c r="O103" s="7" t="str">
        <f t="shared" si="13"/>
        <v/>
      </c>
      <c r="P103" s="273" t="str">
        <f t="shared" si="14"/>
        <v/>
      </c>
      <c r="Q103" s="277"/>
      <c r="R103" s="277"/>
      <c r="S103" s="278"/>
      <c r="T103" s="277"/>
      <c r="U103" s="277"/>
      <c r="V103" s="278"/>
      <c r="W103" s="277"/>
      <c r="X103" s="277"/>
      <c r="Y103" s="278"/>
      <c r="Z103" s="277"/>
      <c r="AA103" s="277"/>
      <c r="AB103" s="278"/>
      <c r="AC103" s="277"/>
      <c r="AD103" s="277"/>
      <c r="AE103" s="278"/>
      <c r="AF103" s="277"/>
      <c r="AG103" s="277"/>
      <c r="AH103" s="278"/>
      <c r="AI103" s="277"/>
      <c r="AJ103" s="277"/>
      <c r="AK103" s="278"/>
      <c r="AL103" s="277"/>
      <c r="AM103" s="277"/>
      <c r="AN103" s="278"/>
      <c r="AQ103" s="34" t="str">
        <f t="shared" si="11"/>
        <v>VAT investment costs battery</v>
      </c>
      <c r="AU103" s="6"/>
      <c r="AW103" s="6" t="str">
        <f t="shared" si="12"/>
        <v/>
      </c>
    </row>
    <row r="104" spans="1:49" x14ac:dyDescent="0.2">
      <c r="A104" s="59" t="s">
        <v>289</v>
      </c>
      <c r="B104" s="38"/>
      <c r="C104" s="152">
        <f>_Investitionssumme_Batterie+_sonstige_Aufwände_Batterie+_Abzug_Funktion_Notstrom+_Vorabzug_Investitionskosten_Batterie</f>
        <v>0</v>
      </c>
      <c r="D104" s="60" t="s">
        <v>20</v>
      </c>
      <c r="E104" s="54" t="s">
        <v>73</v>
      </c>
      <c r="F104" s="38"/>
      <c r="G104" s="38"/>
      <c r="H104" s="39"/>
      <c r="M104" s="36"/>
      <c r="N104" s="7" t="str">
        <f t="shared" si="15"/>
        <v/>
      </c>
      <c r="O104" s="7" t="str">
        <f t="shared" si="13"/>
        <v/>
      </c>
      <c r="P104" s="273" t="str">
        <f t="shared" si="14"/>
        <v/>
      </c>
      <c r="Q104" s="277"/>
      <c r="R104" s="277"/>
      <c r="S104" s="278"/>
      <c r="T104" s="277"/>
      <c r="U104" s="277"/>
      <c r="V104" s="278"/>
      <c r="W104" s="277"/>
      <c r="X104" s="277"/>
      <c r="Y104" s="278"/>
      <c r="Z104" s="277"/>
      <c r="AA104" s="277"/>
      <c r="AB104" s="278"/>
      <c r="AC104" s="277"/>
      <c r="AD104" s="277"/>
      <c r="AE104" s="278"/>
      <c r="AF104" s="277"/>
      <c r="AG104" s="277"/>
      <c r="AH104" s="278"/>
      <c r="AI104" s="277"/>
      <c r="AJ104" s="277"/>
      <c r="AK104" s="278"/>
      <c r="AL104" s="277"/>
      <c r="AM104" s="277"/>
      <c r="AN104" s="278"/>
      <c r="AQ104" s="59" t="str">
        <f t="shared" si="11"/>
        <v>Relevant investment costs battery</v>
      </c>
      <c r="AU104" s="6"/>
      <c r="AW104" s="6" t="str">
        <f t="shared" si="12"/>
        <v/>
      </c>
    </row>
    <row r="105" spans="1:49" x14ac:dyDescent="0.2">
      <c r="A105" s="59" t="s">
        <v>168</v>
      </c>
      <c r="B105" s="38"/>
      <c r="C105" s="152">
        <f>_relevante_Investitionskosten_Batterie-_Förderung_Batterie</f>
        <v>0</v>
      </c>
      <c r="D105" s="60" t="s">
        <v>20</v>
      </c>
      <c r="E105" s="54" t="s">
        <v>89</v>
      </c>
      <c r="F105" s="38"/>
      <c r="G105" s="38"/>
      <c r="H105" s="39"/>
      <c r="M105" s="36"/>
      <c r="N105" s="7" t="str">
        <f t="shared" si="15"/>
        <v/>
      </c>
      <c r="O105" s="7" t="str">
        <f t="shared" si="13"/>
        <v/>
      </c>
      <c r="P105" s="273" t="str">
        <f t="shared" si="14"/>
        <v/>
      </c>
      <c r="Q105" s="277"/>
      <c r="R105" s="277"/>
      <c r="S105" s="278"/>
      <c r="T105" s="277"/>
      <c r="U105" s="277"/>
      <c r="V105" s="278"/>
      <c r="W105" s="277"/>
      <c r="X105" s="277"/>
      <c r="Y105" s="278"/>
      <c r="Z105" s="277"/>
      <c r="AA105" s="277"/>
      <c r="AB105" s="278"/>
      <c r="AC105" s="277"/>
      <c r="AD105" s="277"/>
      <c r="AE105" s="278"/>
      <c r="AF105" s="277"/>
      <c r="AG105" s="277"/>
      <c r="AH105" s="278"/>
      <c r="AI105" s="277"/>
      <c r="AJ105" s="277"/>
      <c r="AK105" s="278"/>
      <c r="AL105" s="277"/>
      <c r="AM105" s="277"/>
      <c r="AN105" s="278"/>
      <c r="AQ105" s="59" t="str">
        <f t="shared" si="11"/>
        <v>Net battery investment</v>
      </c>
      <c r="AU105" s="6"/>
      <c r="AW105" s="6" t="str">
        <f t="shared" si="12"/>
        <v/>
      </c>
    </row>
    <row r="106" spans="1:49" ht="32" x14ac:dyDescent="0.2">
      <c r="A106" s="34"/>
      <c r="B106" s="38"/>
      <c r="C106" s="38"/>
      <c r="D106" s="38"/>
      <c r="E106" s="38" t="s">
        <v>24</v>
      </c>
      <c r="F106" s="38" t="s">
        <v>23</v>
      </c>
      <c r="G106" s="255" t="s">
        <v>400</v>
      </c>
      <c r="H106" s="256" t="s">
        <v>401</v>
      </c>
      <c r="J106" s="61"/>
      <c r="M106" s="36"/>
      <c r="N106" s="7" t="str">
        <f t="shared" si="15"/>
        <v/>
      </c>
      <c r="O106" s="7" t="str">
        <f t="shared" si="13"/>
        <v/>
      </c>
      <c r="P106" s="273" t="str">
        <f t="shared" si="14"/>
        <v/>
      </c>
      <c r="Q106" s="277"/>
      <c r="R106" s="277"/>
      <c r="S106" s="278"/>
      <c r="T106" s="277"/>
      <c r="U106" s="277"/>
      <c r="V106" s="278"/>
      <c r="W106" s="277"/>
      <c r="X106" s="277"/>
      <c r="Y106" s="278"/>
      <c r="Z106" s="277"/>
      <c r="AA106" s="277"/>
      <c r="AB106" s="278"/>
      <c r="AC106" s="277"/>
      <c r="AD106" s="277"/>
      <c r="AE106" s="278"/>
      <c r="AF106" s="277"/>
      <c r="AG106" s="277"/>
      <c r="AH106" s="278"/>
      <c r="AI106" s="277"/>
      <c r="AJ106" s="277"/>
      <c r="AK106" s="278"/>
      <c r="AL106" s="277"/>
      <c r="AM106" s="277"/>
      <c r="AN106" s="278"/>
      <c r="AQ106" s="34" t="str">
        <f t="shared" si="11"/>
        <v/>
      </c>
      <c r="AU106" s="6"/>
      <c r="AW106" s="6" t="str">
        <f t="shared" si="12"/>
        <v/>
      </c>
    </row>
    <row r="107" spans="1:49" ht="15" customHeight="1" x14ac:dyDescent="0.2">
      <c r="A107" s="34" t="s">
        <v>172</v>
      </c>
      <c r="B107" s="46"/>
      <c r="C107" s="46">
        <f>I107</f>
        <v>0</v>
      </c>
      <c r="D107" s="38" t="s">
        <v>20</v>
      </c>
      <c r="E107" s="47">
        <f>_Zins_Eigenkapital</f>
        <v>0</v>
      </c>
      <c r="F107" s="46"/>
      <c r="G107" s="254"/>
      <c r="H107" s="215">
        <f>_Lebensdauer_Speicher</f>
        <v>15</v>
      </c>
      <c r="I107" s="22">
        <f>_Investition_netto_Batterie-C108</f>
        <v>0</v>
      </c>
      <c r="M107" s="36"/>
      <c r="N107" s="7" t="str">
        <f t="shared" si="15"/>
        <v/>
      </c>
      <c r="O107" s="7" t="str">
        <f t="shared" si="13"/>
        <v/>
      </c>
      <c r="P107" s="273" t="str">
        <f t="shared" si="14"/>
        <v/>
      </c>
      <c r="Q107" s="277"/>
      <c r="R107" s="277"/>
      <c r="S107" s="278"/>
      <c r="T107" s="277"/>
      <c r="U107" s="277"/>
      <c r="V107" s="278"/>
      <c r="W107" s="277"/>
      <c r="X107" s="277"/>
      <c r="Y107" s="278"/>
      <c r="Z107" s="277"/>
      <c r="AA107" s="277"/>
      <c r="AB107" s="278"/>
      <c r="AC107" s="277"/>
      <c r="AD107" s="277"/>
      <c r="AE107" s="278"/>
      <c r="AF107" s="277"/>
      <c r="AG107" s="277"/>
      <c r="AH107" s="278"/>
      <c r="AI107" s="277"/>
      <c r="AJ107" s="277"/>
      <c r="AK107" s="278"/>
      <c r="AL107" s="277"/>
      <c r="AM107" s="277"/>
      <c r="AN107" s="278"/>
      <c r="AQ107" s="34" t="str">
        <f t="shared" si="11"/>
        <v>Equity Battery</v>
      </c>
      <c r="AU107" s="6"/>
      <c r="AW107" s="6" t="str">
        <f t="shared" si="12"/>
        <v/>
      </c>
    </row>
    <row r="108" spans="1:49" x14ac:dyDescent="0.2">
      <c r="A108" s="37" t="s">
        <v>173</v>
      </c>
      <c r="B108" s="57"/>
      <c r="C108" s="55">
        <f>IF(B108="",IF(AND(_Debug_Modus=_JA,N108&lt;&gt;""),N108,I108),B108)</f>
        <v>0</v>
      </c>
      <c r="D108" s="51" t="s">
        <v>20</v>
      </c>
      <c r="E108" s="62"/>
      <c r="F108" s="270"/>
      <c r="G108" s="258">
        <f>IF(ISNUMBER(IF(_Debug_Modus=_JA,O108,E108)),IF(_Debug_Modus=_JA,O108,E108),0)</f>
        <v>0</v>
      </c>
      <c r="H108" s="216">
        <f>IF(IF(F108="",IF(AND(_Debug_Modus=_JA,P108&lt;&gt;""),P108,I108),F108)&lt;K108,K108,IF(IF(F108="",IF(AND(_Debug_Modus=_JA,P108&lt;&gt;""),P108,I108),F108)&gt;L108,L108,IF(F108="",IF(AND(_Debug_Modus=_JA,P108&lt;&gt;""),P108,I108),F108)))</f>
        <v>0</v>
      </c>
      <c r="I108" s="21">
        <v>0</v>
      </c>
      <c r="K108" s="21">
        <v>0</v>
      </c>
      <c r="L108" s="22">
        <f>H107</f>
        <v>15</v>
      </c>
      <c r="M108" s="36"/>
      <c r="N108" s="7" t="str">
        <f t="shared" si="15"/>
        <v/>
      </c>
      <c r="O108" s="7" t="str">
        <f t="shared" si="13"/>
        <v/>
      </c>
      <c r="P108" s="273" t="str">
        <f t="shared" si="14"/>
        <v/>
      </c>
      <c r="Q108" s="277"/>
      <c r="R108" s="277"/>
      <c r="S108" s="278"/>
      <c r="T108" s="277"/>
      <c r="U108" s="277"/>
      <c r="V108" s="278"/>
      <c r="W108" s="277"/>
      <c r="X108" s="277"/>
      <c r="Y108" s="278"/>
      <c r="Z108" s="277"/>
      <c r="AA108" s="277"/>
      <c r="AB108" s="278"/>
      <c r="AC108" s="277"/>
      <c r="AD108" s="277"/>
      <c r="AE108" s="278"/>
      <c r="AF108" s="277"/>
      <c r="AG108" s="277"/>
      <c r="AH108" s="278"/>
      <c r="AI108" s="277"/>
      <c r="AJ108" s="277"/>
      <c r="AK108" s="278"/>
      <c r="AL108" s="277"/>
      <c r="AM108" s="277"/>
      <c r="AN108" s="278"/>
      <c r="AQ108" s="37" t="str">
        <f t="shared" si="11"/>
        <v>Debt Capital Battery</v>
      </c>
      <c r="AU108" s="6"/>
      <c r="AW108" s="6" t="str">
        <f t="shared" si="12"/>
        <v/>
      </c>
    </row>
    <row r="109" spans="1:49" x14ac:dyDescent="0.2">
      <c r="A109" s="310"/>
      <c r="B109" s="310"/>
      <c r="C109" s="310"/>
      <c r="D109" s="310"/>
      <c r="E109" s="310"/>
      <c r="F109" s="310"/>
      <c r="G109" s="310"/>
      <c r="H109" s="310"/>
      <c r="M109" s="36"/>
      <c r="N109" s="243" t="str">
        <f t="shared" si="15"/>
        <v/>
      </c>
      <c r="O109" s="243" t="str">
        <f t="shared" si="13"/>
        <v/>
      </c>
      <c r="P109" s="261" t="str">
        <f t="shared" si="14"/>
        <v/>
      </c>
      <c r="Q109" s="208"/>
      <c r="R109" s="208"/>
      <c r="S109" s="276"/>
      <c r="T109" s="208"/>
      <c r="U109" s="208"/>
      <c r="V109" s="276"/>
      <c r="W109" s="208"/>
      <c r="X109" s="208"/>
      <c r="Y109" s="276"/>
      <c r="Z109" s="208"/>
      <c r="AA109" s="208"/>
      <c r="AB109" s="276"/>
      <c r="AC109" s="208"/>
      <c r="AD109" s="208"/>
      <c r="AE109" s="276"/>
      <c r="AF109" s="208"/>
      <c r="AG109" s="208"/>
      <c r="AH109" s="276"/>
      <c r="AI109" s="208"/>
      <c r="AJ109" s="208"/>
      <c r="AK109" s="276"/>
      <c r="AL109" s="208"/>
      <c r="AM109" s="208"/>
      <c r="AN109" s="276"/>
      <c r="AQ109" s="2" t="str">
        <f t="shared" si="11"/>
        <v/>
      </c>
      <c r="AW109" s="2" t="str">
        <f t="shared" si="12"/>
        <v/>
      </c>
    </row>
    <row r="110" spans="1:49" x14ac:dyDescent="0.2">
      <c r="A110" s="31" t="s">
        <v>404</v>
      </c>
      <c r="B110" s="58" t="s">
        <v>68</v>
      </c>
      <c r="C110" s="32"/>
      <c r="D110" s="32"/>
      <c r="E110" s="32"/>
      <c r="F110" s="32"/>
      <c r="G110" s="32"/>
      <c r="H110" s="33"/>
      <c r="M110" s="36"/>
      <c r="N110" s="7" t="str">
        <f t="shared" si="15"/>
        <v/>
      </c>
      <c r="O110" s="7" t="str">
        <f t="shared" si="13"/>
        <v/>
      </c>
      <c r="P110" s="273" t="str">
        <f t="shared" si="14"/>
        <v/>
      </c>
      <c r="Q110" s="277"/>
      <c r="R110" s="277"/>
      <c r="S110" s="278"/>
      <c r="T110" s="277"/>
      <c r="U110" s="277"/>
      <c r="V110" s="278"/>
      <c r="W110" s="277"/>
      <c r="X110" s="277"/>
      <c r="Y110" s="278"/>
      <c r="Z110" s="277"/>
      <c r="AA110" s="277"/>
      <c r="AB110" s="278"/>
      <c r="AC110" s="277"/>
      <c r="AD110" s="277"/>
      <c r="AE110" s="278"/>
      <c r="AF110" s="277"/>
      <c r="AG110" s="277"/>
      <c r="AH110" s="278"/>
      <c r="AI110" s="277"/>
      <c r="AJ110" s="277"/>
      <c r="AK110" s="278"/>
      <c r="AL110" s="277"/>
      <c r="AM110" s="277"/>
      <c r="AN110" s="278"/>
      <c r="AQ110" s="31" t="str">
        <f t="shared" si="11"/>
        <v>Operating and maintenance costs of PV systems</v>
      </c>
      <c r="AU110" s="6"/>
      <c r="AW110" s="6" t="str">
        <f t="shared" si="12"/>
        <v/>
      </c>
    </row>
    <row r="111" spans="1:49" x14ac:dyDescent="0.2">
      <c r="A111" s="34" t="s">
        <v>13</v>
      </c>
      <c r="B111" s="203" t="s">
        <v>59</v>
      </c>
      <c r="C111" s="38" t="s">
        <v>526</v>
      </c>
      <c r="D111" s="38"/>
      <c r="E111" s="343" t="str">
        <f>IF(B111="Wartungstabelle","Bei Anlagen &lt;30 kWp Defaultwerte ungültig","")</f>
        <v>Bei Anlagen &lt;30 kWp Defaultwerte ungültig</v>
      </c>
      <c r="F111" s="38"/>
      <c r="G111" s="38"/>
      <c r="H111" s="39"/>
      <c r="M111" s="36"/>
      <c r="N111" s="7" t="str">
        <f t="shared" si="15"/>
        <v/>
      </c>
      <c r="O111" s="7" t="str">
        <f t="shared" si="13"/>
        <v/>
      </c>
      <c r="P111" s="273" t="str">
        <f t="shared" si="14"/>
        <v/>
      </c>
      <c r="Q111" s="277"/>
      <c r="R111" s="277"/>
      <c r="S111" s="278"/>
      <c r="T111" s="277"/>
      <c r="U111" s="277"/>
      <c r="V111" s="278"/>
      <c r="W111" s="277"/>
      <c r="X111" s="277"/>
      <c r="Y111" s="278"/>
      <c r="Z111" s="277"/>
      <c r="AA111" s="277"/>
      <c r="AB111" s="278"/>
      <c r="AC111" s="277"/>
      <c r="AD111" s="277"/>
      <c r="AE111" s="278"/>
      <c r="AF111" s="277"/>
      <c r="AG111" s="277"/>
      <c r="AH111" s="278"/>
      <c r="AI111" s="277"/>
      <c r="AJ111" s="277"/>
      <c r="AK111" s="278"/>
      <c r="AL111" s="277"/>
      <c r="AM111" s="277"/>
      <c r="AN111" s="278"/>
      <c r="AQ111" s="34" t="str">
        <f t="shared" si="11"/>
        <v>Calculation method</v>
      </c>
      <c r="AU111" s="6" t="str">
        <f>IF(B111="Preis pro kWh","Dem Defaultwert entsprechen 0.03 CHF/kWh bis 100 kWp, bis 1000 kWp eine lineare Reduktion auf 0.02 CHF/kWh, &gt;1000 kWp 0.02 CHF/kWh","")</f>
        <v/>
      </c>
      <c r="AW111" s="6" t="str">
        <f t="shared" si="12"/>
        <v/>
      </c>
    </row>
    <row r="112" spans="1:49" x14ac:dyDescent="0.2">
      <c r="A112" s="34" t="s">
        <v>14</v>
      </c>
      <c r="B112" s="201"/>
      <c r="C112" s="63">
        <f>IF(AND(B111="Preis pro kWh",B112=""),J112,B112)</f>
        <v>0</v>
      </c>
      <c r="D112" s="38" t="s">
        <v>19</v>
      </c>
      <c r="E112" s="38"/>
      <c r="F112" s="38"/>
      <c r="G112" s="38"/>
      <c r="H112" s="39"/>
      <c r="I112" s="21">
        <f>SUM(M114:M125,M130)/(_Anlagenleistung*_spez_Jahresenergieertrag*_Anlagenlebensdauer*(1-(_Degradation/100*_Anlagenlebensdauer/2)))</f>
        <v>0.18193013396375099</v>
      </c>
      <c r="J112" s="21">
        <f>ROUND(IF(_Anlagenleistung&lt;100,0.03,IF(_Anlagenleistung&lt;1000,0.03-(_Anlagenleistung-100)*0.01/900,0.02)),3)</f>
        <v>0.03</v>
      </c>
      <c r="M112" s="36"/>
      <c r="N112" s="7" t="str">
        <f t="shared" si="15"/>
        <v/>
      </c>
      <c r="O112" s="7" t="str">
        <f t="shared" si="13"/>
        <v/>
      </c>
      <c r="P112" s="273" t="str">
        <f t="shared" si="14"/>
        <v/>
      </c>
      <c r="Q112" s="277"/>
      <c r="R112" s="277"/>
      <c r="S112" s="278"/>
      <c r="T112" s="277"/>
      <c r="U112" s="277"/>
      <c r="V112" s="278"/>
      <c r="W112" s="277"/>
      <c r="X112" s="277"/>
      <c r="Y112" s="278"/>
      <c r="Z112" s="277"/>
      <c r="AA112" s="277"/>
      <c r="AB112" s="278"/>
      <c r="AC112" s="277"/>
      <c r="AD112" s="277"/>
      <c r="AE112" s="278"/>
      <c r="AF112" s="277"/>
      <c r="AG112" s="277"/>
      <c r="AH112" s="278"/>
      <c r="AI112" s="277"/>
      <c r="AJ112" s="277"/>
      <c r="AK112" s="278"/>
      <c r="AL112" s="277"/>
      <c r="AM112" s="277"/>
      <c r="AN112" s="278"/>
      <c r="AQ112" s="34" t="str">
        <f t="shared" si="11"/>
        <v>spec. Maintenance costs</v>
      </c>
      <c r="AU112" s="6"/>
      <c r="AW112" s="6" t="str">
        <f t="shared" si="12"/>
        <v/>
      </c>
    </row>
    <row r="113" spans="1:49" x14ac:dyDescent="0.2">
      <c r="A113" s="34"/>
      <c r="B113" s="227" t="s">
        <v>51</v>
      </c>
      <c r="C113" s="63"/>
      <c r="D113" s="38"/>
      <c r="E113" s="60" t="s">
        <v>52</v>
      </c>
      <c r="F113" s="38" t="s">
        <v>22</v>
      </c>
      <c r="G113" s="38"/>
      <c r="H113" s="39"/>
      <c r="I113" s="21"/>
      <c r="M113" s="260" t="s">
        <v>216</v>
      </c>
      <c r="N113" s="7" t="str">
        <f t="shared" si="15"/>
        <v/>
      </c>
      <c r="O113" s="7" t="str">
        <f t="shared" si="13"/>
        <v/>
      </c>
      <c r="P113" s="273" t="str">
        <f t="shared" si="14"/>
        <v/>
      </c>
      <c r="Q113" s="277"/>
      <c r="R113" s="277"/>
      <c r="S113" s="278"/>
      <c r="T113" s="277"/>
      <c r="U113" s="277"/>
      <c r="V113" s="278"/>
      <c r="W113" s="277"/>
      <c r="X113" s="277"/>
      <c r="Y113" s="278"/>
      <c r="Z113" s="277"/>
      <c r="AA113" s="277"/>
      <c r="AB113" s="278"/>
      <c r="AC113" s="277"/>
      <c r="AD113" s="277"/>
      <c r="AE113" s="278"/>
      <c r="AF113" s="277"/>
      <c r="AG113" s="277"/>
      <c r="AH113" s="278"/>
      <c r="AI113" s="277"/>
      <c r="AJ113" s="277"/>
      <c r="AK113" s="278"/>
      <c r="AL113" s="277"/>
      <c r="AM113" s="277"/>
      <c r="AN113" s="278"/>
      <c r="AQ113" s="34" t="str">
        <f t="shared" si="11"/>
        <v/>
      </c>
      <c r="AU113" s="6"/>
      <c r="AW113" s="6" t="str">
        <f t="shared" si="12"/>
        <v/>
      </c>
    </row>
    <row r="114" spans="1:49" x14ac:dyDescent="0.2">
      <c r="A114" s="34" t="s">
        <v>41</v>
      </c>
      <c r="B114" s="45"/>
      <c r="C114" s="46">
        <f t="shared" ref="C114:C125" si="16">IF(B114="",IF(AND(_Debug_Modus=_JA,N114&lt;&gt;""),N114,I114),B114)</f>
        <v>830.68799999999999</v>
      </c>
      <c r="D114" s="38" t="s">
        <v>20</v>
      </c>
      <c r="E114" s="45"/>
      <c r="F114" s="46">
        <f t="shared" ref="F114:F125" si="17">IF(IF(E114="",IF(AND(_Debug_Modus=_JA,O114&lt;&gt;""),O114,J114),INT(E114))&lt;L114,IF(IF(E114="",IF(AND(_Debug_Modus=_JA,O114&lt;&gt;""),O114,J114),INT(E114))&gt;K114,IF(E114="",IF(AND(_Debug_Modus=_JA,O114&lt;&gt;""),O114,J114),INT(E114)),K114),L114)</f>
        <v>5</v>
      </c>
      <c r="G114" s="38" t="s">
        <v>16</v>
      </c>
      <c r="H114" s="39"/>
      <c r="I114" s="21">
        <f>IF(_Anlagenleistung=0,0,800+0.002*_Investitionssumme)</f>
        <v>830.68799999999999</v>
      </c>
      <c r="J114" s="64">
        <f>IF(OR(_Anlagekategorie=_Fassade_angebaut,_Anlagekategorie=_Fassade_integriert),3,5)</f>
        <v>5</v>
      </c>
      <c r="K114" s="21">
        <v>1</v>
      </c>
      <c r="L114" s="21">
        <f t="shared" ref="L114:L125" si="18">_Anlagenlebensdauer</f>
        <v>30</v>
      </c>
      <c r="M114" s="260">
        <f>ROUNDDOWN(_Anlagenlebensdauer/J114,0)*I114</f>
        <v>4984.1279999999997</v>
      </c>
      <c r="N114" s="7">
        <f t="shared" si="15"/>
        <v>1200</v>
      </c>
      <c r="O114" s="7">
        <f t="shared" si="13"/>
        <v>2</v>
      </c>
      <c r="P114" s="273" t="str">
        <f t="shared" si="14"/>
        <v/>
      </c>
      <c r="Q114" s="277">
        <v>500</v>
      </c>
      <c r="R114" s="277">
        <v>10</v>
      </c>
      <c r="S114" s="278"/>
      <c r="T114" s="277">
        <v>500</v>
      </c>
      <c r="U114" s="277">
        <v>10</v>
      </c>
      <c r="V114" s="278"/>
      <c r="W114" s="277">
        <v>1200</v>
      </c>
      <c r="X114" s="277">
        <v>2</v>
      </c>
      <c r="Y114" s="278"/>
      <c r="Z114" s="277">
        <v>1200</v>
      </c>
      <c r="AA114" s="277">
        <v>2</v>
      </c>
      <c r="AB114" s="278"/>
      <c r="AC114" s="277">
        <v>1200</v>
      </c>
      <c r="AD114" s="277">
        <v>2</v>
      </c>
      <c r="AE114" s="278"/>
      <c r="AF114" s="277"/>
      <c r="AG114" s="277"/>
      <c r="AH114" s="278"/>
      <c r="AI114" s="277"/>
      <c r="AJ114" s="277"/>
      <c r="AK114" s="278"/>
      <c r="AL114" s="277"/>
      <c r="AM114" s="277"/>
      <c r="AN114" s="278"/>
      <c r="AQ114" s="34" t="str">
        <f t="shared" si="11"/>
        <v>Inspection rounds</v>
      </c>
      <c r="AU114" s="6" t="s">
        <v>437</v>
      </c>
      <c r="AW114" s="6" t="str">
        <f t="shared" si="12"/>
        <v>Inspection rounds are expected every 5 years. The costs are calculated at a flat rate of CHF 800 + 2 ‰ of the investment amount.</v>
      </c>
    </row>
    <row r="115" spans="1:49" x14ac:dyDescent="0.2">
      <c r="A115" s="34" t="s">
        <v>42</v>
      </c>
      <c r="B115" s="45"/>
      <c r="C115" s="46">
        <f t="shared" si="16"/>
        <v>0</v>
      </c>
      <c r="D115" s="38" t="s">
        <v>20</v>
      </c>
      <c r="E115" s="45"/>
      <c r="F115" s="46">
        <f t="shared" si="17"/>
        <v>20</v>
      </c>
      <c r="G115" s="38" t="s">
        <v>16</v>
      </c>
      <c r="H115" s="39"/>
      <c r="I115" s="21">
        <v>0</v>
      </c>
      <c r="J115" s="64">
        <v>20</v>
      </c>
      <c r="K115" s="21">
        <v>1</v>
      </c>
      <c r="L115" s="21">
        <f t="shared" si="18"/>
        <v>30</v>
      </c>
      <c r="M115" s="260">
        <f t="shared" ref="M115:M125" si="19">ROUNDDOWN(_Anlagenlebensdauer/J115,0)*I115</f>
        <v>0</v>
      </c>
      <c r="N115" s="7">
        <f t="shared" si="15"/>
        <v>0</v>
      </c>
      <c r="O115" s="7" t="str">
        <f t="shared" si="13"/>
        <v/>
      </c>
      <c r="P115" s="273" t="str">
        <f t="shared" si="14"/>
        <v/>
      </c>
      <c r="Q115" s="277">
        <v>0</v>
      </c>
      <c r="R115" s="277"/>
      <c r="S115" s="278"/>
      <c r="T115" s="277">
        <v>0</v>
      </c>
      <c r="U115" s="277"/>
      <c r="V115" s="278"/>
      <c r="W115" s="277">
        <v>0</v>
      </c>
      <c r="X115" s="277"/>
      <c r="Y115" s="278"/>
      <c r="Z115" s="277">
        <v>0</v>
      </c>
      <c r="AA115" s="277"/>
      <c r="AB115" s="278"/>
      <c r="AC115" s="277">
        <v>0</v>
      </c>
      <c r="AD115" s="277"/>
      <c r="AE115" s="278"/>
      <c r="AF115" s="277"/>
      <c r="AG115" s="277"/>
      <c r="AH115" s="278"/>
      <c r="AI115" s="277"/>
      <c r="AJ115" s="277"/>
      <c r="AK115" s="278"/>
      <c r="AL115" s="277"/>
      <c r="AM115" s="277"/>
      <c r="AN115" s="278"/>
      <c r="AQ115" s="34" t="str">
        <f t="shared" si="11"/>
        <v>Audits / Safety Certificates</v>
      </c>
      <c r="AU115" s="6" t="s">
        <v>333</v>
      </c>
      <c r="AW115" s="6" t="str">
        <f t="shared" si="12"/>
        <v>The follow-up inspections are usually carried out for the entire building. There are no additional costs for the PVA.</v>
      </c>
    </row>
    <row r="116" spans="1:49" x14ac:dyDescent="0.2">
      <c r="A116" s="34" t="s">
        <v>43</v>
      </c>
      <c r="B116" s="45"/>
      <c r="C116" s="46">
        <f t="shared" si="16"/>
        <v>69</v>
      </c>
      <c r="D116" s="38" t="s">
        <v>20</v>
      </c>
      <c r="E116" s="45"/>
      <c r="F116" s="46">
        <f t="shared" si="17"/>
        <v>1</v>
      </c>
      <c r="G116" s="38" t="s">
        <v>16</v>
      </c>
      <c r="H116" s="39"/>
      <c r="I116" s="21">
        <f>IF(_Anlagenleistung=0,0,60+_Anlagenleistung*2)</f>
        <v>69</v>
      </c>
      <c r="J116" s="64">
        <v>1</v>
      </c>
      <c r="K116" s="21">
        <v>1</v>
      </c>
      <c r="L116" s="21">
        <f t="shared" si="18"/>
        <v>30</v>
      </c>
      <c r="M116" s="260">
        <f t="shared" si="19"/>
        <v>2070</v>
      </c>
      <c r="N116" s="7">
        <f t="shared" si="15"/>
        <v>800</v>
      </c>
      <c r="O116" s="7">
        <f t="shared" si="13"/>
        <v>1</v>
      </c>
      <c r="P116" s="273" t="str">
        <f t="shared" si="14"/>
        <v/>
      </c>
      <c r="Q116" s="277">
        <v>0</v>
      </c>
      <c r="R116" s="277"/>
      <c r="S116" s="278"/>
      <c r="T116" s="277">
        <v>0</v>
      </c>
      <c r="U116" s="277"/>
      <c r="V116" s="278"/>
      <c r="W116" s="277">
        <v>800</v>
      </c>
      <c r="X116" s="277">
        <v>1</v>
      </c>
      <c r="Y116" s="278"/>
      <c r="Z116" s="277">
        <v>800</v>
      </c>
      <c r="AA116" s="277">
        <v>1</v>
      </c>
      <c r="AB116" s="278"/>
      <c r="AC116" s="277">
        <v>800</v>
      </c>
      <c r="AD116" s="277">
        <v>1</v>
      </c>
      <c r="AE116" s="278"/>
      <c r="AF116" s="277"/>
      <c r="AG116" s="277"/>
      <c r="AH116" s="278"/>
      <c r="AI116" s="277"/>
      <c r="AJ116" s="277"/>
      <c r="AK116" s="278"/>
      <c r="AL116" s="277"/>
      <c r="AM116" s="277"/>
      <c r="AN116" s="278"/>
      <c r="AQ116" s="34" t="str">
        <f t="shared" si="11"/>
        <v>Surveillance</v>
      </c>
      <c r="AU116" s="6" t="s">
        <v>438</v>
      </c>
      <c r="AW116" s="6" t="str">
        <f t="shared" si="12"/>
        <v>The annual costs for monitoring are calculated with a basic fee of 60 CHF and 2 CHF/kWp.</v>
      </c>
    </row>
    <row r="117" spans="1:49" x14ac:dyDescent="0.2">
      <c r="A117" s="34" t="s">
        <v>44</v>
      </c>
      <c r="B117" s="45"/>
      <c r="C117" s="46">
        <f t="shared" si="16"/>
        <v>99</v>
      </c>
      <c r="D117" s="38" t="s">
        <v>20</v>
      </c>
      <c r="E117" s="45"/>
      <c r="F117" s="46">
        <f t="shared" si="17"/>
        <v>1</v>
      </c>
      <c r="G117" s="38" t="s">
        <v>16</v>
      </c>
      <c r="H117" s="39"/>
      <c r="I117" s="21">
        <f>IF(_Anlagenleistung=0,0,90+_Anlagenleistung*2)</f>
        <v>99</v>
      </c>
      <c r="J117" s="64">
        <v>1</v>
      </c>
      <c r="K117" s="21">
        <v>1</v>
      </c>
      <c r="L117" s="21">
        <f t="shared" si="18"/>
        <v>30</v>
      </c>
      <c r="M117" s="260">
        <f t="shared" si="19"/>
        <v>2970</v>
      </c>
      <c r="N117" s="7">
        <f t="shared" si="15"/>
        <v>1000</v>
      </c>
      <c r="O117" s="7">
        <f t="shared" si="13"/>
        <v>1</v>
      </c>
      <c r="P117" s="273" t="str">
        <f t="shared" si="14"/>
        <v/>
      </c>
      <c r="Q117" s="277">
        <v>0</v>
      </c>
      <c r="R117" s="277"/>
      <c r="S117" s="278"/>
      <c r="T117" s="277">
        <v>0</v>
      </c>
      <c r="U117" s="277"/>
      <c r="V117" s="278"/>
      <c r="W117" s="277">
        <v>1000</v>
      </c>
      <c r="X117" s="277">
        <v>1</v>
      </c>
      <c r="Y117" s="278"/>
      <c r="Z117" s="277">
        <v>1000</v>
      </c>
      <c r="AA117" s="277">
        <v>1</v>
      </c>
      <c r="AB117" s="278"/>
      <c r="AC117" s="277">
        <v>1000</v>
      </c>
      <c r="AD117" s="277">
        <v>1</v>
      </c>
      <c r="AE117" s="278"/>
      <c r="AF117" s="277"/>
      <c r="AG117" s="277"/>
      <c r="AH117" s="278"/>
      <c r="AI117" s="277"/>
      <c r="AJ117" s="277"/>
      <c r="AK117" s="278"/>
      <c r="AL117" s="277"/>
      <c r="AM117" s="277"/>
      <c r="AN117" s="278"/>
      <c r="AQ117" s="34" t="str">
        <f t="shared" si="11"/>
        <v>Administration</v>
      </c>
      <c r="AU117" s="6" t="s">
        <v>439</v>
      </c>
      <c r="AW117" s="6" t="str">
        <f t="shared" si="12"/>
        <v>The annual costs for administration are calculated with a basic fee of 90 CHF and 2 CHF/kWp.</v>
      </c>
    </row>
    <row r="118" spans="1:49" x14ac:dyDescent="0.2">
      <c r="A118" s="34" t="s">
        <v>45</v>
      </c>
      <c r="B118" s="45"/>
      <c r="C118" s="46">
        <f t="shared" si="16"/>
        <v>120</v>
      </c>
      <c r="D118" s="38" t="s">
        <v>20</v>
      </c>
      <c r="E118" s="45"/>
      <c r="F118" s="46">
        <f t="shared" si="17"/>
        <v>1</v>
      </c>
      <c r="G118" s="38" t="s">
        <v>16</v>
      </c>
      <c r="H118" s="39"/>
      <c r="I118" s="21">
        <f>IF(_Anlagenleistung=0,0,10*12)</f>
        <v>120</v>
      </c>
      <c r="J118" s="64">
        <v>1</v>
      </c>
      <c r="K118" s="21">
        <v>1</v>
      </c>
      <c r="L118" s="21">
        <f t="shared" si="18"/>
        <v>30</v>
      </c>
      <c r="M118" s="260">
        <f t="shared" si="19"/>
        <v>3600</v>
      </c>
      <c r="N118" s="7" t="str">
        <f t="shared" si="15"/>
        <v/>
      </c>
      <c r="O118" s="7" t="str">
        <f t="shared" si="13"/>
        <v/>
      </c>
      <c r="P118" s="273" t="str">
        <f t="shared" si="14"/>
        <v/>
      </c>
      <c r="Q118" s="277">
        <v>0</v>
      </c>
      <c r="R118" s="277"/>
      <c r="S118" s="278"/>
      <c r="T118" s="277">
        <v>0</v>
      </c>
      <c r="U118" s="277"/>
      <c r="V118" s="278"/>
      <c r="W118" s="277"/>
      <c r="X118" s="277"/>
      <c r="Y118" s="278"/>
      <c r="Z118" s="277"/>
      <c r="AA118" s="277"/>
      <c r="AB118" s="278"/>
      <c r="AC118" s="277"/>
      <c r="AD118" s="277"/>
      <c r="AE118" s="278"/>
      <c r="AF118" s="277"/>
      <c r="AG118" s="277"/>
      <c r="AH118" s="278"/>
      <c r="AI118" s="277"/>
      <c r="AJ118" s="277"/>
      <c r="AK118" s="278"/>
      <c r="AL118" s="277"/>
      <c r="AM118" s="277"/>
      <c r="AN118" s="278"/>
      <c r="AQ118" s="34" t="str">
        <f t="shared" si="11"/>
        <v>Data</v>
      </c>
      <c r="AU118" s="6" t="s">
        <v>335</v>
      </c>
      <c r="AW118" s="6" t="str">
        <f t="shared" si="12"/>
        <v>Annual costs of 10 CHF/month are expected.</v>
      </c>
    </row>
    <row r="119" spans="1:49" x14ac:dyDescent="0.2">
      <c r="A119" s="34" t="s">
        <v>46</v>
      </c>
      <c r="B119" s="45"/>
      <c r="C119" s="46">
        <f t="shared" si="16"/>
        <v>49.1008</v>
      </c>
      <c r="D119" s="38" t="s">
        <v>20</v>
      </c>
      <c r="E119" s="45"/>
      <c r="F119" s="46">
        <f t="shared" si="17"/>
        <v>1</v>
      </c>
      <c r="G119" s="38" t="s">
        <v>16</v>
      </c>
      <c r="H119" s="39"/>
      <c r="I119" s="21">
        <f>IF(_Anlagenleistung=0,0,32/10000*_Investitionssumme)</f>
        <v>49.1008</v>
      </c>
      <c r="J119" s="64">
        <v>1</v>
      </c>
      <c r="K119" s="21">
        <v>1</v>
      </c>
      <c r="L119" s="21">
        <f t="shared" si="18"/>
        <v>30</v>
      </c>
      <c r="M119" s="260">
        <f t="shared" si="19"/>
        <v>1473.0239999999999</v>
      </c>
      <c r="N119" s="7" t="str">
        <f t="shared" si="15"/>
        <v/>
      </c>
      <c r="O119" s="7" t="str">
        <f t="shared" si="13"/>
        <v/>
      </c>
      <c r="P119" s="273" t="str">
        <f t="shared" si="14"/>
        <v/>
      </c>
      <c r="Q119" s="277"/>
      <c r="R119" s="277"/>
      <c r="S119" s="278"/>
      <c r="T119" s="277"/>
      <c r="U119" s="277"/>
      <c r="V119" s="278"/>
      <c r="W119" s="277"/>
      <c r="X119" s="277"/>
      <c r="Y119" s="278"/>
      <c r="Z119" s="277"/>
      <c r="AA119" s="277"/>
      <c r="AB119" s="278"/>
      <c r="AC119" s="277"/>
      <c r="AD119" s="277"/>
      <c r="AE119" s="278"/>
      <c r="AF119" s="277"/>
      <c r="AG119" s="277"/>
      <c r="AH119" s="278"/>
      <c r="AI119" s="277"/>
      <c r="AJ119" s="277"/>
      <c r="AK119" s="278"/>
      <c r="AL119" s="277"/>
      <c r="AM119" s="277"/>
      <c r="AN119" s="278"/>
      <c r="AQ119" s="34" t="str">
        <f t="shared" si="11"/>
        <v>Insurance</v>
      </c>
      <c r="AU119" s="6" t="s">
        <v>452</v>
      </c>
      <c r="AW119" s="6" t="str">
        <f t="shared" si="12"/>
        <v>Annual costs of 3.2 ‰ of the investment costs are calculated</v>
      </c>
    </row>
    <row r="120" spans="1:49" x14ac:dyDescent="0.2">
      <c r="A120" s="34" t="s">
        <v>47</v>
      </c>
      <c r="B120" s="45"/>
      <c r="C120" s="46">
        <f t="shared" si="16"/>
        <v>1215.3440000000001</v>
      </c>
      <c r="D120" s="38" t="s">
        <v>20</v>
      </c>
      <c r="E120" s="45"/>
      <c r="F120" s="46">
        <f t="shared" si="17"/>
        <v>8</v>
      </c>
      <c r="G120" s="38" t="s">
        <v>16</v>
      </c>
      <c r="H120" s="39"/>
      <c r="I120" s="21">
        <f>IF(_Anlagenleistung=0,0,1200+0.001*_Investitionssumme)</f>
        <v>1215.3440000000001</v>
      </c>
      <c r="J120" s="64">
        <f>IF(OR(_Anlagekategorie=_Fassade_angebaut,_Anlagekategorie=_Fassade_integriert),3,8)</f>
        <v>8</v>
      </c>
      <c r="K120" s="21">
        <v>1</v>
      </c>
      <c r="L120" s="21">
        <f t="shared" si="18"/>
        <v>30</v>
      </c>
      <c r="M120" s="260">
        <f t="shared" si="19"/>
        <v>3646.0320000000002</v>
      </c>
      <c r="N120" s="7">
        <f t="shared" si="15"/>
        <v>1400</v>
      </c>
      <c r="O120" s="7">
        <f t="shared" si="13"/>
        <v>2</v>
      </c>
      <c r="P120" s="273" t="str">
        <f t="shared" si="14"/>
        <v/>
      </c>
      <c r="Q120" s="277">
        <v>1000</v>
      </c>
      <c r="R120" s="277">
        <v>5</v>
      </c>
      <c r="S120" s="278"/>
      <c r="T120" s="277">
        <v>1000</v>
      </c>
      <c r="U120" s="277">
        <v>5</v>
      </c>
      <c r="V120" s="278"/>
      <c r="W120" s="277">
        <v>1400</v>
      </c>
      <c r="X120" s="277">
        <v>2</v>
      </c>
      <c r="Y120" s="278"/>
      <c r="Z120" s="277">
        <v>1400</v>
      </c>
      <c r="AA120" s="277">
        <v>2</v>
      </c>
      <c r="AB120" s="278"/>
      <c r="AC120" s="277">
        <v>1400</v>
      </c>
      <c r="AD120" s="277">
        <v>2</v>
      </c>
      <c r="AE120" s="278"/>
      <c r="AF120" s="277"/>
      <c r="AG120" s="277"/>
      <c r="AH120" s="278"/>
      <c r="AI120" s="277"/>
      <c r="AJ120" s="277"/>
      <c r="AK120" s="278"/>
      <c r="AL120" s="277"/>
      <c r="AM120" s="277"/>
      <c r="AN120" s="278"/>
      <c r="AQ120" s="34" t="str">
        <f t="shared" si="11"/>
        <v>Repairs</v>
      </c>
      <c r="AU120" s="6" t="s">
        <v>334</v>
      </c>
      <c r="AW120" s="6" t="str">
        <f t="shared" si="12"/>
        <v>Repairs are expected every 5 years. The costs are calculated at a flat rate of CHF 1,200 + 1 ‰ of the investment amount.</v>
      </c>
    </row>
    <row r="121" spans="1:49" x14ac:dyDescent="0.2">
      <c r="A121" s="34" t="s">
        <v>277</v>
      </c>
      <c r="B121" s="45"/>
      <c r="C121" s="46">
        <f t="shared" si="16"/>
        <v>1056.25</v>
      </c>
      <c r="D121" s="38" t="s">
        <v>20</v>
      </c>
      <c r="E121" s="45"/>
      <c r="F121" s="46">
        <f t="shared" si="17"/>
        <v>8</v>
      </c>
      <c r="G121" s="38" t="s">
        <v>16</v>
      </c>
      <c r="H121" s="39"/>
      <c r="I121" s="21">
        <f>IF(_Anlagenleistung=0,0,1000+3*_PV_Fläche)</f>
        <v>1056.25</v>
      </c>
      <c r="J121" s="64">
        <f>IF(OR(_Anlagekategorie=_Fassade_angebaut,_Anlagekategorie=_Fassade_integriert),3,8)</f>
        <v>8</v>
      </c>
      <c r="K121" s="21">
        <v>1</v>
      </c>
      <c r="L121" s="21">
        <f t="shared" si="18"/>
        <v>30</v>
      </c>
      <c r="M121" s="260">
        <f t="shared" si="19"/>
        <v>3168.75</v>
      </c>
      <c r="N121" s="7">
        <f t="shared" si="15"/>
        <v>2500</v>
      </c>
      <c r="O121" s="7">
        <f t="shared" si="13"/>
        <v>5</v>
      </c>
      <c r="P121" s="273" t="str">
        <f t="shared" si="14"/>
        <v/>
      </c>
      <c r="Q121" s="277">
        <v>0</v>
      </c>
      <c r="R121" s="277"/>
      <c r="S121" s="278"/>
      <c r="T121" s="277">
        <v>0</v>
      </c>
      <c r="U121" s="277"/>
      <c r="V121" s="278"/>
      <c r="W121" s="277">
        <v>2500</v>
      </c>
      <c r="X121" s="277">
        <v>5</v>
      </c>
      <c r="Y121" s="278"/>
      <c r="Z121" s="277">
        <v>2500</v>
      </c>
      <c r="AA121" s="277">
        <v>5</v>
      </c>
      <c r="AB121" s="278"/>
      <c r="AC121" s="277">
        <v>2500</v>
      </c>
      <c r="AD121" s="277">
        <v>5</v>
      </c>
      <c r="AE121" s="278"/>
      <c r="AF121" s="277"/>
      <c r="AG121" s="277"/>
      <c r="AH121" s="278"/>
      <c r="AI121" s="277"/>
      <c r="AJ121" s="277"/>
      <c r="AK121" s="278"/>
      <c r="AL121" s="277"/>
      <c r="AM121" s="277"/>
      <c r="AN121" s="278"/>
      <c r="AQ121" s="34" t="str">
        <f t="shared" si="11"/>
        <v>Cleaning plant</v>
      </c>
      <c r="AU121" s="6" t="s">
        <v>336</v>
      </c>
      <c r="AW121" s="6" t="str">
        <f t="shared" si="12"/>
        <v>Cleaning is expected every 10 years. The costs are calculated with a flat rate of 1,000 CHF + 3 CHF/m2 module area.</v>
      </c>
    </row>
    <row r="122" spans="1:49" x14ac:dyDescent="0.2">
      <c r="A122" s="34" t="s">
        <v>276</v>
      </c>
      <c r="B122" s="45"/>
      <c r="C122" s="46">
        <f t="shared" si="16"/>
        <v>0</v>
      </c>
      <c r="D122" s="38" t="s">
        <v>20</v>
      </c>
      <c r="E122" s="45"/>
      <c r="F122" s="46">
        <f t="shared" si="17"/>
        <v>1</v>
      </c>
      <c r="G122" s="38" t="s">
        <v>16</v>
      </c>
      <c r="H122" s="39"/>
      <c r="I122" s="21">
        <v>0</v>
      </c>
      <c r="J122" s="64">
        <v>1</v>
      </c>
      <c r="K122" s="21">
        <v>1</v>
      </c>
      <c r="L122" s="21">
        <f t="shared" si="18"/>
        <v>30</v>
      </c>
      <c r="M122" s="260">
        <f t="shared" si="19"/>
        <v>0</v>
      </c>
      <c r="N122" s="7">
        <f t="shared" si="15"/>
        <v>1300</v>
      </c>
      <c r="O122" s="7">
        <f t="shared" si="13"/>
        <v>1</v>
      </c>
      <c r="P122" s="273" t="str">
        <f t="shared" si="14"/>
        <v/>
      </c>
      <c r="Q122" s="277">
        <v>0</v>
      </c>
      <c r="R122" s="277"/>
      <c r="S122" s="278"/>
      <c r="T122" s="277">
        <v>0</v>
      </c>
      <c r="U122" s="277"/>
      <c r="V122" s="278"/>
      <c r="W122" s="277">
        <v>1300</v>
      </c>
      <c r="X122" s="277">
        <v>1</v>
      </c>
      <c r="Y122" s="278"/>
      <c r="Z122" s="277">
        <v>1300</v>
      </c>
      <c r="AA122" s="277">
        <v>1</v>
      </c>
      <c r="AB122" s="278"/>
      <c r="AC122" s="277">
        <v>1300</v>
      </c>
      <c r="AD122" s="277">
        <v>1</v>
      </c>
      <c r="AE122" s="278"/>
      <c r="AF122" s="277"/>
      <c r="AG122" s="277"/>
      <c r="AH122" s="278"/>
      <c r="AI122" s="277"/>
      <c r="AJ122" s="277"/>
      <c r="AK122" s="278"/>
      <c r="AL122" s="277"/>
      <c r="AM122" s="277"/>
      <c r="AN122" s="278"/>
      <c r="AQ122" s="34" t="str">
        <f t="shared" si="11"/>
        <v>Green Vegetation Care</v>
      </c>
      <c r="AU122" s="6" t="s">
        <v>436</v>
      </c>
      <c r="AW122" s="6" t="str">
        <f t="shared" si="12"/>
        <v>No annual green roof maintenance is expected. The costs for a green roof are often calculated at a flat rate of CHF 500 + CHF 3 per m2 module area.</v>
      </c>
    </row>
    <row r="123" spans="1:49" x14ac:dyDescent="0.2">
      <c r="A123" s="34" t="s">
        <v>48</v>
      </c>
      <c r="B123" s="45"/>
      <c r="C123" s="46">
        <f t="shared" si="16"/>
        <v>0</v>
      </c>
      <c r="D123" s="38" t="s">
        <v>20</v>
      </c>
      <c r="E123" s="45"/>
      <c r="F123" s="46">
        <f t="shared" si="17"/>
        <v>1</v>
      </c>
      <c r="G123" s="38" t="s">
        <v>16</v>
      </c>
      <c r="H123" s="39"/>
      <c r="I123" s="21">
        <v>0</v>
      </c>
      <c r="J123" s="64">
        <v>1</v>
      </c>
      <c r="K123" s="21">
        <v>1</v>
      </c>
      <c r="L123" s="21">
        <f t="shared" si="18"/>
        <v>30</v>
      </c>
      <c r="M123" s="260">
        <f t="shared" si="19"/>
        <v>0</v>
      </c>
      <c r="N123" s="7">
        <f t="shared" si="15"/>
        <v>0</v>
      </c>
      <c r="O123" s="7" t="str">
        <f t="shared" si="13"/>
        <v/>
      </c>
      <c r="P123" s="273" t="str">
        <f t="shared" ref="P123:P125" si="20">IF(_xlfn.XLOOKUP($O$3,$Q$3:$AN$3,Q123:AN123,"-",0,1)&lt;&gt;"",_xlfn.XLOOKUP($O$3,$Q$3:$AN$3,Q123:AN123,"-",0,1),"")</f>
        <v/>
      </c>
      <c r="Q123" s="277">
        <v>0</v>
      </c>
      <c r="R123" s="277"/>
      <c r="S123" s="278"/>
      <c r="T123" s="277">
        <v>0</v>
      </c>
      <c r="U123" s="277"/>
      <c r="V123" s="278"/>
      <c r="W123" s="277">
        <v>0</v>
      </c>
      <c r="X123" s="277"/>
      <c r="Y123" s="278"/>
      <c r="Z123" s="277">
        <v>0</v>
      </c>
      <c r="AA123" s="277"/>
      <c r="AB123" s="278"/>
      <c r="AC123" s="277">
        <v>0</v>
      </c>
      <c r="AD123" s="277"/>
      <c r="AE123" s="278"/>
      <c r="AF123" s="277"/>
      <c r="AG123" s="277"/>
      <c r="AH123" s="278"/>
      <c r="AI123" s="277"/>
      <c r="AJ123" s="277"/>
      <c r="AK123" s="278"/>
      <c r="AL123" s="277"/>
      <c r="AM123" s="277"/>
      <c r="AN123" s="278"/>
      <c r="AQ123" s="34" t="str">
        <f t="shared" si="11"/>
        <v>Transformer</v>
      </c>
      <c r="AU123" s="6" t="s">
        <v>454</v>
      </c>
      <c r="AW123" s="6" t="str">
        <f t="shared" si="12"/>
        <v>No default values are proposed for transformer costs</v>
      </c>
    </row>
    <row r="124" spans="1:49" x14ac:dyDescent="0.2">
      <c r="A124" s="34" t="s">
        <v>49</v>
      </c>
      <c r="B124" s="45"/>
      <c r="C124" s="46">
        <f t="shared" si="16"/>
        <v>0</v>
      </c>
      <c r="D124" s="38" t="s">
        <v>20</v>
      </c>
      <c r="E124" s="45"/>
      <c r="F124" s="46">
        <f t="shared" si="17"/>
        <v>1</v>
      </c>
      <c r="G124" s="38" t="s">
        <v>16</v>
      </c>
      <c r="H124" s="39"/>
      <c r="I124" s="21">
        <v>0</v>
      </c>
      <c r="J124" s="64">
        <v>1</v>
      </c>
      <c r="K124" s="21">
        <v>1</v>
      </c>
      <c r="L124" s="21">
        <f t="shared" si="18"/>
        <v>30</v>
      </c>
      <c r="M124" s="260">
        <f t="shared" si="19"/>
        <v>0</v>
      </c>
      <c r="N124" s="7">
        <f t="shared" si="15"/>
        <v>0</v>
      </c>
      <c r="O124" s="7" t="str">
        <f t="shared" si="13"/>
        <v/>
      </c>
      <c r="P124" s="273" t="str">
        <f t="shared" si="20"/>
        <v/>
      </c>
      <c r="Q124" s="277">
        <v>0</v>
      </c>
      <c r="R124" s="277"/>
      <c r="S124" s="278"/>
      <c r="T124" s="277">
        <v>0</v>
      </c>
      <c r="U124" s="277"/>
      <c r="V124" s="278"/>
      <c r="W124" s="277">
        <v>0</v>
      </c>
      <c r="X124" s="277"/>
      <c r="Y124" s="278"/>
      <c r="Z124" s="277">
        <v>0</v>
      </c>
      <c r="AA124" s="277"/>
      <c r="AB124" s="278"/>
      <c r="AC124" s="277">
        <v>0</v>
      </c>
      <c r="AD124" s="277"/>
      <c r="AE124" s="278"/>
      <c r="AF124" s="277"/>
      <c r="AG124" s="277"/>
      <c r="AH124" s="278"/>
      <c r="AI124" s="277"/>
      <c r="AJ124" s="277"/>
      <c r="AK124" s="278"/>
      <c r="AL124" s="277"/>
      <c r="AM124" s="277"/>
      <c r="AN124" s="278"/>
      <c r="AQ124" s="34" t="str">
        <f t="shared" si="11"/>
        <v>Roof / room rental</v>
      </c>
      <c r="AU124" s="6" t="s">
        <v>453</v>
      </c>
      <c r="AW124" s="6" t="str">
        <f t="shared" si="12"/>
        <v>No default values are suggested for rental costs</v>
      </c>
    </row>
    <row r="125" spans="1:49" x14ac:dyDescent="0.2">
      <c r="A125" s="37" t="s">
        <v>50</v>
      </c>
      <c r="B125" s="57"/>
      <c r="C125" s="55">
        <f t="shared" si="16"/>
        <v>1175</v>
      </c>
      <c r="D125" s="51" t="s">
        <v>20</v>
      </c>
      <c r="E125" s="57"/>
      <c r="F125" s="55">
        <f t="shared" si="17"/>
        <v>16</v>
      </c>
      <c r="G125" s="51" t="s">
        <v>16</v>
      </c>
      <c r="H125" s="53"/>
      <c r="I125" s="21">
        <f>IF(_Anlagenleistung=0,0,500+150*_Anlagenleistung)</f>
        <v>1175</v>
      </c>
      <c r="J125" s="64">
        <f>_Anlagenlebensdauer/INT(_Anlagenlebensdauer/15)+1</f>
        <v>16</v>
      </c>
      <c r="K125" s="21">
        <v>1</v>
      </c>
      <c r="L125" s="21">
        <f t="shared" si="18"/>
        <v>30</v>
      </c>
      <c r="M125" s="260">
        <f t="shared" si="19"/>
        <v>1175</v>
      </c>
      <c r="N125" s="7">
        <f t="shared" si="15"/>
        <v>5000</v>
      </c>
      <c r="O125" s="7" t="str">
        <f t="shared" si="13"/>
        <v/>
      </c>
      <c r="P125" s="273" t="str">
        <f t="shared" si="20"/>
        <v/>
      </c>
      <c r="Q125" s="277">
        <v>1500</v>
      </c>
      <c r="R125" s="277"/>
      <c r="S125" s="278"/>
      <c r="T125" s="277">
        <v>1500</v>
      </c>
      <c r="U125" s="277"/>
      <c r="V125" s="278"/>
      <c r="W125" s="277">
        <v>5000</v>
      </c>
      <c r="X125" s="277"/>
      <c r="Y125" s="278"/>
      <c r="Z125" s="277">
        <v>5000</v>
      </c>
      <c r="AA125" s="277"/>
      <c r="AB125" s="278"/>
      <c r="AC125" s="277">
        <v>5000</v>
      </c>
      <c r="AD125" s="277"/>
      <c r="AE125" s="278"/>
      <c r="AF125" s="277"/>
      <c r="AG125" s="277"/>
      <c r="AH125" s="278"/>
      <c r="AI125" s="277"/>
      <c r="AJ125" s="277"/>
      <c r="AK125" s="278"/>
      <c r="AL125" s="277"/>
      <c r="AM125" s="277"/>
      <c r="AN125" s="278"/>
      <c r="AQ125" s="37" t="str">
        <f t="shared" si="11"/>
        <v>Inverter replacement</v>
      </c>
      <c r="AU125" s="6" t="s">
        <v>421</v>
      </c>
      <c r="AW125" s="6" t="str">
        <f t="shared" si="12"/>
        <v>It is calculated with an inverter replacement in the middle of the service life. The costs are calculated with a flat rate of 500 CHF + 150 CHF/kWp.</v>
      </c>
    </row>
    <row r="126" spans="1:49" x14ac:dyDescent="0.2">
      <c r="A126" s="37" t="s">
        <v>217</v>
      </c>
      <c r="B126" s="55"/>
      <c r="C126" s="65">
        <f>IF(ISNUMBER(-1*_Summe_Betrieb_Unterhalt/_Gesamtenergieertrag),-1*_Summe_Betrieb_Unterhalt/_Gesamtenergieertrag,0)</f>
        <v>0.19589935145922702</v>
      </c>
      <c r="D126" s="51" t="s">
        <v>19</v>
      </c>
      <c r="E126" s="55"/>
      <c r="F126" s="55"/>
      <c r="G126" s="51"/>
      <c r="H126" s="241" t="s">
        <v>445</v>
      </c>
      <c r="I126" s="21"/>
      <c r="J126" s="64"/>
      <c r="M126" s="36"/>
      <c r="N126" s="7" t="str">
        <f t="shared" ref="N126" si="21">IF(_xlfn.XLOOKUP($O$3,$Q$1:$AN$1,Q126:AN126,"-",0,1)&lt;&gt;"",_xlfn.XLOOKUP($O$3,$Q$1:$AN$1,Q126:AN126,"-",0,1),"")</f>
        <v/>
      </c>
      <c r="O126" s="7" t="str">
        <f t="shared" ref="O126" si="22">IF(_xlfn.XLOOKUP($O$3,$Q$2:$AN$2,Q126:AN126,"-",0,1)&lt;&gt;"",_xlfn.XLOOKUP($O$3,$Q$2:$AN$2,Q126:AN126,"-",0,1),"")</f>
        <v/>
      </c>
      <c r="P126" s="273" t="str">
        <f t="shared" ref="P126" si="23">IF(_xlfn.XLOOKUP($O$3,$Q$3:$AN$3,Q126:AN126,"-",0,1)&lt;&gt;"",_xlfn.XLOOKUP($O$3,$Q$3:$AN$3,Q126:AN126,"-",0,1),"")</f>
        <v/>
      </c>
      <c r="Q126" s="277"/>
      <c r="R126" s="277"/>
      <c r="S126" s="278"/>
      <c r="T126" s="277"/>
      <c r="U126" s="277"/>
      <c r="V126" s="278"/>
      <c r="W126" s="277"/>
      <c r="X126" s="277"/>
      <c r="Y126" s="278"/>
      <c r="Z126" s="277"/>
      <c r="AA126" s="277"/>
      <c r="AB126" s="278"/>
      <c r="AC126" s="277"/>
      <c r="AD126" s="277"/>
      <c r="AE126" s="278"/>
      <c r="AF126" s="277"/>
      <c r="AG126" s="277"/>
      <c r="AH126" s="278"/>
      <c r="AI126" s="277"/>
      <c r="AJ126" s="277"/>
      <c r="AK126" s="278"/>
      <c r="AL126" s="277"/>
      <c r="AM126" s="277"/>
      <c r="AN126" s="278"/>
      <c r="AQ126" s="37" t="str">
        <f t="shared" si="11"/>
        <v>Average costs according to the maintenance table</v>
      </c>
      <c r="AU126" s="6"/>
      <c r="AW126" s="6" t="str">
        <f t="shared" si="12"/>
        <v/>
      </c>
    </row>
    <row r="127" spans="1:49" x14ac:dyDescent="0.2">
      <c r="A127" s="310"/>
      <c r="B127" s="310"/>
      <c r="C127" s="310"/>
      <c r="D127" s="310"/>
      <c r="E127" s="310"/>
      <c r="F127" s="310"/>
      <c r="G127" s="310"/>
      <c r="H127" s="310"/>
      <c r="M127" s="36"/>
      <c r="N127" s="243" t="str">
        <f t="shared" ref="N127" si="24">IF(_xlfn.XLOOKUP($O$3,$Q$1:$AN$1,Q127:AN127,"-",0,1)&lt;&gt;"",_xlfn.XLOOKUP($O$3,$Q$1:$AN$1,Q127:AN127,"-",0,1),"")</f>
        <v/>
      </c>
      <c r="O127" s="243" t="str">
        <f t="shared" ref="O127" si="25">IF(_xlfn.XLOOKUP($O$3,$Q$2:$AN$2,Q127:AN127,"-",0,1)&lt;&gt;"",_xlfn.XLOOKUP($O$3,$Q$2:$AN$2,Q127:AN127,"-",0,1),"")</f>
        <v/>
      </c>
      <c r="P127" s="261" t="str">
        <f t="shared" ref="P127" si="26">IF(_xlfn.XLOOKUP($O$3,$Q$3:$AN$3,Q127:AN127,"-",0,1)&lt;&gt;"",_xlfn.XLOOKUP($O$3,$Q$3:$AN$3,Q127:AN127,"-",0,1),"")</f>
        <v/>
      </c>
      <c r="Q127" s="208"/>
      <c r="R127" s="208"/>
      <c r="S127" s="276"/>
      <c r="T127" s="208"/>
      <c r="U127" s="208"/>
      <c r="V127" s="276"/>
      <c r="W127" s="208"/>
      <c r="X127" s="208"/>
      <c r="Y127" s="276"/>
      <c r="Z127" s="208"/>
      <c r="AA127" s="208"/>
      <c r="AB127" s="276"/>
      <c r="AC127" s="208"/>
      <c r="AD127" s="208"/>
      <c r="AE127" s="276"/>
      <c r="AF127" s="208"/>
      <c r="AG127" s="208"/>
      <c r="AH127" s="276"/>
      <c r="AI127" s="208"/>
      <c r="AJ127" s="208"/>
      <c r="AK127" s="276"/>
      <c r="AL127" s="208"/>
      <c r="AM127" s="208"/>
      <c r="AN127" s="276"/>
      <c r="AQ127" s="2" t="str">
        <f t="shared" si="11"/>
        <v/>
      </c>
      <c r="AW127" s="2" t="str">
        <f t="shared" si="12"/>
        <v/>
      </c>
    </row>
    <row r="128" spans="1:49" x14ac:dyDescent="0.2">
      <c r="A128" s="31" t="s">
        <v>405</v>
      </c>
      <c r="B128" s="266"/>
      <c r="C128" s="267"/>
      <c r="D128" s="32"/>
      <c r="E128" s="266"/>
      <c r="F128" s="266"/>
      <c r="G128" s="32"/>
      <c r="H128" s="33"/>
      <c r="I128" s="21"/>
      <c r="J128" s="64"/>
      <c r="M128" s="36"/>
      <c r="N128" s="7"/>
      <c r="O128" s="7"/>
      <c r="P128" s="273"/>
      <c r="Q128" s="277"/>
      <c r="R128" s="277"/>
      <c r="S128" s="278"/>
      <c r="T128" s="277"/>
      <c r="U128" s="277"/>
      <c r="V128" s="278"/>
      <c r="W128" s="277"/>
      <c r="X128" s="277"/>
      <c r="Y128" s="278"/>
      <c r="Z128" s="277"/>
      <c r="AA128" s="277"/>
      <c r="AB128" s="278"/>
      <c r="AC128" s="277"/>
      <c r="AD128" s="277"/>
      <c r="AE128" s="278"/>
      <c r="AF128" s="277"/>
      <c r="AG128" s="277"/>
      <c r="AH128" s="278"/>
      <c r="AI128" s="277"/>
      <c r="AJ128" s="277"/>
      <c r="AK128" s="278"/>
      <c r="AL128" s="277"/>
      <c r="AM128" s="277"/>
      <c r="AN128" s="278"/>
      <c r="AQ128" s="31" t="str">
        <f t="shared" si="11"/>
        <v>Operating and maintenance costs of battery storage</v>
      </c>
      <c r="AU128" s="6"/>
      <c r="AW128" s="6" t="str">
        <f t="shared" si="12"/>
        <v/>
      </c>
    </row>
    <row r="129" spans="1:49" x14ac:dyDescent="0.2">
      <c r="A129" s="34" t="s">
        <v>406</v>
      </c>
      <c r="B129" s="45"/>
      <c r="C129" s="46">
        <f t="shared" ref="C129" si="27">IF(B129="",IF(AND(_Debug_Modus=_JA,N129&lt;&gt;""),N129,I129),B129)</f>
        <v>0</v>
      </c>
      <c r="D129" s="38" t="s">
        <v>20</v>
      </c>
      <c r="E129" s="45"/>
      <c r="F129" s="46">
        <f>IF(IF(E129="",IF(AND(_Debug_Modus=_JA,O129&lt;&gt;""),O129,J129),INT(E129))&lt;L129,IF(IF(E129="",IF(AND(_Debug_Modus=_JA,O129&lt;&gt;""),O129,J129),INT(E129))&gt;K129,IF(E129="",IF(AND(_Debug_Modus=_JA,O129&lt;&gt;""),O129,J129),INT(E129)),K129),L129)</f>
        <v>1</v>
      </c>
      <c r="G129" s="38" t="s">
        <v>16</v>
      </c>
      <c r="H129" s="39"/>
      <c r="I129" s="21">
        <v>0</v>
      </c>
      <c r="J129" s="64">
        <v>1</v>
      </c>
      <c r="K129" s="21">
        <v>1</v>
      </c>
      <c r="L129" s="21">
        <f>_Lebensdauer_Speicher</f>
        <v>15</v>
      </c>
      <c r="M129" s="260"/>
      <c r="N129" s="7"/>
      <c r="O129" s="7"/>
      <c r="P129" s="273"/>
      <c r="Q129" s="277"/>
      <c r="R129" s="277"/>
      <c r="S129" s="278"/>
      <c r="T129" s="277"/>
      <c r="U129" s="277"/>
      <c r="V129" s="278"/>
      <c r="W129" s="277"/>
      <c r="X129" s="277"/>
      <c r="Y129" s="278"/>
      <c r="Z129" s="277"/>
      <c r="AA129" s="277"/>
      <c r="AB129" s="278"/>
      <c r="AC129" s="277"/>
      <c r="AD129" s="277"/>
      <c r="AE129" s="278"/>
      <c r="AF129" s="277"/>
      <c r="AG129" s="277"/>
      <c r="AH129" s="278"/>
      <c r="AI129" s="277"/>
      <c r="AJ129" s="277"/>
      <c r="AK129" s="278"/>
      <c r="AL129" s="277"/>
      <c r="AM129" s="277"/>
      <c r="AN129" s="278"/>
      <c r="AQ129" s="34" t="str">
        <f t="shared" si="11"/>
        <v>Battery storage maintenance costs</v>
      </c>
      <c r="AU129" s="6"/>
      <c r="AW129" s="6" t="str">
        <f t="shared" si="12"/>
        <v/>
      </c>
    </row>
    <row r="130" spans="1:49" x14ac:dyDescent="0.2">
      <c r="A130" s="37" t="s">
        <v>215</v>
      </c>
      <c r="B130" s="57"/>
      <c r="C130" s="55">
        <f>IF(_Batterie=_NEIN,0,IF(B130="",IF(AND(_Debug_Modus=_JA,N130&lt;&gt;""),N130,I130),B130))</f>
        <v>0</v>
      </c>
      <c r="D130" s="51" t="s">
        <v>20</v>
      </c>
      <c r="E130" s="57"/>
      <c r="F130" s="55">
        <f>IF(IF(E130="",IF(AND(_Debug_Modus=_JA,O130&lt;&gt;""),O130,J130),INT(E130))&lt;L130,IF(IF(E130="",IF(AND(_Debug_Modus=_JA,O130&lt;&gt;""),O130,J130),INT(E130))&gt;K130,IF(E130="",IF(AND(_Debug_Modus=_JA,O130&lt;&gt;""),O130,J130),INT(E130)),K130),L130)</f>
        <v>16</v>
      </c>
      <c r="G130" s="51" t="s">
        <v>426</v>
      </c>
      <c r="H130" s="53"/>
      <c r="I130" s="21">
        <f>IF(B26=_JA,_Investitionssumme_Batterie*0.7,0)</f>
        <v>0</v>
      </c>
      <c r="J130" s="64">
        <f>_Lebensdauer_Speicher+1</f>
        <v>16</v>
      </c>
      <c r="K130" s="21">
        <v>1</v>
      </c>
      <c r="L130" s="21">
        <f>_Lebensdauer_Speicher+1</f>
        <v>16</v>
      </c>
      <c r="M130" s="260">
        <f>ROUNDDOWN(_Lebensdauer_Speicher/J130,0)*I130</f>
        <v>0</v>
      </c>
      <c r="N130" s="7">
        <f>IF(_xlfn.XLOOKUP($O$3,$Q$1:$AN$1,Q130:AN130,"-",0,1)&lt;&gt;"",_xlfn.XLOOKUP($O$3,$Q$1:$AN$1,Q130:AN130,"-",0,1),"")</f>
        <v>20000</v>
      </c>
      <c r="O130" s="7" t="str">
        <f>IF(_xlfn.XLOOKUP($O$3,$Q$2:$AN$2,Q130:AN130,"-",0,1)&lt;&gt;"",_xlfn.XLOOKUP($O$3,$Q$2:$AN$2,Q130:AN130,"-",0,1),"")</f>
        <v/>
      </c>
      <c r="P130" s="273" t="str">
        <f>IF(_xlfn.XLOOKUP($O$3,$Q$3:$AN$3,Q130:AN130,"-",0,1)&lt;&gt;"",_xlfn.XLOOKUP($O$3,$Q$3:$AN$3,Q130:AN130,"-",0,1),"")</f>
        <v/>
      </c>
      <c r="Q130" s="277">
        <v>3000</v>
      </c>
      <c r="R130" s="277"/>
      <c r="S130" s="278"/>
      <c r="T130" s="277">
        <v>0</v>
      </c>
      <c r="U130" s="277"/>
      <c r="V130" s="278"/>
      <c r="W130" s="277">
        <v>20000</v>
      </c>
      <c r="X130" s="277"/>
      <c r="Y130" s="278"/>
      <c r="Z130" s="277">
        <v>20000</v>
      </c>
      <c r="AA130" s="277"/>
      <c r="AB130" s="278"/>
      <c r="AC130" s="277">
        <v>20000</v>
      </c>
      <c r="AD130" s="277"/>
      <c r="AE130" s="278"/>
      <c r="AF130" s="277"/>
      <c r="AG130" s="277"/>
      <c r="AH130" s="278"/>
      <c r="AI130" s="277"/>
      <c r="AJ130" s="277"/>
      <c r="AK130" s="278"/>
      <c r="AL130" s="277"/>
      <c r="AM130" s="277"/>
      <c r="AN130" s="278"/>
      <c r="AQ130" s="37" t="str">
        <f t="shared" ref="AQ130:AQ131" si="28">_xlfn.TRANSLATE(A130,"de","en")</f>
        <v>Replacement battery storage system</v>
      </c>
      <c r="AU130" s="6" t="s">
        <v>455</v>
      </c>
      <c r="AW130" s="6" t="str">
        <f t="shared" si="12"/>
        <v>It is expected that the battery storage system will be replaced after its service life. The cost is 70% of the investment costs of the first battery storage system.</v>
      </c>
    </row>
    <row r="131" spans="1:49" x14ac:dyDescent="0.2">
      <c r="A131" s="37" t="s">
        <v>217</v>
      </c>
      <c r="B131" s="55"/>
      <c r="C131" s="65">
        <f>IF(ISNUMBER(-1*_Durchschnittliche_Kost_Ersatz_Batterie/_Durchschnittlicher_Speichermenge),-1*_Durchschnittliche_Kost_Ersatz_Batterie/_Durchschnittlicher_Speichermenge,0)</f>
        <v>0</v>
      </c>
      <c r="D131" s="51" t="s">
        <v>19</v>
      </c>
      <c r="E131" s="55"/>
      <c r="F131" s="55"/>
      <c r="G131" s="51"/>
      <c r="H131" s="241" t="s">
        <v>445</v>
      </c>
      <c r="J131" s="253"/>
      <c r="M131" s="36"/>
      <c r="N131" s="7"/>
      <c r="O131" s="7"/>
      <c r="P131" s="273"/>
      <c r="Q131" s="277"/>
      <c r="R131" s="277"/>
      <c r="S131" s="278"/>
      <c r="T131" s="277"/>
      <c r="U131" s="277"/>
      <c r="V131" s="278"/>
      <c r="W131" s="277"/>
      <c r="X131" s="277"/>
      <c r="Y131" s="278"/>
      <c r="Z131" s="277"/>
      <c r="AA131" s="277"/>
      <c r="AB131" s="278"/>
      <c r="AC131" s="277"/>
      <c r="AD131" s="277"/>
      <c r="AE131" s="278"/>
      <c r="AF131" s="277"/>
      <c r="AG131" s="277"/>
      <c r="AH131" s="278"/>
      <c r="AI131" s="277"/>
      <c r="AJ131" s="277"/>
      <c r="AK131" s="278"/>
      <c r="AL131" s="277"/>
      <c r="AM131" s="277"/>
      <c r="AN131" s="278"/>
      <c r="AQ131" s="37" t="str">
        <f t="shared" si="28"/>
        <v>Average costs according to the maintenance table</v>
      </c>
      <c r="AU131" s="6"/>
      <c r="AW131" s="6" t="str">
        <f t="shared" si="12"/>
        <v/>
      </c>
    </row>
    <row r="136" spans="1:49" x14ac:dyDescent="0.2">
      <c r="Y136" s="5"/>
      <c r="AB136" s="5"/>
      <c r="AE136" s="5"/>
      <c r="AH136" s="5"/>
      <c r="AK136" s="5"/>
    </row>
    <row r="146" spans="25:37" x14ac:dyDescent="0.2">
      <c r="Y146" s="251"/>
      <c r="AB146" s="251"/>
      <c r="AE146" s="251"/>
      <c r="AH146" s="251"/>
      <c r="AK146" s="251"/>
    </row>
    <row r="261" spans="25:37" x14ac:dyDescent="0.2">
      <c r="Y261" s="5"/>
      <c r="AB261" s="5"/>
      <c r="AE261" s="5"/>
      <c r="AH261" s="5"/>
      <c r="AK261" s="5"/>
    </row>
    <row r="271" spans="25:37" x14ac:dyDescent="0.2">
      <c r="Y271" s="251"/>
      <c r="AB271" s="251"/>
      <c r="AE271" s="251"/>
      <c r="AH271" s="251"/>
      <c r="AK271" s="251"/>
    </row>
    <row r="386" spans="25:37" x14ac:dyDescent="0.2">
      <c r="Y386" s="5"/>
      <c r="AB386" s="5"/>
      <c r="AE386" s="5"/>
      <c r="AH386" s="5"/>
      <c r="AK386" s="5"/>
    </row>
    <row r="396" spans="25:37" x14ac:dyDescent="0.2">
      <c r="Y396" s="251"/>
      <c r="AB396" s="251"/>
      <c r="AE396" s="251"/>
      <c r="AH396" s="251"/>
      <c r="AK396" s="251"/>
    </row>
    <row r="511" spans="25:37" x14ac:dyDescent="0.2">
      <c r="Y511" s="5"/>
      <c r="AB511" s="5"/>
      <c r="AE511" s="5"/>
      <c r="AH511" s="5"/>
      <c r="AK511" s="5"/>
    </row>
    <row r="521" spans="25:37" x14ac:dyDescent="0.2">
      <c r="Y521" s="251"/>
      <c r="AB521" s="251"/>
      <c r="AE521" s="251"/>
      <c r="AH521" s="251"/>
      <c r="AK521" s="251"/>
    </row>
    <row r="636" spans="25:37" x14ac:dyDescent="0.2">
      <c r="Y636" s="5"/>
      <c r="AB636" s="5"/>
      <c r="AE636" s="5"/>
      <c r="AH636" s="5"/>
      <c r="AK636" s="5"/>
    </row>
    <row r="646" spans="25:37" x14ac:dyDescent="0.2">
      <c r="Y646" s="251"/>
      <c r="AB646" s="251"/>
      <c r="AE646" s="251"/>
      <c r="AH646" s="251"/>
      <c r="AK646" s="251"/>
    </row>
    <row r="761" spans="25:37" x14ac:dyDescent="0.2">
      <c r="Y761" s="5"/>
      <c r="AB761" s="5"/>
      <c r="AE761" s="5"/>
      <c r="AH761" s="5"/>
      <c r="AK761" s="5"/>
    </row>
    <row r="771" spans="25:37" x14ac:dyDescent="0.2">
      <c r="Y771" s="251"/>
      <c r="AB771" s="251"/>
      <c r="AE771" s="251"/>
      <c r="AH771" s="251"/>
      <c r="AK771" s="251"/>
    </row>
    <row r="886" spans="25:37" x14ac:dyDescent="0.2">
      <c r="Y886" s="5"/>
      <c r="AB886" s="5"/>
      <c r="AE886" s="5"/>
      <c r="AH886" s="5"/>
      <c r="AK886" s="5"/>
    </row>
    <row r="896" spans="25:37" x14ac:dyDescent="0.2">
      <c r="Y896" s="251"/>
      <c r="AB896" s="251"/>
      <c r="AE896" s="251"/>
      <c r="AH896" s="251"/>
      <c r="AK896" s="251"/>
    </row>
    <row r="1011" spans="25:37" x14ac:dyDescent="0.2">
      <c r="Y1011" s="5"/>
      <c r="AB1011" s="5"/>
      <c r="AE1011" s="5"/>
      <c r="AH1011" s="5"/>
      <c r="AK1011" s="5"/>
    </row>
    <row r="1021" spans="25:37" x14ac:dyDescent="0.2">
      <c r="Y1021" s="251"/>
      <c r="AB1021" s="251"/>
      <c r="AE1021" s="251"/>
      <c r="AH1021" s="251"/>
      <c r="AK1021" s="251"/>
    </row>
    <row r="1136" spans="25:37" x14ac:dyDescent="0.2">
      <c r="Y1136" s="5"/>
      <c r="AB1136" s="5"/>
      <c r="AE1136" s="5"/>
      <c r="AH1136" s="5"/>
      <c r="AK1136" s="5"/>
    </row>
    <row r="1146" spans="25:37" x14ac:dyDescent="0.2">
      <c r="Y1146" s="251"/>
      <c r="AB1146" s="251"/>
      <c r="AE1146" s="251"/>
      <c r="AH1146" s="251"/>
      <c r="AK1146" s="251"/>
    </row>
    <row r="1261" spans="25:37" x14ac:dyDescent="0.2">
      <c r="Y1261" s="5"/>
      <c r="AB1261" s="5"/>
      <c r="AE1261" s="5"/>
      <c r="AH1261" s="5"/>
      <c r="AK1261" s="5"/>
    </row>
    <row r="1271" spans="25:37" x14ac:dyDescent="0.2">
      <c r="Y1271" s="251"/>
      <c r="AB1271" s="251"/>
      <c r="AE1271" s="251"/>
      <c r="AH1271" s="251"/>
      <c r="AK1271" s="251"/>
    </row>
    <row r="1386" spans="25:37" x14ac:dyDescent="0.2">
      <c r="Y1386" s="5"/>
      <c r="AB1386" s="5"/>
      <c r="AE1386" s="5"/>
      <c r="AH1386" s="5"/>
      <c r="AK1386" s="5"/>
    </row>
    <row r="1396" spans="25:37" x14ac:dyDescent="0.2">
      <c r="Y1396" s="251"/>
      <c r="AB1396" s="251"/>
      <c r="AE1396" s="251"/>
      <c r="AH1396" s="251"/>
      <c r="AK1396" s="251"/>
    </row>
    <row r="1511" spans="25:37" x14ac:dyDescent="0.2">
      <c r="Y1511" s="5"/>
      <c r="AB1511" s="5"/>
      <c r="AE1511" s="5"/>
      <c r="AH1511" s="5"/>
      <c r="AK1511" s="5"/>
    </row>
    <row r="1521" spans="25:37" x14ac:dyDescent="0.2">
      <c r="Y1521" s="251"/>
      <c r="AB1521" s="251"/>
      <c r="AE1521" s="251"/>
      <c r="AH1521" s="251"/>
      <c r="AK1521" s="251"/>
    </row>
    <row r="1636" spans="25:37" x14ac:dyDescent="0.2">
      <c r="Y1636" s="5"/>
      <c r="AB1636" s="5"/>
      <c r="AE1636" s="5"/>
      <c r="AH1636" s="5"/>
      <c r="AK1636" s="5"/>
    </row>
    <row r="1646" spans="25:37" x14ac:dyDescent="0.2">
      <c r="Y1646" s="251"/>
      <c r="AB1646" s="251"/>
      <c r="AE1646" s="251"/>
      <c r="AH1646" s="251"/>
      <c r="AK1646" s="251"/>
    </row>
    <row r="1761" spans="25:37" x14ac:dyDescent="0.2">
      <c r="Y1761" s="5"/>
      <c r="AB1761" s="5"/>
      <c r="AE1761" s="5"/>
      <c r="AH1761" s="5"/>
      <c r="AK1761" s="5"/>
    </row>
    <row r="1771" spans="25:37" x14ac:dyDescent="0.2">
      <c r="Y1771" s="251"/>
      <c r="AB1771" s="251"/>
      <c r="AE1771" s="251"/>
      <c r="AH1771" s="251"/>
      <c r="AK1771" s="251"/>
    </row>
    <row r="1886" spans="25:37" x14ac:dyDescent="0.2">
      <c r="Y1886" s="5"/>
      <c r="AB1886" s="5"/>
      <c r="AE1886" s="5"/>
      <c r="AH1886" s="5"/>
      <c r="AK1886" s="5"/>
    </row>
    <row r="1896" spans="25:37" x14ac:dyDescent="0.2">
      <c r="Y1896" s="251"/>
      <c r="AB1896" s="251"/>
      <c r="AE1896" s="251"/>
      <c r="AH1896" s="251"/>
      <c r="AK1896" s="251"/>
    </row>
    <row r="2011" spans="25:37" x14ac:dyDescent="0.2">
      <c r="Y2011" s="5"/>
      <c r="AB2011" s="5"/>
      <c r="AE2011" s="5"/>
      <c r="AH2011" s="5"/>
      <c r="AK2011" s="5"/>
    </row>
    <row r="2021" spans="25:37" x14ac:dyDescent="0.2">
      <c r="Y2021" s="251"/>
      <c r="AB2021" s="251"/>
      <c r="AE2021" s="251"/>
      <c r="AH2021" s="251"/>
      <c r="AK2021" s="251"/>
    </row>
    <row r="2136" spans="25:37" x14ac:dyDescent="0.2">
      <c r="Y2136" s="5"/>
      <c r="AB2136" s="5"/>
      <c r="AE2136" s="5"/>
      <c r="AH2136" s="5"/>
      <c r="AK2136" s="5"/>
    </row>
    <row r="2146" spans="25:37" x14ac:dyDescent="0.2">
      <c r="Y2146" s="251"/>
      <c r="AB2146" s="251"/>
      <c r="AE2146" s="251"/>
      <c r="AH2146" s="251"/>
      <c r="AK2146" s="251"/>
    </row>
    <row r="2261" spans="25:37" x14ac:dyDescent="0.2">
      <c r="Y2261" s="5"/>
      <c r="AB2261" s="5"/>
      <c r="AE2261" s="5"/>
      <c r="AH2261" s="5"/>
      <c r="AK2261" s="5"/>
    </row>
    <row r="2271" spans="25:37" x14ac:dyDescent="0.2">
      <c r="Y2271" s="251"/>
      <c r="AB2271" s="251"/>
      <c r="AE2271" s="251"/>
      <c r="AH2271" s="251"/>
      <c r="AK2271" s="251"/>
    </row>
    <row r="2386" spans="25:37" x14ac:dyDescent="0.2">
      <c r="Y2386" s="5"/>
      <c r="AB2386" s="5"/>
      <c r="AE2386" s="5"/>
      <c r="AH2386" s="5"/>
      <c r="AK2386" s="5"/>
    </row>
    <row r="2396" spans="25:37" x14ac:dyDescent="0.2">
      <c r="Y2396" s="251"/>
      <c r="AB2396" s="251"/>
      <c r="AE2396" s="251"/>
      <c r="AH2396" s="251"/>
      <c r="AK2396" s="251"/>
    </row>
    <row r="2511" spans="25:37" x14ac:dyDescent="0.2">
      <c r="Y2511" s="5"/>
      <c r="AB2511" s="5"/>
      <c r="AE2511" s="5"/>
      <c r="AH2511" s="5"/>
      <c r="AK2511" s="5"/>
    </row>
    <row r="2521" spans="25:37" x14ac:dyDescent="0.2">
      <c r="Y2521" s="251"/>
      <c r="AB2521" s="251"/>
      <c r="AE2521" s="251"/>
      <c r="AH2521" s="251"/>
      <c r="AK2521" s="251"/>
    </row>
    <row r="2636" spans="25:37" x14ac:dyDescent="0.2">
      <c r="Y2636" s="5"/>
      <c r="AB2636" s="5"/>
      <c r="AE2636" s="5"/>
      <c r="AH2636" s="5"/>
      <c r="AK2636" s="5"/>
    </row>
    <row r="2646" spans="25:37" x14ac:dyDescent="0.2">
      <c r="Y2646" s="251"/>
      <c r="AB2646" s="251"/>
      <c r="AE2646" s="251"/>
      <c r="AH2646" s="251"/>
      <c r="AK2646" s="251"/>
    </row>
    <row r="2761" spans="25:37" x14ac:dyDescent="0.2">
      <c r="Y2761" s="5"/>
      <c r="AB2761" s="5"/>
      <c r="AE2761" s="5"/>
      <c r="AH2761" s="5"/>
      <c r="AK2761" s="5"/>
    </row>
    <row r="2771" spans="25:37" x14ac:dyDescent="0.2">
      <c r="Y2771" s="251"/>
      <c r="AB2771" s="251"/>
      <c r="AE2771" s="251"/>
      <c r="AH2771" s="251"/>
      <c r="AK2771" s="251"/>
    </row>
    <row r="2886" spans="25:37" x14ac:dyDescent="0.2">
      <c r="Y2886" s="5"/>
      <c r="AB2886" s="5"/>
      <c r="AE2886" s="5"/>
      <c r="AH2886" s="5"/>
      <c r="AK2886" s="5"/>
    </row>
    <row r="2896" spans="25:37" x14ac:dyDescent="0.2">
      <c r="Y2896" s="251"/>
      <c r="AB2896" s="251"/>
      <c r="AE2896" s="251"/>
      <c r="AH2896" s="251"/>
      <c r="AK2896" s="251"/>
    </row>
    <row r="3011" spans="25:37" x14ac:dyDescent="0.2">
      <c r="Y3011" s="5"/>
      <c r="AB3011" s="5"/>
      <c r="AE3011" s="5"/>
      <c r="AH3011" s="5"/>
      <c r="AK3011" s="5"/>
    </row>
    <row r="3021" spans="25:37" x14ac:dyDescent="0.2">
      <c r="Y3021" s="251"/>
      <c r="AB3021" s="251"/>
      <c r="AE3021" s="251"/>
      <c r="AH3021" s="251"/>
      <c r="AK3021" s="251"/>
    </row>
    <row r="3136" spans="25:37" x14ac:dyDescent="0.2">
      <c r="Y3136" s="5"/>
      <c r="AB3136" s="5"/>
      <c r="AE3136" s="5"/>
      <c r="AH3136" s="5"/>
      <c r="AK3136" s="5"/>
    </row>
    <row r="3146" spans="25:37" x14ac:dyDescent="0.2">
      <c r="Y3146" s="251"/>
      <c r="AB3146" s="251"/>
      <c r="AE3146" s="251"/>
      <c r="AH3146" s="251"/>
      <c r="AK3146" s="251"/>
    </row>
    <row r="3261" spans="25:37" x14ac:dyDescent="0.2">
      <c r="Y3261" s="5"/>
      <c r="AB3261" s="5"/>
      <c r="AE3261" s="5"/>
      <c r="AH3261" s="5"/>
      <c r="AK3261" s="5"/>
    </row>
    <row r="3271" spans="25:37" x14ac:dyDescent="0.2">
      <c r="Y3271" s="251"/>
      <c r="AB3271" s="251"/>
      <c r="AE3271" s="251"/>
      <c r="AH3271" s="251"/>
      <c r="AK3271" s="251"/>
    </row>
    <row r="3386" spans="25:37" x14ac:dyDescent="0.2">
      <c r="Y3386" s="5"/>
      <c r="AB3386" s="5"/>
      <c r="AE3386" s="5"/>
      <c r="AH3386" s="5"/>
      <c r="AK3386" s="5"/>
    </row>
    <row r="3396" spans="25:37" x14ac:dyDescent="0.2">
      <c r="Y3396" s="251"/>
      <c r="AB3396" s="251"/>
      <c r="AE3396" s="251"/>
      <c r="AH3396" s="251"/>
      <c r="AK3396" s="251"/>
    </row>
    <row r="3511" spans="25:37" x14ac:dyDescent="0.2">
      <c r="Y3511" s="5"/>
      <c r="AB3511" s="5"/>
      <c r="AE3511" s="5"/>
      <c r="AH3511" s="5"/>
      <c r="AK3511" s="5"/>
    </row>
    <row r="3521" spans="25:37" x14ac:dyDescent="0.2">
      <c r="Y3521" s="251"/>
      <c r="AB3521" s="251"/>
      <c r="AE3521" s="251"/>
      <c r="AH3521" s="251"/>
      <c r="AK3521" s="251"/>
    </row>
    <row r="3636" spans="25:37" x14ac:dyDescent="0.2">
      <c r="Y3636" s="5"/>
      <c r="AB3636" s="5"/>
      <c r="AE3636" s="5"/>
      <c r="AH3636" s="5"/>
      <c r="AK3636" s="5"/>
    </row>
    <row r="3646" spans="25:37" x14ac:dyDescent="0.2">
      <c r="Y3646" s="251"/>
      <c r="AB3646" s="251"/>
      <c r="AE3646" s="251"/>
      <c r="AH3646" s="251"/>
      <c r="AK3646" s="251"/>
    </row>
    <row r="3761" spans="25:37" x14ac:dyDescent="0.2">
      <c r="Y3761" s="5"/>
      <c r="AB3761" s="5"/>
      <c r="AE3761" s="5"/>
      <c r="AH3761" s="5"/>
      <c r="AK3761" s="5"/>
    </row>
    <row r="3771" spans="25:37" x14ac:dyDescent="0.2">
      <c r="Y3771" s="251"/>
      <c r="AB3771" s="251"/>
      <c r="AE3771" s="251"/>
      <c r="AH3771" s="251"/>
      <c r="AK3771" s="251"/>
    </row>
    <row r="3886" spans="25:37" x14ac:dyDescent="0.2">
      <c r="Y3886" s="5"/>
      <c r="AB3886" s="5"/>
      <c r="AE3886" s="5"/>
      <c r="AH3886" s="5"/>
      <c r="AK3886" s="5"/>
    </row>
    <row r="3896" spans="25:37" x14ac:dyDescent="0.2">
      <c r="Y3896" s="251"/>
      <c r="AB3896" s="251"/>
      <c r="AE3896" s="251"/>
      <c r="AH3896" s="251"/>
      <c r="AK3896" s="251"/>
    </row>
    <row r="4011" spans="25:37" x14ac:dyDescent="0.2">
      <c r="Y4011" s="5"/>
      <c r="AB4011" s="5"/>
      <c r="AE4011" s="5"/>
      <c r="AH4011" s="5"/>
      <c r="AK4011" s="5"/>
    </row>
    <row r="4021" spans="25:37" x14ac:dyDescent="0.2">
      <c r="Y4021" s="251"/>
      <c r="AB4021" s="251"/>
      <c r="AE4021" s="251"/>
      <c r="AH4021" s="251"/>
      <c r="AK4021" s="251"/>
    </row>
    <row r="4136" spans="25:37" x14ac:dyDescent="0.2">
      <c r="Y4136" s="5"/>
      <c r="AB4136" s="5"/>
      <c r="AE4136" s="5"/>
      <c r="AH4136" s="5"/>
      <c r="AK4136" s="5"/>
    </row>
    <row r="4146" spans="25:37" x14ac:dyDescent="0.2">
      <c r="Y4146" s="251"/>
      <c r="AB4146" s="251"/>
      <c r="AE4146" s="251"/>
      <c r="AH4146" s="251"/>
      <c r="AK4146" s="251"/>
    </row>
    <row r="4261" spans="25:37" x14ac:dyDescent="0.2">
      <c r="Y4261" s="5"/>
      <c r="AB4261" s="5"/>
      <c r="AE4261" s="5"/>
      <c r="AH4261" s="5"/>
      <c r="AK4261" s="5"/>
    </row>
    <row r="4271" spans="25:37" x14ac:dyDescent="0.2">
      <c r="Y4271" s="251"/>
      <c r="AB4271" s="251"/>
      <c r="AE4271" s="251"/>
      <c r="AH4271" s="251"/>
      <c r="AK4271" s="251"/>
    </row>
    <row r="4386" spans="25:37" x14ac:dyDescent="0.2">
      <c r="Y4386" s="5"/>
      <c r="AB4386" s="5"/>
      <c r="AE4386" s="5"/>
      <c r="AH4386" s="5"/>
      <c r="AK4386" s="5"/>
    </row>
    <row r="4396" spans="25:37" x14ac:dyDescent="0.2">
      <c r="Y4396" s="251"/>
      <c r="AB4396" s="251"/>
      <c r="AE4396" s="251"/>
      <c r="AH4396" s="251"/>
      <c r="AK4396" s="251"/>
    </row>
    <row r="4511" spans="25:37" x14ac:dyDescent="0.2">
      <c r="Y4511" s="5"/>
      <c r="AB4511" s="5"/>
      <c r="AE4511" s="5"/>
      <c r="AH4511" s="5"/>
      <c r="AK4511" s="5"/>
    </row>
    <row r="4521" spans="25:37" x14ac:dyDescent="0.2">
      <c r="Y4521" s="251"/>
      <c r="AB4521" s="251"/>
      <c r="AE4521" s="251"/>
      <c r="AH4521" s="251"/>
      <c r="AK4521" s="251"/>
    </row>
    <row r="4636" spans="25:37" x14ac:dyDescent="0.2">
      <c r="Y4636" s="5"/>
      <c r="AB4636" s="5"/>
      <c r="AE4636" s="5"/>
      <c r="AH4636" s="5"/>
      <c r="AK4636" s="5"/>
    </row>
    <row r="4646" spans="25:37" x14ac:dyDescent="0.2">
      <c r="Y4646" s="251"/>
      <c r="AB4646" s="251"/>
      <c r="AE4646" s="251"/>
      <c r="AH4646" s="251"/>
      <c r="AK4646" s="251"/>
    </row>
    <row r="4761" spans="25:37" x14ac:dyDescent="0.2">
      <c r="Y4761" s="5"/>
      <c r="AB4761" s="5"/>
      <c r="AE4761" s="5"/>
      <c r="AH4761" s="5"/>
      <c r="AK4761" s="5"/>
    </row>
    <row r="4771" spans="25:37" x14ac:dyDescent="0.2">
      <c r="Y4771" s="251"/>
      <c r="AB4771" s="251"/>
      <c r="AE4771" s="251"/>
      <c r="AH4771" s="251"/>
      <c r="AK4771" s="251"/>
    </row>
    <row r="4886" spans="25:37" x14ac:dyDescent="0.2">
      <c r="Y4886" s="5"/>
      <c r="AB4886" s="5"/>
      <c r="AE4886" s="5"/>
      <c r="AH4886" s="5"/>
      <c r="AK4886" s="5"/>
    </row>
    <row r="4896" spans="25:37" x14ac:dyDescent="0.2">
      <c r="Y4896" s="251"/>
      <c r="AB4896" s="251"/>
      <c r="AE4896" s="251"/>
      <c r="AH4896" s="251"/>
      <c r="AK4896" s="251"/>
    </row>
    <row r="5011" spans="25:37" x14ac:dyDescent="0.2">
      <c r="Y5011" s="5"/>
      <c r="AB5011" s="5"/>
      <c r="AE5011" s="5"/>
      <c r="AH5011" s="5"/>
      <c r="AK5011" s="5"/>
    </row>
    <row r="5021" spans="25:37" x14ac:dyDescent="0.2">
      <c r="Y5021" s="251"/>
      <c r="AB5021" s="251"/>
      <c r="AE5021" s="251"/>
      <c r="AH5021" s="251"/>
      <c r="AK5021" s="251"/>
    </row>
    <row r="5136" spans="25:37" x14ac:dyDescent="0.2">
      <c r="Y5136" s="5"/>
      <c r="AB5136" s="5"/>
      <c r="AE5136" s="5"/>
      <c r="AH5136" s="5"/>
      <c r="AK5136" s="5"/>
    </row>
    <row r="5146" spans="25:37" x14ac:dyDescent="0.2">
      <c r="Y5146" s="251"/>
      <c r="AB5146" s="251"/>
      <c r="AE5146" s="251"/>
      <c r="AH5146" s="251"/>
      <c r="AK5146" s="251"/>
    </row>
    <row r="5261" spans="25:37" x14ac:dyDescent="0.2">
      <c r="Y5261" s="5"/>
      <c r="AB5261" s="5"/>
      <c r="AE5261" s="5"/>
      <c r="AH5261" s="5"/>
      <c r="AK5261" s="5"/>
    </row>
    <row r="5271" spans="25:37" x14ac:dyDescent="0.2">
      <c r="Y5271" s="251"/>
      <c r="AB5271" s="251"/>
      <c r="AE5271" s="251"/>
      <c r="AH5271" s="251"/>
      <c r="AK5271" s="251"/>
    </row>
    <row r="5386" spans="25:37" x14ac:dyDescent="0.2">
      <c r="Y5386" s="5"/>
      <c r="AB5386" s="5"/>
      <c r="AE5386" s="5"/>
      <c r="AH5386" s="5"/>
      <c r="AK5386" s="5"/>
    </row>
    <row r="5396" spans="25:37" x14ac:dyDescent="0.2">
      <c r="Y5396" s="251"/>
      <c r="AB5396" s="251"/>
      <c r="AE5396" s="251"/>
      <c r="AH5396" s="251"/>
      <c r="AK5396" s="251"/>
    </row>
    <row r="5511" spans="25:37" x14ac:dyDescent="0.2">
      <c r="Y5511" s="5"/>
      <c r="AB5511" s="5"/>
      <c r="AE5511" s="5"/>
      <c r="AH5511" s="5"/>
      <c r="AK5511" s="5"/>
    </row>
    <row r="5521" spans="25:37" x14ac:dyDescent="0.2">
      <c r="Y5521" s="251"/>
      <c r="AB5521" s="251"/>
      <c r="AE5521" s="251"/>
      <c r="AH5521" s="251"/>
      <c r="AK5521" s="251"/>
    </row>
    <row r="5636" spans="25:37" x14ac:dyDescent="0.2">
      <c r="Y5636" s="5"/>
      <c r="AB5636" s="5"/>
      <c r="AE5636" s="5"/>
      <c r="AH5636" s="5"/>
      <c r="AK5636" s="5"/>
    </row>
    <row r="5646" spans="25:37" x14ac:dyDescent="0.2">
      <c r="Y5646" s="251"/>
      <c r="AB5646" s="251"/>
      <c r="AE5646" s="251"/>
      <c r="AH5646" s="251"/>
      <c r="AK5646" s="251"/>
    </row>
    <row r="5761" spans="25:37" x14ac:dyDescent="0.2">
      <c r="Y5761" s="5"/>
      <c r="AB5761" s="5"/>
      <c r="AE5761" s="5"/>
      <c r="AH5761" s="5"/>
      <c r="AK5761" s="5"/>
    </row>
    <row r="5771" spans="25:37" x14ac:dyDescent="0.2">
      <c r="Y5771" s="251"/>
      <c r="AB5771" s="251"/>
      <c r="AE5771" s="251"/>
      <c r="AH5771" s="251"/>
      <c r="AK5771" s="251"/>
    </row>
    <row r="5886" spans="25:37" x14ac:dyDescent="0.2">
      <c r="Y5886" s="5"/>
      <c r="AB5886" s="5"/>
      <c r="AE5886" s="5"/>
      <c r="AH5886" s="5"/>
      <c r="AK5886" s="5"/>
    </row>
    <row r="5896" spans="25:37" x14ac:dyDescent="0.2">
      <c r="Y5896" s="251"/>
      <c r="AB5896" s="251"/>
      <c r="AE5896" s="251"/>
      <c r="AH5896" s="251"/>
      <c r="AK5896" s="251"/>
    </row>
    <row r="6011" spans="25:37" x14ac:dyDescent="0.2">
      <c r="Y6011" s="5"/>
      <c r="AB6011" s="5"/>
      <c r="AE6011" s="5"/>
      <c r="AH6011" s="5"/>
      <c r="AK6011" s="5"/>
    </row>
    <row r="6021" spans="25:37" x14ac:dyDescent="0.2">
      <c r="Y6021" s="251"/>
      <c r="AB6021" s="251"/>
      <c r="AE6021" s="251"/>
      <c r="AH6021" s="251"/>
      <c r="AK6021" s="251"/>
    </row>
    <row r="6136" spans="25:37" x14ac:dyDescent="0.2">
      <c r="Y6136" s="5"/>
      <c r="AB6136" s="5"/>
      <c r="AE6136" s="5"/>
      <c r="AH6136" s="5"/>
      <c r="AK6136" s="5"/>
    </row>
    <row r="6146" spans="25:37" x14ac:dyDescent="0.2">
      <c r="Y6146" s="251"/>
      <c r="AB6146" s="251"/>
      <c r="AE6146" s="251"/>
      <c r="AH6146" s="251"/>
      <c r="AK6146" s="251"/>
    </row>
    <row r="6261" spans="25:37" x14ac:dyDescent="0.2">
      <c r="Y6261" s="5"/>
      <c r="AB6261" s="5"/>
      <c r="AE6261" s="5"/>
      <c r="AH6261" s="5"/>
      <c r="AK6261" s="5"/>
    </row>
    <row r="6271" spans="25:37" x14ac:dyDescent="0.2">
      <c r="Y6271" s="251"/>
      <c r="AB6271" s="251"/>
      <c r="AE6271" s="251"/>
      <c r="AH6271" s="251"/>
      <c r="AK6271" s="251"/>
    </row>
    <row r="6386" spans="25:37" x14ac:dyDescent="0.2">
      <c r="Y6386" s="5"/>
      <c r="AB6386" s="5"/>
      <c r="AE6386" s="5"/>
      <c r="AH6386" s="5"/>
      <c r="AK6386" s="5"/>
    </row>
    <row r="6396" spans="25:37" x14ac:dyDescent="0.2">
      <c r="Y6396" s="251"/>
      <c r="AB6396" s="251"/>
      <c r="AE6396" s="251"/>
      <c r="AH6396" s="251"/>
      <c r="AK6396" s="251"/>
    </row>
    <row r="6511" spans="25:37" x14ac:dyDescent="0.2">
      <c r="Y6511" s="5"/>
      <c r="AB6511" s="5"/>
      <c r="AE6511" s="5"/>
      <c r="AH6511" s="5"/>
      <c r="AK6511" s="5"/>
    </row>
    <row r="6521" spans="25:37" x14ac:dyDescent="0.2">
      <c r="Y6521" s="251"/>
      <c r="AB6521" s="251"/>
      <c r="AE6521" s="251"/>
      <c r="AH6521" s="251"/>
      <c r="AK6521" s="251"/>
    </row>
    <row r="6636" spans="25:37" x14ac:dyDescent="0.2">
      <c r="Y6636" s="5"/>
      <c r="AB6636" s="5"/>
      <c r="AE6636" s="5"/>
      <c r="AH6636" s="5"/>
      <c r="AK6636" s="5"/>
    </row>
    <row r="6646" spans="25:37" x14ac:dyDescent="0.2">
      <c r="Y6646" s="251"/>
      <c r="AB6646" s="251"/>
      <c r="AE6646" s="251"/>
      <c r="AH6646" s="251"/>
      <c r="AK6646" s="251"/>
    </row>
    <row r="6761" spans="25:37" x14ac:dyDescent="0.2">
      <c r="Y6761" s="5"/>
      <c r="AB6761" s="5"/>
      <c r="AE6761" s="5"/>
      <c r="AH6761" s="5"/>
      <c r="AK6761" s="5"/>
    </row>
    <row r="6771" spans="25:37" x14ac:dyDescent="0.2">
      <c r="Y6771" s="251"/>
      <c r="AB6771" s="251"/>
      <c r="AE6771" s="251"/>
      <c r="AH6771" s="251"/>
      <c r="AK6771" s="251"/>
    </row>
    <row r="6886" spans="25:37" x14ac:dyDescent="0.2">
      <c r="Y6886" s="5"/>
      <c r="AB6886" s="5"/>
      <c r="AE6886" s="5"/>
      <c r="AH6886" s="5"/>
      <c r="AK6886" s="5"/>
    </row>
    <row r="6896" spans="25:37" x14ac:dyDescent="0.2">
      <c r="Y6896" s="251"/>
      <c r="AB6896" s="251"/>
      <c r="AE6896" s="251"/>
      <c r="AH6896" s="251"/>
      <c r="AK6896" s="251"/>
    </row>
    <row r="7011" spans="25:37" x14ac:dyDescent="0.2">
      <c r="Y7011" s="5"/>
      <c r="AB7011" s="5"/>
      <c r="AE7011" s="5"/>
      <c r="AH7011" s="5"/>
      <c r="AK7011" s="5"/>
    </row>
    <row r="7021" spans="25:37" x14ac:dyDescent="0.2">
      <c r="Y7021" s="251"/>
      <c r="AB7021" s="251"/>
      <c r="AE7021" s="251"/>
      <c r="AH7021" s="251"/>
      <c r="AK7021" s="251"/>
    </row>
    <row r="7136" spans="25:37" x14ac:dyDescent="0.2">
      <c r="Y7136" s="5"/>
      <c r="AB7136" s="5"/>
      <c r="AE7136" s="5"/>
      <c r="AH7136" s="5"/>
      <c r="AK7136" s="5"/>
    </row>
    <row r="7146" spans="25:37" x14ac:dyDescent="0.2">
      <c r="Y7146" s="251"/>
      <c r="AB7146" s="251"/>
      <c r="AE7146" s="251"/>
      <c r="AH7146" s="251"/>
      <c r="AK7146" s="251"/>
    </row>
    <row r="7261" spans="25:37" x14ac:dyDescent="0.2">
      <c r="Y7261" s="5"/>
      <c r="AB7261" s="5"/>
      <c r="AE7261" s="5"/>
      <c r="AH7261" s="5"/>
      <c r="AK7261" s="5"/>
    </row>
    <row r="7271" spans="25:37" x14ac:dyDescent="0.2">
      <c r="Y7271" s="251"/>
      <c r="AB7271" s="251"/>
      <c r="AE7271" s="251"/>
      <c r="AH7271" s="251"/>
      <c r="AK7271" s="251"/>
    </row>
    <row r="7386" spans="25:37" x14ac:dyDescent="0.2">
      <c r="Y7386" s="5"/>
      <c r="AB7386" s="5"/>
      <c r="AE7386" s="5"/>
      <c r="AH7386" s="5"/>
      <c r="AK7386" s="5"/>
    </row>
    <row r="7396" spans="25:37" x14ac:dyDescent="0.2">
      <c r="Y7396" s="251"/>
      <c r="AB7396" s="251"/>
      <c r="AE7396" s="251"/>
      <c r="AH7396" s="251"/>
      <c r="AK7396" s="251"/>
    </row>
    <row r="7511" spans="25:37" x14ac:dyDescent="0.2">
      <c r="Y7511" s="5"/>
      <c r="AB7511" s="5"/>
      <c r="AE7511" s="5"/>
      <c r="AH7511" s="5"/>
      <c r="AK7511" s="5"/>
    </row>
    <row r="7521" spans="25:37" x14ac:dyDescent="0.2">
      <c r="Y7521" s="251"/>
      <c r="AB7521" s="251"/>
      <c r="AE7521" s="251"/>
      <c r="AH7521" s="251"/>
      <c r="AK7521" s="251"/>
    </row>
    <row r="7636" spans="25:37" x14ac:dyDescent="0.2">
      <c r="Y7636" s="5"/>
      <c r="AB7636" s="5"/>
      <c r="AE7636" s="5"/>
      <c r="AH7636" s="5"/>
      <c r="AK7636" s="5"/>
    </row>
    <row r="7646" spans="25:37" x14ac:dyDescent="0.2">
      <c r="Y7646" s="251"/>
      <c r="AB7646" s="251"/>
      <c r="AE7646" s="251"/>
      <c r="AH7646" s="251"/>
      <c r="AK7646" s="251"/>
    </row>
    <row r="7761" spans="25:37" x14ac:dyDescent="0.2">
      <c r="Y7761" s="5"/>
      <c r="AB7761" s="5"/>
      <c r="AE7761" s="5"/>
      <c r="AH7761" s="5"/>
      <c r="AK7761" s="5"/>
    </row>
    <row r="7771" spans="25:37" x14ac:dyDescent="0.2">
      <c r="Y7771" s="251"/>
      <c r="AB7771" s="251"/>
      <c r="AE7771" s="251"/>
      <c r="AH7771" s="251"/>
      <c r="AK7771" s="251"/>
    </row>
    <row r="7886" spans="25:37" x14ac:dyDescent="0.2">
      <c r="Y7886" s="5"/>
      <c r="AB7886" s="5"/>
      <c r="AE7886" s="5"/>
      <c r="AH7886" s="5"/>
      <c r="AK7886" s="5"/>
    </row>
    <row r="7896" spans="25:37" x14ac:dyDescent="0.2">
      <c r="Y7896" s="251"/>
      <c r="AB7896" s="251"/>
      <c r="AE7896" s="251"/>
      <c r="AH7896" s="251"/>
      <c r="AK7896" s="251"/>
    </row>
    <row r="8011" spans="25:37" x14ac:dyDescent="0.2">
      <c r="Y8011" s="5"/>
      <c r="AB8011" s="5"/>
      <c r="AE8011" s="5"/>
      <c r="AH8011" s="5"/>
      <c r="AK8011" s="5"/>
    </row>
    <row r="8021" spans="25:37" x14ac:dyDescent="0.2">
      <c r="Y8021" s="251"/>
      <c r="AB8021" s="251"/>
      <c r="AE8021" s="251"/>
      <c r="AH8021" s="251"/>
      <c r="AK8021" s="251"/>
    </row>
    <row r="8136" spans="25:37" x14ac:dyDescent="0.2">
      <c r="Y8136" s="5"/>
      <c r="AB8136" s="5"/>
      <c r="AE8136" s="5"/>
      <c r="AH8136" s="5"/>
      <c r="AK8136" s="5"/>
    </row>
    <row r="8146" spans="25:37" x14ac:dyDescent="0.2">
      <c r="Y8146" s="251"/>
      <c r="AB8146" s="251"/>
      <c r="AE8146" s="251"/>
      <c r="AH8146" s="251"/>
      <c r="AK8146" s="251"/>
    </row>
    <row r="8261" spans="25:37" x14ac:dyDescent="0.2">
      <c r="Y8261" s="5"/>
      <c r="AB8261" s="5"/>
      <c r="AE8261" s="5"/>
      <c r="AH8261" s="5"/>
      <c r="AK8261" s="5"/>
    </row>
    <row r="8271" spans="25:37" x14ac:dyDescent="0.2">
      <c r="Y8271" s="251"/>
      <c r="AB8271" s="251"/>
      <c r="AE8271" s="251"/>
      <c r="AH8271" s="251"/>
      <c r="AK8271" s="251"/>
    </row>
    <row r="8386" spans="25:37" x14ac:dyDescent="0.2">
      <c r="Y8386" s="5"/>
      <c r="AB8386" s="5"/>
      <c r="AE8386" s="5"/>
      <c r="AH8386" s="5"/>
      <c r="AK8386" s="5"/>
    </row>
    <row r="8396" spans="25:37" x14ac:dyDescent="0.2">
      <c r="Y8396" s="251"/>
      <c r="AB8396" s="251"/>
      <c r="AE8396" s="251"/>
      <c r="AH8396" s="251"/>
      <c r="AK8396" s="251"/>
    </row>
    <row r="8511" spans="25:37" x14ac:dyDescent="0.2">
      <c r="Y8511" s="5"/>
      <c r="AB8511" s="5"/>
      <c r="AE8511" s="5"/>
      <c r="AH8511" s="5"/>
      <c r="AK8511" s="5"/>
    </row>
    <row r="8521" spans="25:37" x14ac:dyDescent="0.2">
      <c r="Y8521" s="251"/>
      <c r="AB8521" s="251"/>
      <c r="AE8521" s="251"/>
      <c r="AH8521" s="251"/>
      <c r="AK8521" s="251"/>
    </row>
    <row r="8636" spans="25:37" x14ac:dyDescent="0.2">
      <c r="Y8636" s="5"/>
      <c r="AB8636" s="5"/>
      <c r="AE8636" s="5"/>
      <c r="AH8636" s="5"/>
      <c r="AK8636" s="5"/>
    </row>
    <row r="8646" spans="25:37" x14ac:dyDescent="0.2">
      <c r="Y8646" s="251"/>
      <c r="AB8646" s="251"/>
      <c r="AE8646" s="251"/>
      <c r="AH8646" s="251"/>
      <c r="AK8646" s="251"/>
    </row>
    <row r="8761" spans="25:37" x14ac:dyDescent="0.2">
      <c r="Y8761" s="5"/>
      <c r="AB8761" s="5"/>
      <c r="AE8761" s="5"/>
      <c r="AH8761" s="5"/>
      <c r="AK8761" s="5"/>
    </row>
    <row r="8771" spans="25:37" x14ac:dyDescent="0.2">
      <c r="Y8771" s="251"/>
      <c r="AB8771" s="251"/>
      <c r="AE8771" s="251"/>
      <c r="AH8771" s="251"/>
      <c r="AK8771" s="251"/>
    </row>
    <row r="8886" spans="25:37" x14ac:dyDescent="0.2">
      <c r="Y8886" s="5"/>
      <c r="AB8886" s="5"/>
      <c r="AE8886" s="5"/>
      <c r="AH8886" s="5"/>
      <c r="AK8886" s="5"/>
    </row>
    <row r="8896" spans="25:37" x14ac:dyDescent="0.2">
      <c r="Y8896" s="251"/>
      <c r="AB8896" s="251"/>
      <c r="AE8896" s="251"/>
      <c r="AH8896" s="251"/>
      <c r="AK8896" s="251"/>
    </row>
    <row r="9011" spans="25:37" x14ac:dyDescent="0.2">
      <c r="Y9011" s="5"/>
      <c r="AB9011" s="5"/>
      <c r="AE9011" s="5"/>
      <c r="AH9011" s="5"/>
      <c r="AK9011" s="5"/>
    </row>
    <row r="9021" spans="25:37" x14ac:dyDescent="0.2">
      <c r="Y9021" s="251"/>
      <c r="AB9021" s="251"/>
      <c r="AE9021" s="251"/>
      <c r="AH9021" s="251"/>
      <c r="AK9021" s="251"/>
    </row>
    <row r="9136" spans="25:37" x14ac:dyDescent="0.2">
      <c r="Y9136" s="5"/>
      <c r="AB9136" s="5"/>
      <c r="AE9136" s="5"/>
      <c r="AH9136" s="5"/>
      <c r="AK9136" s="5"/>
    </row>
    <row r="9146" spans="25:37" x14ac:dyDescent="0.2">
      <c r="Y9146" s="251"/>
      <c r="AB9146" s="251"/>
      <c r="AE9146" s="251"/>
      <c r="AH9146" s="251"/>
      <c r="AK9146" s="251"/>
    </row>
    <row r="9261" spans="25:37" x14ac:dyDescent="0.2">
      <c r="Y9261" s="5"/>
      <c r="AB9261" s="5"/>
      <c r="AE9261" s="5"/>
      <c r="AH9261" s="5"/>
      <c r="AK9261" s="5"/>
    </row>
    <row r="9271" spans="25:37" x14ac:dyDescent="0.2">
      <c r="Y9271" s="251"/>
      <c r="AB9271" s="251"/>
      <c r="AE9271" s="251"/>
      <c r="AH9271" s="251"/>
      <c r="AK9271" s="251"/>
    </row>
    <row r="9386" spans="25:37" x14ac:dyDescent="0.2">
      <c r="Y9386" s="5"/>
      <c r="AB9386" s="5"/>
      <c r="AE9386" s="5"/>
      <c r="AH9386" s="5"/>
      <c r="AK9386" s="5"/>
    </row>
    <row r="9396" spans="25:37" x14ac:dyDescent="0.2">
      <c r="Y9396" s="251"/>
      <c r="AB9396" s="251"/>
      <c r="AE9396" s="251"/>
      <c r="AH9396" s="251"/>
      <c r="AK9396" s="251"/>
    </row>
    <row r="9511" spans="25:37" x14ac:dyDescent="0.2">
      <c r="Y9511" s="5"/>
      <c r="AB9511" s="5"/>
      <c r="AE9511" s="5"/>
      <c r="AH9511" s="5"/>
      <c r="AK9511" s="5"/>
    </row>
    <row r="9521" spans="25:37" x14ac:dyDescent="0.2">
      <c r="Y9521" s="251"/>
      <c r="AB9521" s="251"/>
      <c r="AE9521" s="251"/>
      <c r="AH9521" s="251"/>
      <c r="AK9521" s="251"/>
    </row>
    <row r="9636" spans="25:37" x14ac:dyDescent="0.2">
      <c r="Y9636" s="5"/>
      <c r="AB9636" s="5"/>
      <c r="AE9636" s="5"/>
      <c r="AH9636" s="5"/>
      <c r="AK9636" s="5"/>
    </row>
    <row r="9646" spans="25:37" x14ac:dyDescent="0.2">
      <c r="Y9646" s="251"/>
      <c r="AB9646" s="251"/>
      <c r="AE9646" s="251"/>
      <c r="AH9646" s="251"/>
      <c r="AK9646" s="251"/>
    </row>
    <row r="9761" spans="25:37" x14ac:dyDescent="0.2">
      <c r="Y9761" s="5"/>
      <c r="AB9761" s="5"/>
      <c r="AE9761" s="5"/>
      <c r="AH9761" s="5"/>
      <c r="AK9761" s="5"/>
    </row>
    <row r="9771" spans="25:37" x14ac:dyDescent="0.2">
      <c r="Y9771" s="251"/>
      <c r="AB9771" s="251"/>
      <c r="AE9771" s="251"/>
      <c r="AH9771" s="251"/>
      <c r="AK9771" s="251"/>
    </row>
    <row r="9886" spans="25:37" x14ac:dyDescent="0.2">
      <c r="Y9886" s="5"/>
      <c r="AB9886" s="5"/>
      <c r="AE9886" s="5"/>
      <c r="AH9886" s="5"/>
      <c r="AK9886" s="5"/>
    </row>
    <row r="9896" spans="25:37" x14ac:dyDescent="0.2">
      <c r="Y9896" s="251"/>
      <c r="AB9896" s="251"/>
      <c r="AE9896" s="251"/>
      <c r="AH9896" s="251"/>
      <c r="AK9896" s="251"/>
    </row>
    <row r="10011" spans="25:37" x14ac:dyDescent="0.2">
      <c r="Y10011" s="5"/>
      <c r="AB10011" s="5"/>
      <c r="AE10011" s="5"/>
      <c r="AH10011" s="5"/>
      <c r="AK10011" s="5"/>
    </row>
    <row r="10021" spans="25:37" x14ac:dyDescent="0.2">
      <c r="Y10021" s="251"/>
      <c r="AB10021" s="251"/>
      <c r="AE10021" s="251"/>
      <c r="AH10021" s="251"/>
      <c r="AK10021" s="251"/>
    </row>
    <row r="10136" spans="25:37" x14ac:dyDescent="0.2">
      <c r="Y10136" s="5"/>
      <c r="AB10136" s="5"/>
      <c r="AE10136" s="5"/>
      <c r="AH10136" s="5"/>
      <c r="AK10136" s="5"/>
    </row>
    <row r="10146" spans="25:37" x14ac:dyDescent="0.2">
      <c r="Y10146" s="251"/>
      <c r="AB10146" s="251"/>
      <c r="AE10146" s="251"/>
      <c r="AH10146" s="251"/>
      <c r="AK10146" s="251"/>
    </row>
    <row r="10261" spans="25:37" x14ac:dyDescent="0.2">
      <c r="Y10261" s="5"/>
      <c r="AB10261" s="5"/>
      <c r="AE10261" s="5"/>
      <c r="AH10261" s="5"/>
      <c r="AK10261" s="5"/>
    </row>
    <row r="10271" spans="25:37" x14ac:dyDescent="0.2">
      <c r="Y10271" s="251"/>
      <c r="AB10271" s="251"/>
      <c r="AE10271" s="251"/>
      <c r="AH10271" s="251"/>
      <c r="AK10271" s="251"/>
    </row>
    <row r="10386" spans="25:37" x14ac:dyDescent="0.2">
      <c r="Y10386" s="5"/>
      <c r="AB10386" s="5"/>
      <c r="AE10386" s="5"/>
      <c r="AH10386" s="5"/>
      <c r="AK10386" s="5"/>
    </row>
    <row r="10396" spans="25:37" x14ac:dyDescent="0.2">
      <c r="Y10396" s="251"/>
      <c r="AB10396" s="251"/>
      <c r="AE10396" s="251"/>
      <c r="AH10396" s="251"/>
      <c r="AK10396" s="251"/>
    </row>
    <row r="10511" spans="25:37" x14ac:dyDescent="0.2">
      <c r="Y10511" s="5"/>
      <c r="AB10511" s="5"/>
      <c r="AE10511" s="5"/>
      <c r="AH10511" s="5"/>
      <c r="AK10511" s="5"/>
    </row>
    <row r="10521" spans="25:37" x14ac:dyDescent="0.2">
      <c r="Y10521" s="251"/>
      <c r="AB10521" s="251"/>
      <c r="AE10521" s="251"/>
      <c r="AH10521" s="251"/>
      <c r="AK10521" s="251"/>
    </row>
    <row r="10636" spans="25:37" x14ac:dyDescent="0.2">
      <c r="Y10636" s="5"/>
      <c r="AB10636" s="5"/>
      <c r="AE10636" s="5"/>
      <c r="AH10636" s="5"/>
      <c r="AK10636" s="5"/>
    </row>
    <row r="10646" spans="25:37" x14ac:dyDescent="0.2">
      <c r="Y10646" s="251"/>
      <c r="AB10646" s="251"/>
      <c r="AE10646" s="251"/>
      <c r="AH10646" s="251"/>
      <c r="AK10646" s="251"/>
    </row>
    <row r="10761" spans="25:37" x14ac:dyDescent="0.2">
      <c r="Y10761" s="5"/>
      <c r="AB10761" s="5"/>
      <c r="AE10761" s="5"/>
      <c r="AH10761" s="5"/>
      <c r="AK10761" s="5"/>
    </row>
    <row r="10771" spans="25:37" x14ac:dyDescent="0.2">
      <c r="Y10771" s="251"/>
      <c r="AB10771" s="251"/>
      <c r="AE10771" s="251"/>
      <c r="AH10771" s="251"/>
      <c r="AK10771" s="251"/>
    </row>
    <row r="10886" spans="25:37" x14ac:dyDescent="0.2">
      <c r="Y10886" s="5"/>
      <c r="AB10886" s="5"/>
      <c r="AE10886" s="5"/>
      <c r="AH10886" s="5"/>
      <c r="AK10886" s="5"/>
    </row>
    <row r="10896" spans="25:37" x14ac:dyDescent="0.2">
      <c r="Y10896" s="251"/>
      <c r="AB10896" s="251"/>
      <c r="AE10896" s="251"/>
      <c r="AH10896" s="251"/>
      <c r="AK10896" s="251"/>
    </row>
    <row r="11011" spans="25:37" x14ac:dyDescent="0.2">
      <c r="Y11011" s="5"/>
      <c r="AB11011" s="5"/>
      <c r="AE11011" s="5"/>
      <c r="AH11011" s="5"/>
      <c r="AK11011" s="5"/>
    </row>
    <row r="11021" spans="25:37" x14ac:dyDescent="0.2">
      <c r="Y11021" s="251"/>
      <c r="AB11021" s="251"/>
      <c r="AE11021" s="251"/>
      <c r="AH11021" s="251"/>
      <c r="AK11021" s="251"/>
    </row>
    <row r="11136" spans="25:37" x14ac:dyDescent="0.2">
      <c r="Y11136" s="5"/>
      <c r="AB11136" s="5"/>
      <c r="AE11136" s="5"/>
      <c r="AH11136" s="5"/>
      <c r="AK11136" s="5"/>
    </row>
    <row r="11146" spans="25:37" x14ac:dyDescent="0.2">
      <c r="Y11146" s="251"/>
      <c r="AB11146" s="251"/>
      <c r="AE11146" s="251"/>
      <c r="AH11146" s="251"/>
      <c r="AK11146" s="251"/>
    </row>
    <row r="11261" spans="25:37" x14ac:dyDescent="0.2">
      <c r="Y11261" s="5"/>
      <c r="AB11261" s="5"/>
      <c r="AE11261" s="5"/>
      <c r="AH11261" s="5"/>
      <c r="AK11261" s="5"/>
    </row>
    <row r="11271" spans="25:37" x14ac:dyDescent="0.2">
      <c r="Y11271" s="251"/>
      <c r="AB11271" s="251"/>
      <c r="AE11271" s="251"/>
      <c r="AH11271" s="251"/>
      <c r="AK11271" s="251"/>
    </row>
    <row r="11386" spans="25:37" x14ac:dyDescent="0.2">
      <c r="Y11386" s="5"/>
      <c r="AB11386" s="5"/>
      <c r="AE11386" s="5"/>
      <c r="AH11386" s="5"/>
      <c r="AK11386" s="5"/>
    </row>
    <row r="11396" spans="25:37" x14ac:dyDescent="0.2">
      <c r="Y11396" s="251"/>
      <c r="AB11396" s="251"/>
      <c r="AE11396" s="251"/>
      <c r="AH11396" s="251"/>
      <c r="AK11396" s="251"/>
    </row>
    <row r="11511" spans="25:37" x14ac:dyDescent="0.2">
      <c r="Y11511" s="5"/>
      <c r="AB11511" s="5"/>
      <c r="AE11511" s="5"/>
      <c r="AH11511" s="5"/>
      <c r="AK11511" s="5"/>
    </row>
    <row r="11521" spans="25:37" x14ac:dyDescent="0.2">
      <c r="Y11521" s="251"/>
      <c r="AB11521" s="251"/>
      <c r="AE11521" s="251"/>
      <c r="AH11521" s="251"/>
      <c r="AK11521" s="251"/>
    </row>
    <row r="11636" spans="25:37" x14ac:dyDescent="0.2">
      <c r="Y11636" s="5"/>
      <c r="AB11636" s="5"/>
      <c r="AE11636" s="5"/>
      <c r="AH11636" s="5"/>
      <c r="AK11636" s="5"/>
    </row>
    <row r="11646" spans="25:37" x14ac:dyDescent="0.2">
      <c r="Y11646" s="251"/>
      <c r="AB11646" s="251"/>
      <c r="AE11646" s="251"/>
      <c r="AH11646" s="251"/>
      <c r="AK11646" s="251"/>
    </row>
    <row r="11761" spans="25:37" x14ac:dyDescent="0.2">
      <c r="Y11761" s="5"/>
      <c r="AB11761" s="5"/>
      <c r="AE11761" s="5"/>
      <c r="AH11761" s="5"/>
      <c r="AK11761" s="5"/>
    </row>
    <row r="11771" spans="25:37" x14ac:dyDescent="0.2">
      <c r="Y11771" s="251"/>
      <c r="AB11771" s="251"/>
      <c r="AE11771" s="251"/>
      <c r="AH11771" s="251"/>
      <c r="AK11771" s="251"/>
    </row>
    <row r="11886" spans="25:37" x14ac:dyDescent="0.2">
      <c r="Y11886" s="5"/>
      <c r="AB11886" s="5"/>
      <c r="AE11886" s="5"/>
      <c r="AH11886" s="5"/>
      <c r="AK11886" s="5"/>
    </row>
    <row r="11896" spans="25:37" x14ac:dyDescent="0.2">
      <c r="Y11896" s="251"/>
      <c r="AB11896" s="251"/>
      <c r="AE11896" s="251"/>
      <c r="AH11896" s="251"/>
      <c r="AK11896" s="251"/>
    </row>
    <row r="12011" spans="25:37" x14ac:dyDescent="0.2">
      <c r="Y12011" s="5"/>
      <c r="AB12011" s="5"/>
      <c r="AE12011" s="5"/>
      <c r="AH12011" s="5"/>
      <c r="AK12011" s="5"/>
    </row>
    <row r="12021" spans="25:37" x14ac:dyDescent="0.2">
      <c r="Y12021" s="251"/>
      <c r="AB12021" s="251"/>
      <c r="AE12021" s="251"/>
      <c r="AH12021" s="251"/>
      <c r="AK12021" s="251"/>
    </row>
    <row r="12136" spans="25:37" x14ac:dyDescent="0.2">
      <c r="Y12136" s="5"/>
      <c r="AB12136" s="5"/>
      <c r="AE12136" s="5"/>
      <c r="AH12136" s="5"/>
      <c r="AK12136" s="5"/>
    </row>
    <row r="12146" spans="25:37" x14ac:dyDescent="0.2">
      <c r="Y12146" s="251"/>
      <c r="AB12146" s="251"/>
      <c r="AE12146" s="251"/>
      <c r="AH12146" s="251"/>
      <c r="AK12146" s="251"/>
    </row>
    <row r="12261" spans="25:37" x14ac:dyDescent="0.2">
      <c r="Y12261" s="5"/>
      <c r="AB12261" s="5"/>
      <c r="AE12261" s="5"/>
      <c r="AH12261" s="5"/>
      <c r="AK12261" s="5"/>
    </row>
    <row r="12271" spans="25:37" x14ac:dyDescent="0.2">
      <c r="Y12271" s="251"/>
      <c r="AB12271" s="251"/>
      <c r="AE12271" s="251"/>
      <c r="AH12271" s="251"/>
      <c r="AK12271" s="251"/>
    </row>
    <row r="12386" spans="25:37" x14ac:dyDescent="0.2">
      <c r="Y12386" s="5"/>
      <c r="AB12386" s="5"/>
      <c r="AE12386" s="5"/>
      <c r="AH12386" s="5"/>
      <c r="AK12386" s="5"/>
    </row>
    <row r="12396" spans="25:37" x14ac:dyDescent="0.2">
      <c r="Y12396" s="251"/>
      <c r="AB12396" s="251"/>
      <c r="AE12396" s="251"/>
      <c r="AH12396" s="251"/>
      <c r="AK12396" s="251"/>
    </row>
    <row r="12511" spans="25:37" x14ac:dyDescent="0.2">
      <c r="Y12511" s="5"/>
      <c r="AB12511" s="5"/>
      <c r="AE12511" s="5"/>
      <c r="AH12511" s="5"/>
      <c r="AK12511" s="5"/>
    </row>
    <row r="12521" spans="25:37" x14ac:dyDescent="0.2">
      <c r="Y12521" s="251"/>
      <c r="AB12521" s="251"/>
      <c r="AE12521" s="251"/>
      <c r="AH12521" s="251"/>
      <c r="AK12521" s="251"/>
    </row>
    <row r="12636" spans="25:37" x14ac:dyDescent="0.2">
      <c r="Y12636" s="5"/>
      <c r="AB12636" s="5"/>
      <c r="AE12636" s="5"/>
      <c r="AH12636" s="5"/>
      <c r="AK12636" s="5"/>
    </row>
    <row r="12646" spans="25:37" x14ac:dyDescent="0.2">
      <c r="Y12646" s="251"/>
      <c r="AB12646" s="251"/>
      <c r="AE12646" s="251"/>
      <c r="AH12646" s="251"/>
      <c r="AK12646" s="251"/>
    </row>
    <row r="12761" spans="25:37" x14ac:dyDescent="0.2">
      <c r="Y12761" s="5"/>
      <c r="AB12761" s="5"/>
      <c r="AE12761" s="5"/>
      <c r="AH12761" s="5"/>
      <c r="AK12761" s="5"/>
    </row>
    <row r="12771" spans="25:37" x14ac:dyDescent="0.2">
      <c r="Y12771" s="251"/>
      <c r="AB12771" s="251"/>
      <c r="AE12771" s="251"/>
      <c r="AH12771" s="251"/>
      <c r="AK12771" s="251"/>
    </row>
    <row r="12886" spans="25:37" x14ac:dyDescent="0.2">
      <c r="Y12886" s="5"/>
      <c r="AB12886" s="5"/>
      <c r="AE12886" s="5"/>
      <c r="AH12886" s="5"/>
      <c r="AK12886" s="5"/>
    </row>
    <row r="12896" spans="25:37" x14ac:dyDescent="0.2">
      <c r="Y12896" s="251"/>
      <c r="AB12896" s="251"/>
      <c r="AE12896" s="251"/>
      <c r="AH12896" s="251"/>
      <c r="AK12896" s="251"/>
    </row>
    <row r="13011" spans="25:37" x14ac:dyDescent="0.2">
      <c r="Y13011" s="5"/>
      <c r="AB13011" s="5"/>
      <c r="AE13011" s="5"/>
      <c r="AH13011" s="5"/>
      <c r="AK13011" s="5"/>
    </row>
    <row r="13021" spans="25:37" x14ac:dyDescent="0.2">
      <c r="Y13021" s="251"/>
      <c r="AB13021" s="251"/>
      <c r="AE13021" s="251"/>
      <c r="AH13021" s="251"/>
      <c r="AK13021" s="251"/>
    </row>
    <row r="13136" spans="25:37" x14ac:dyDescent="0.2">
      <c r="Y13136" s="5"/>
      <c r="AB13136" s="5"/>
      <c r="AE13136" s="5"/>
      <c r="AH13136" s="5"/>
      <c r="AK13136" s="5"/>
    </row>
    <row r="13146" spans="25:37" x14ac:dyDescent="0.2">
      <c r="Y13146" s="251"/>
      <c r="AB13146" s="251"/>
      <c r="AE13146" s="251"/>
      <c r="AH13146" s="251"/>
      <c r="AK13146" s="251"/>
    </row>
    <row r="13261" spans="25:37" x14ac:dyDescent="0.2">
      <c r="Y13261" s="5"/>
      <c r="AB13261" s="5"/>
      <c r="AE13261" s="5"/>
      <c r="AH13261" s="5"/>
      <c r="AK13261" s="5"/>
    </row>
    <row r="13271" spans="25:37" x14ac:dyDescent="0.2">
      <c r="Y13271" s="251"/>
      <c r="AB13271" s="251"/>
      <c r="AE13271" s="251"/>
      <c r="AH13271" s="251"/>
      <c r="AK13271" s="251"/>
    </row>
    <row r="13386" spans="25:37" x14ac:dyDescent="0.2">
      <c r="Y13386" s="5"/>
      <c r="AB13386" s="5"/>
      <c r="AE13386" s="5"/>
      <c r="AH13386" s="5"/>
      <c r="AK13386" s="5"/>
    </row>
    <row r="13396" spans="25:37" x14ac:dyDescent="0.2">
      <c r="Y13396" s="251"/>
      <c r="AB13396" s="251"/>
      <c r="AE13396" s="251"/>
      <c r="AH13396" s="251"/>
      <c r="AK13396" s="251"/>
    </row>
    <row r="13511" spans="25:37" x14ac:dyDescent="0.2">
      <c r="Y13511" s="5"/>
      <c r="AB13511" s="5"/>
      <c r="AE13511" s="5"/>
      <c r="AH13511" s="5"/>
      <c r="AK13511" s="5"/>
    </row>
    <row r="13521" spans="25:37" x14ac:dyDescent="0.2">
      <c r="Y13521" s="251"/>
      <c r="AB13521" s="251"/>
      <c r="AE13521" s="251"/>
      <c r="AH13521" s="251"/>
      <c r="AK13521" s="251"/>
    </row>
    <row r="13636" spans="25:37" x14ac:dyDescent="0.2">
      <c r="Y13636" s="5"/>
      <c r="AB13636" s="5"/>
      <c r="AE13636" s="5"/>
      <c r="AH13636" s="5"/>
      <c r="AK13636" s="5"/>
    </row>
    <row r="13646" spans="25:37" x14ac:dyDescent="0.2">
      <c r="Y13646" s="251"/>
      <c r="AB13646" s="251"/>
      <c r="AE13646" s="251"/>
      <c r="AH13646" s="251"/>
      <c r="AK13646" s="251"/>
    </row>
    <row r="13761" spans="25:37" x14ac:dyDescent="0.2">
      <c r="Y13761" s="5"/>
      <c r="AB13761" s="5"/>
      <c r="AE13761" s="5"/>
      <c r="AH13761" s="5"/>
      <c r="AK13761" s="5"/>
    </row>
    <row r="13771" spans="25:37" x14ac:dyDescent="0.2">
      <c r="Y13771" s="251"/>
      <c r="AB13771" s="251"/>
      <c r="AE13771" s="251"/>
      <c r="AH13771" s="251"/>
      <c r="AK13771" s="251"/>
    </row>
    <row r="13886" spans="25:37" x14ac:dyDescent="0.2">
      <c r="Y13886" s="5"/>
      <c r="AB13886" s="5"/>
      <c r="AE13886" s="5"/>
      <c r="AH13886" s="5"/>
      <c r="AK13886" s="5"/>
    </row>
    <row r="13896" spans="25:37" x14ac:dyDescent="0.2">
      <c r="Y13896" s="251"/>
      <c r="AB13896" s="251"/>
      <c r="AE13896" s="251"/>
      <c r="AH13896" s="251"/>
      <c r="AK13896" s="251"/>
    </row>
    <row r="14011" spans="25:37" x14ac:dyDescent="0.2">
      <c r="Y14011" s="5"/>
      <c r="AB14011" s="5"/>
      <c r="AE14011" s="5"/>
      <c r="AH14011" s="5"/>
      <c r="AK14011" s="5"/>
    </row>
    <row r="14021" spans="25:37" x14ac:dyDescent="0.2">
      <c r="Y14021" s="251"/>
      <c r="AB14021" s="251"/>
      <c r="AE14021" s="251"/>
      <c r="AH14021" s="251"/>
      <c r="AK14021" s="251"/>
    </row>
    <row r="14136" spans="25:37" x14ac:dyDescent="0.2">
      <c r="Y14136" s="5"/>
      <c r="AB14136" s="5"/>
      <c r="AE14136" s="5"/>
      <c r="AH14136" s="5"/>
      <c r="AK14136" s="5"/>
    </row>
    <row r="14146" spans="25:37" x14ac:dyDescent="0.2">
      <c r="Y14146" s="251"/>
      <c r="AB14146" s="251"/>
      <c r="AE14146" s="251"/>
      <c r="AH14146" s="251"/>
      <c r="AK14146" s="251"/>
    </row>
    <row r="14261" spans="25:37" x14ac:dyDescent="0.2">
      <c r="Y14261" s="5"/>
      <c r="AB14261" s="5"/>
      <c r="AE14261" s="5"/>
      <c r="AH14261" s="5"/>
      <c r="AK14261" s="5"/>
    </row>
    <row r="14271" spans="25:37" x14ac:dyDescent="0.2">
      <c r="Y14271" s="251"/>
      <c r="AB14271" s="251"/>
      <c r="AE14271" s="251"/>
      <c r="AH14271" s="251"/>
      <c r="AK14271" s="251"/>
    </row>
    <row r="14386" spans="25:37" x14ac:dyDescent="0.2">
      <c r="Y14386" s="5"/>
      <c r="AB14386" s="5"/>
      <c r="AE14386" s="5"/>
      <c r="AH14386" s="5"/>
      <c r="AK14386" s="5"/>
    </row>
    <row r="14396" spans="25:37" x14ac:dyDescent="0.2">
      <c r="Y14396" s="251"/>
      <c r="AB14396" s="251"/>
      <c r="AE14396" s="251"/>
      <c r="AH14396" s="251"/>
      <c r="AK14396" s="251"/>
    </row>
    <row r="14511" spans="25:37" x14ac:dyDescent="0.2">
      <c r="Y14511" s="5"/>
      <c r="AB14511" s="5"/>
      <c r="AE14511" s="5"/>
      <c r="AH14511" s="5"/>
      <c r="AK14511" s="5"/>
    </row>
    <row r="14521" spans="25:37" x14ac:dyDescent="0.2">
      <c r="Y14521" s="251"/>
      <c r="AB14521" s="251"/>
      <c r="AE14521" s="251"/>
      <c r="AH14521" s="251"/>
      <c r="AK14521" s="251"/>
    </row>
    <row r="14636" spans="25:37" x14ac:dyDescent="0.2">
      <c r="Y14636" s="5"/>
      <c r="AB14636" s="5"/>
      <c r="AE14636" s="5"/>
      <c r="AH14636" s="5"/>
      <c r="AK14636" s="5"/>
    </row>
    <row r="14646" spans="25:37" x14ac:dyDescent="0.2">
      <c r="Y14646" s="251"/>
      <c r="AB14646" s="251"/>
      <c r="AE14646" s="251"/>
      <c r="AH14646" s="251"/>
      <c r="AK14646" s="251"/>
    </row>
    <row r="14761" spans="25:37" x14ac:dyDescent="0.2">
      <c r="Y14761" s="5"/>
      <c r="AB14761" s="5"/>
      <c r="AE14761" s="5"/>
      <c r="AH14761" s="5"/>
      <c r="AK14761" s="5"/>
    </row>
    <row r="14771" spans="25:37" x14ac:dyDescent="0.2">
      <c r="Y14771" s="251"/>
      <c r="AB14771" s="251"/>
      <c r="AE14771" s="251"/>
      <c r="AH14771" s="251"/>
      <c r="AK14771" s="251"/>
    </row>
    <row r="14886" spans="25:37" x14ac:dyDescent="0.2">
      <c r="Y14886" s="5"/>
      <c r="AB14886" s="5"/>
      <c r="AE14886" s="5"/>
      <c r="AH14886" s="5"/>
      <c r="AK14886" s="5"/>
    </row>
    <row r="14896" spans="25:37" x14ac:dyDescent="0.2">
      <c r="Y14896" s="251"/>
      <c r="AB14896" s="251"/>
      <c r="AE14896" s="251"/>
      <c r="AH14896" s="251"/>
      <c r="AK14896" s="251"/>
    </row>
    <row r="15011" spans="25:37" x14ac:dyDescent="0.2">
      <c r="Y15011" s="5"/>
      <c r="AB15011" s="5"/>
      <c r="AE15011" s="5"/>
      <c r="AH15011" s="5"/>
      <c r="AK15011" s="5"/>
    </row>
    <row r="15021" spans="25:37" x14ac:dyDescent="0.2">
      <c r="Y15021" s="251"/>
      <c r="AB15021" s="251"/>
      <c r="AE15021" s="251"/>
      <c r="AH15021" s="251"/>
      <c r="AK15021" s="251"/>
    </row>
    <row r="15136" spans="25:37" x14ac:dyDescent="0.2">
      <c r="Y15136" s="5"/>
      <c r="AB15136" s="5"/>
      <c r="AE15136" s="5"/>
      <c r="AH15136" s="5"/>
      <c r="AK15136" s="5"/>
    </row>
    <row r="15146" spans="25:37" x14ac:dyDescent="0.2">
      <c r="Y15146" s="251"/>
      <c r="AB15146" s="251"/>
      <c r="AE15146" s="251"/>
      <c r="AH15146" s="251"/>
      <c r="AK15146" s="251"/>
    </row>
    <row r="15261" spans="25:37" x14ac:dyDescent="0.2">
      <c r="Y15261" s="5"/>
      <c r="AB15261" s="5"/>
      <c r="AE15261" s="5"/>
      <c r="AH15261" s="5"/>
      <c r="AK15261" s="5"/>
    </row>
    <row r="15271" spans="25:37" x14ac:dyDescent="0.2">
      <c r="Y15271" s="251"/>
      <c r="AB15271" s="251"/>
      <c r="AE15271" s="251"/>
      <c r="AH15271" s="251"/>
      <c r="AK15271" s="251"/>
    </row>
    <row r="15386" spans="25:37" x14ac:dyDescent="0.2">
      <c r="Y15386" s="5"/>
      <c r="AB15386" s="5"/>
      <c r="AE15386" s="5"/>
      <c r="AH15386" s="5"/>
      <c r="AK15386" s="5"/>
    </row>
    <row r="15396" spans="25:37" x14ac:dyDescent="0.2">
      <c r="Y15396" s="251"/>
      <c r="AB15396" s="251"/>
      <c r="AE15396" s="251"/>
      <c r="AH15396" s="251"/>
      <c r="AK15396" s="251"/>
    </row>
    <row r="15511" spans="25:37" x14ac:dyDescent="0.2">
      <c r="Y15511" s="5"/>
      <c r="AB15511" s="5"/>
      <c r="AE15511" s="5"/>
      <c r="AH15511" s="5"/>
      <c r="AK15511" s="5"/>
    </row>
    <row r="15521" spans="25:37" x14ac:dyDescent="0.2">
      <c r="Y15521" s="251"/>
      <c r="AB15521" s="251"/>
      <c r="AE15521" s="251"/>
      <c r="AH15521" s="251"/>
      <c r="AK15521" s="251"/>
    </row>
    <row r="15636" spans="25:37" x14ac:dyDescent="0.2">
      <c r="Y15636" s="5"/>
      <c r="AB15636" s="5"/>
      <c r="AE15636" s="5"/>
      <c r="AH15636" s="5"/>
      <c r="AK15636" s="5"/>
    </row>
    <row r="15646" spans="25:37" x14ac:dyDescent="0.2">
      <c r="Y15646" s="251"/>
      <c r="AB15646" s="251"/>
      <c r="AE15646" s="251"/>
      <c r="AH15646" s="251"/>
      <c r="AK15646" s="251"/>
    </row>
    <row r="15761" spans="25:37" x14ac:dyDescent="0.2">
      <c r="Y15761" s="5"/>
      <c r="AB15761" s="5"/>
      <c r="AE15761" s="5"/>
      <c r="AH15761" s="5"/>
      <c r="AK15761" s="5"/>
    </row>
    <row r="15771" spans="25:37" x14ac:dyDescent="0.2">
      <c r="Y15771" s="251"/>
      <c r="AB15771" s="251"/>
      <c r="AE15771" s="251"/>
      <c r="AH15771" s="251"/>
      <c r="AK15771" s="251"/>
    </row>
    <row r="15886" spans="25:37" x14ac:dyDescent="0.2">
      <c r="Y15886" s="5"/>
      <c r="AB15886" s="5"/>
      <c r="AE15886" s="5"/>
      <c r="AH15886" s="5"/>
      <c r="AK15886" s="5"/>
    </row>
    <row r="15896" spans="25:37" x14ac:dyDescent="0.2">
      <c r="Y15896" s="251"/>
      <c r="AB15896" s="251"/>
      <c r="AE15896" s="251"/>
      <c r="AH15896" s="251"/>
      <c r="AK15896" s="251"/>
    </row>
    <row r="16011" spans="25:37" x14ac:dyDescent="0.2">
      <c r="Y16011" s="5"/>
      <c r="AB16011" s="5"/>
      <c r="AE16011" s="5"/>
      <c r="AH16011" s="5"/>
      <c r="AK16011" s="5"/>
    </row>
    <row r="16021" spans="25:37" x14ac:dyDescent="0.2">
      <c r="Y16021" s="251"/>
      <c r="AB16021" s="251"/>
      <c r="AE16021" s="251"/>
      <c r="AH16021" s="251"/>
      <c r="AK16021" s="251"/>
    </row>
    <row r="16136" spans="25:37" x14ac:dyDescent="0.2">
      <c r="Y16136" s="5"/>
      <c r="AB16136" s="5"/>
      <c r="AE16136" s="5"/>
      <c r="AH16136" s="5"/>
      <c r="AK16136" s="5"/>
    </row>
    <row r="16146" spans="25:37" x14ac:dyDescent="0.2">
      <c r="Y16146" s="251"/>
      <c r="AB16146" s="251"/>
      <c r="AE16146" s="251"/>
      <c r="AH16146" s="251"/>
      <c r="AK16146" s="251"/>
    </row>
    <row r="16261" spans="25:37" x14ac:dyDescent="0.2">
      <c r="Y16261" s="5"/>
      <c r="AB16261" s="5"/>
      <c r="AE16261" s="5"/>
      <c r="AH16261" s="5"/>
      <c r="AK16261" s="5"/>
    </row>
    <row r="16271" spans="25:37" x14ac:dyDescent="0.2">
      <c r="Y16271" s="251"/>
      <c r="AB16271" s="251"/>
      <c r="AE16271" s="251"/>
      <c r="AH16271" s="251"/>
      <c r="AK16271" s="251"/>
    </row>
    <row r="16386" spans="25:37" x14ac:dyDescent="0.2">
      <c r="Y16386" s="5"/>
      <c r="AB16386" s="5"/>
      <c r="AE16386" s="5"/>
      <c r="AH16386" s="5"/>
      <c r="AK16386" s="5"/>
    </row>
    <row r="16396" spans="25:37" x14ac:dyDescent="0.2">
      <c r="Y16396" s="251"/>
      <c r="AB16396" s="251"/>
      <c r="AE16396" s="251"/>
      <c r="AH16396" s="251"/>
      <c r="AK16396" s="251"/>
    </row>
    <row r="16511" spans="25:37" x14ac:dyDescent="0.2">
      <c r="Y16511" s="5"/>
      <c r="AB16511" s="5"/>
      <c r="AE16511" s="5"/>
      <c r="AH16511" s="5"/>
      <c r="AK16511" s="5"/>
    </row>
    <row r="16521" spans="25:37" x14ac:dyDescent="0.2">
      <c r="Y16521" s="251"/>
      <c r="AB16521" s="251"/>
      <c r="AE16521" s="251"/>
      <c r="AH16521" s="251"/>
      <c r="AK16521" s="251"/>
    </row>
    <row r="16636" spans="25:37" x14ac:dyDescent="0.2">
      <c r="Y16636" s="5"/>
      <c r="AB16636" s="5"/>
      <c r="AE16636" s="5"/>
      <c r="AH16636" s="5"/>
      <c r="AK16636" s="5"/>
    </row>
    <row r="16646" spans="25:37" x14ac:dyDescent="0.2">
      <c r="Y16646" s="251"/>
      <c r="AB16646" s="251"/>
      <c r="AE16646" s="251"/>
      <c r="AH16646" s="251"/>
      <c r="AK16646" s="251"/>
    </row>
    <row r="16761" spans="25:37" x14ac:dyDescent="0.2">
      <c r="Y16761" s="5"/>
      <c r="AB16761" s="5"/>
      <c r="AE16761" s="5"/>
      <c r="AH16761" s="5"/>
      <c r="AK16761" s="5"/>
    </row>
    <row r="16771" spans="25:37" x14ac:dyDescent="0.2">
      <c r="Y16771" s="251"/>
      <c r="AB16771" s="251"/>
      <c r="AE16771" s="251"/>
      <c r="AH16771" s="251"/>
      <c r="AK16771" s="251"/>
    </row>
    <row r="16886" spans="25:37" x14ac:dyDescent="0.2">
      <c r="Y16886" s="5"/>
      <c r="AB16886" s="5"/>
      <c r="AE16886" s="5"/>
      <c r="AH16886" s="5"/>
      <c r="AK16886" s="5"/>
    </row>
    <row r="16896" spans="25:37" x14ac:dyDescent="0.2">
      <c r="Y16896" s="251"/>
      <c r="AB16896" s="251"/>
      <c r="AE16896" s="251"/>
      <c r="AH16896" s="251"/>
      <c r="AK16896" s="251"/>
    </row>
    <row r="17011" spans="25:37" x14ac:dyDescent="0.2">
      <c r="Y17011" s="5"/>
      <c r="AB17011" s="5"/>
      <c r="AE17011" s="5"/>
      <c r="AH17011" s="5"/>
      <c r="AK17011" s="5"/>
    </row>
    <row r="17021" spans="25:37" x14ac:dyDescent="0.2">
      <c r="Y17021" s="251"/>
      <c r="AB17021" s="251"/>
      <c r="AE17021" s="251"/>
      <c r="AH17021" s="251"/>
      <c r="AK17021" s="251"/>
    </row>
    <row r="17136" spans="25:37" x14ac:dyDescent="0.2">
      <c r="Y17136" s="5"/>
      <c r="AB17136" s="5"/>
      <c r="AE17136" s="5"/>
      <c r="AH17136" s="5"/>
      <c r="AK17136" s="5"/>
    </row>
    <row r="17146" spans="25:37" x14ac:dyDescent="0.2">
      <c r="Y17146" s="251"/>
      <c r="AB17146" s="251"/>
      <c r="AE17146" s="251"/>
      <c r="AH17146" s="251"/>
      <c r="AK17146" s="251"/>
    </row>
    <row r="17261" spans="25:37" x14ac:dyDescent="0.2">
      <c r="Y17261" s="5"/>
      <c r="AB17261" s="5"/>
      <c r="AE17261" s="5"/>
      <c r="AH17261" s="5"/>
      <c r="AK17261" s="5"/>
    </row>
    <row r="17271" spans="25:37" x14ac:dyDescent="0.2">
      <c r="Y17271" s="251"/>
      <c r="AB17271" s="251"/>
      <c r="AE17271" s="251"/>
      <c r="AH17271" s="251"/>
      <c r="AK17271" s="251"/>
    </row>
    <row r="17386" spans="25:37" x14ac:dyDescent="0.2">
      <c r="Y17386" s="5"/>
      <c r="AB17386" s="5"/>
      <c r="AE17386" s="5"/>
      <c r="AH17386" s="5"/>
      <c r="AK17386" s="5"/>
    </row>
    <row r="17396" spans="25:37" x14ac:dyDescent="0.2">
      <c r="Y17396" s="251"/>
      <c r="AB17396" s="251"/>
      <c r="AE17396" s="251"/>
      <c r="AH17396" s="251"/>
      <c r="AK17396" s="251"/>
    </row>
    <row r="17511" spans="25:37" x14ac:dyDescent="0.2">
      <c r="Y17511" s="5"/>
      <c r="AB17511" s="5"/>
      <c r="AE17511" s="5"/>
      <c r="AH17511" s="5"/>
      <c r="AK17511" s="5"/>
    </row>
    <row r="17521" spans="25:37" x14ac:dyDescent="0.2">
      <c r="Y17521" s="251"/>
      <c r="AB17521" s="251"/>
      <c r="AE17521" s="251"/>
      <c r="AH17521" s="251"/>
      <c r="AK17521" s="251"/>
    </row>
    <row r="17636" spans="25:37" x14ac:dyDescent="0.2">
      <c r="Y17636" s="5"/>
      <c r="AB17636" s="5"/>
      <c r="AE17636" s="5"/>
      <c r="AH17636" s="5"/>
      <c r="AK17636" s="5"/>
    </row>
    <row r="17646" spans="25:37" x14ac:dyDescent="0.2">
      <c r="Y17646" s="251"/>
      <c r="AB17646" s="251"/>
      <c r="AE17646" s="251"/>
      <c r="AH17646" s="251"/>
      <c r="AK17646" s="251"/>
    </row>
    <row r="17761" spans="25:37" x14ac:dyDescent="0.2">
      <c r="Y17761" s="5"/>
      <c r="AB17761" s="5"/>
      <c r="AE17761" s="5"/>
      <c r="AH17761" s="5"/>
      <c r="AK17761" s="5"/>
    </row>
    <row r="17771" spans="25:37" x14ac:dyDescent="0.2">
      <c r="Y17771" s="251"/>
      <c r="AB17771" s="251"/>
      <c r="AE17771" s="251"/>
      <c r="AH17771" s="251"/>
      <c r="AK17771" s="251"/>
    </row>
    <row r="17886" spans="25:37" x14ac:dyDescent="0.2">
      <c r="Y17886" s="5"/>
      <c r="AB17886" s="5"/>
      <c r="AE17886" s="5"/>
      <c r="AH17886" s="5"/>
      <c r="AK17886" s="5"/>
    </row>
    <row r="17896" spans="25:37" x14ac:dyDescent="0.2">
      <c r="Y17896" s="251"/>
      <c r="AB17896" s="251"/>
      <c r="AE17896" s="251"/>
      <c r="AH17896" s="251"/>
      <c r="AK17896" s="251"/>
    </row>
    <row r="18011" spans="25:37" x14ac:dyDescent="0.2">
      <c r="Y18011" s="5"/>
      <c r="AB18011" s="5"/>
      <c r="AE18011" s="5"/>
      <c r="AH18011" s="5"/>
      <c r="AK18011" s="5"/>
    </row>
    <row r="18021" spans="25:37" x14ac:dyDescent="0.2">
      <c r="Y18021" s="251"/>
      <c r="AB18021" s="251"/>
      <c r="AE18021" s="251"/>
      <c r="AH18021" s="251"/>
      <c r="AK18021" s="251"/>
    </row>
    <row r="18136" spans="25:37" x14ac:dyDescent="0.2">
      <c r="Y18136" s="5"/>
      <c r="AB18136" s="5"/>
      <c r="AE18136" s="5"/>
      <c r="AH18136" s="5"/>
      <c r="AK18136" s="5"/>
    </row>
    <row r="18146" spans="25:37" x14ac:dyDescent="0.2">
      <c r="Y18146" s="251"/>
      <c r="AB18146" s="251"/>
      <c r="AE18146" s="251"/>
      <c r="AH18146" s="251"/>
      <c r="AK18146" s="251"/>
    </row>
    <row r="18261" spans="25:37" x14ac:dyDescent="0.2">
      <c r="Y18261" s="5"/>
      <c r="AB18261" s="5"/>
      <c r="AE18261" s="5"/>
      <c r="AH18261" s="5"/>
      <c r="AK18261" s="5"/>
    </row>
    <row r="18271" spans="25:37" x14ac:dyDescent="0.2">
      <c r="Y18271" s="251"/>
      <c r="AB18271" s="251"/>
      <c r="AE18271" s="251"/>
      <c r="AH18271" s="251"/>
      <c r="AK18271" s="251"/>
    </row>
    <row r="18386" spans="25:37" x14ac:dyDescent="0.2">
      <c r="Y18386" s="5"/>
      <c r="AB18386" s="5"/>
      <c r="AE18386" s="5"/>
      <c r="AH18386" s="5"/>
      <c r="AK18386" s="5"/>
    </row>
    <row r="18396" spans="25:37" x14ac:dyDescent="0.2">
      <c r="Y18396" s="251"/>
      <c r="AB18396" s="251"/>
      <c r="AE18396" s="251"/>
      <c r="AH18396" s="251"/>
      <c r="AK18396" s="251"/>
    </row>
    <row r="18511" spans="25:37" x14ac:dyDescent="0.2">
      <c r="Y18511" s="5"/>
      <c r="AB18511" s="5"/>
      <c r="AE18511" s="5"/>
      <c r="AH18511" s="5"/>
      <c r="AK18511" s="5"/>
    </row>
    <row r="18521" spans="25:37" x14ac:dyDescent="0.2">
      <c r="Y18521" s="251"/>
      <c r="AB18521" s="251"/>
      <c r="AE18521" s="251"/>
      <c r="AH18521" s="251"/>
      <c r="AK18521" s="251"/>
    </row>
    <row r="18636" spans="25:37" x14ac:dyDescent="0.2">
      <c r="Y18636" s="5"/>
      <c r="AB18636" s="5"/>
      <c r="AE18636" s="5"/>
      <c r="AH18636" s="5"/>
      <c r="AK18636" s="5"/>
    </row>
    <row r="18646" spans="25:37" x14ac:dyDescent="0.2">
      <c r="Y18646" s="251"/>
      <c r="AB18646" s="251"/>
      <c r="AE18646" s="251"/>
      <c r="AH18646" s="251"/>
      <c r="AK18646" s="251"/>
    </row>
    <row r="18761" spans="25:37" x14ac:dyDescent="0.2">
      <c r="Y18761" s="5"/>
      <c r="AB18761" s="5"/>
      <c r="AE18761" s="5"/>
      <c r="AH18761" s="5"/>
      <c r="AK18761" s="5"/>
    </row>
    <row r="18771" spans="25:37" x14ac:dyDescent="0.2">
      <c r="Y18771" s="251"/>
      <c r="AB18771" s="251"/>
      <c r="AE18771" s="251"/>
      <c r="AH18771" s="251"/>
      <c r="AK18771" s="251"/>
    </row>
    <row r="18886" spans="25:37" x14ac:dyDescent="0.2">
      <c r="Y18886" s="5"/>
      <c r="AB18886" s="5"/>
      <c r="AE18886" s="5"/>
      <c r="AH18886" s="5"/>
      <c r="AK18886" s="5"/>
    </row>
    <row r="18896" spans="25:37" x14ac:dyDescent="0.2">
      <c r="Y18896" s="251"/>
      <c r="AB18896" s="251"/>
      <c r="AE18896" s="251"/>
      <c r="AH18896" s="251"/>
      <c r="AK18896" s="251"/>
    </row>
    <row r="19011" spans="25:37" x14ac:dyDescent="0.2">
      <c r="Y19011" s="5"/>
      <c r="AB19011" s="5"/>
      <c r="AE19011" s="5"/>
      <c r="AH19011" s="5"/>
      <c r="AK19011" s="5"/>
    </row>
    <row r="19021" spans="25:37" x14ac:dyDescent="0.2">
      <c r="Y19021" s="251"/>
      <c r="AB19021" s="251"/>
      <c r="AE19021" s="251"/>
      <c r="AH19021" s="251"/>
      <c r="AK19021" s="251"/>
    </row>
    <row r="19136" spans="25:37" x14ac:dyDescent="0.2">
      <c r="Y19136" s="5"/>
      <c r="AB19136" s="5"/>
      <c r="AE19136" s="5"/>
      <c r="AH19136" s="5"/>
      <c r="AK19136" s="5"/>
    </row>
    <row r="19146" spans="25:37" x14ac:dyDescent="0.2">
      <c r="Y19146" s="251"/>
      <c r="AB19146" s="251"/>
      <c r="AE19146" s="251"/>
      <c r="AH19146" s="251"/>
      <c r="AK19146" s="251"/>
    </row>
    <row r="19261" spans="25:37" x14ac:dyDescent="0.2">
      <c r="Y19261" s="5"/>
      <c r="AB19261" s="5"/>
      <c r="AE19261" s="5"/>
      <c r="AH19261" s="5"/>
      <c r="AK19261" s="5"/>
    </row>
    <row r="19271" spans="25:37" x14ac:dyDescent="0.2">
      <c r="Y19271" s="251"/>
      <c r="AB19271" s="251"/>
      <c r="AE19271" s="251"/>
      <c r="AH19271" s="251"/>
      <c r="AK19271" s="251"/>
    </row>
    <row r="19386" spans="25:37" x14ac:dyDescent="0.2">
      <c r="Y19386" s="5"/>
      <c r="AB19386" s="5"/>
      <c r="AE19386" s="5"/>
      <c r="AH19386" s="5"/>
      <c r="AK19386" s="5"/>
    </row>
    <row r="19396" spans="25:37" x14ac:dyDescent="0.2">
      <c r="Y19396" s="251"/>
      <c r="AB19396" s="251"/>
      <c r="AE19396" s="251"/>
      <c r="AH19396" s="251"/>
      <c r="AK19396" s="251"/>
    </row>
    <row r="19511" spans="25:37" x14ac:dyDescent="0.2">
      <c r="Y19511" s="5"/>
      <c r="AB19511" s="5"/>
      <c r="AE19511" s="5"/>
      <c r="AH19511" s="5"/>
      <c r="AK19511" s="5"/>
    </row>
    <row r="19521" spans="25:37" x14ac:dyDescent="0.2">
      <c r="Y19521" s="251"/>
      <c r="AB19521" s="251"/>
      <c r="AE19521" s="251"/>
      <c r="AH19521" s="251"/>
      <c r="AK19521" s="251"/>
    </row>
    <row r="19636" spans="25:37" x14ac:dyDescent="0.2">
      <c r="Y19636" s="5"/>
      <c r="AB19636" s="5"/>
      <c r="AE19636" s="5"/>
      <c r="AH19636" s="5"/>
      <c r="AK19636" s="5"/>
    </row>
    <row r="19646" spans="25:37" x14ac:dyDescent="0.2">
      <c r="Y19646" s="251"/>
      <c r="AB19646" s="251"/>
      <c r="AE19646" s="251"/>
      <c r="AH19646" s="251"/>
      <c r="AK19646" s="251"/>
    </row>
    <row r="19761" spans="25:37" x14ac:dyDescent="0.2">
      <c r="Y19761" s="5"/>
      <c r="AB19761" s="5"/>
      <c r="AE19761" s="5"/>
      <c r="AH19761" s="5"/>
      <c r="AK19761" s="5"/>
    </row>
    <row r="19771" spans="25:37" x14ac:dyDescent="0.2">
      <c r="Y19771" s="251"/>
      <c r="AB19771" s="251"/>
      <c r="AE19771" s="251"/>
      <c r="AH19771" s="251"/>
      <c r="AK19771" s="251"/>
    </row>
    <row r="19886" spans="25:37" x14ac:dyDescent="0.2">
      <c r="Y19886" s="5"/>
      <c r="AB19886" s="5"/>
      <c r="AE19886" s="5"/>
      <c r="AH19886" s="5"/>
      <c r="AK19886" s="5"/>
    </row>
    <row r="19896" spans="25:37" x14ac:dyDescent="0.2">
      <c r="Y19896" s="251"/>
      <c r="AB19896" s="251"/>
      <c r="AE19896" s="251"/>
      <c r="AH19896" s="251"/>
      <c r="AK19896" s="251"/>
    </row>
    <row r="20011" spans="25:37" x14ac:dyDescent="0.2">
      <c r="Y20011" s="5"/>
      <c r="AB20011" s="5"/>
      <c r="AE20011" s="5"/>
      <c r="AH20011" s="5"/>
      <c r="AK20011" s="5"/>
    </row>
    <row r="20021" spans="25:37" x14ac:dyDescent="0.2">
      <c r="Y20021" s="251"/>
      <c r="AB20021" s="251"/>
      <c r="AE20021" s="251"/>
      <c r="AH20021" s="251"/>
      <c r="AK20021" s="251"/>
    </row>
    <row r="20136" spans="25:37" x14ac:dyDescent="0.2">
      <c r="Y20136" s="5"/>
      <c r="AB20136" s="5"/>
      <c r="AE20136" s="5"/>
      <c r="AH20136" s="5"/>
      <c r="AK20136" s="5"/>
    </row>
    <row r="20146" spans="25:37" x14ac:dyDescent="0.2">
      <c r="Y20146" s="251"/>
      <c r="AB20146" s="251"/>
      <c r="AE20146" s="251"/>
      <c r="AH20146" s="251"/>
      <c r="AK20146" s="251"/>
    </row>
    <row r="20261" spans="25:37" x14ac:dyDescent="0.2">
      <c r="Y20261" s="5"/>
      <c r="AB20261" s="5"/>
      <c r="AE20261" s="5"/>
      <c r="AH20261" s="5"/>
      <c r="AK20261" s="5"/>
    </row>
    <row r="20271" spans="25:37" x14ac:dyDescent="0.2">
      <c r="Y20271" s="251"/>
      <c r="AB20271" s="251"/>
      <c r="AE20271" s="251"/>
      <c r="AH20271" s="251"/>
      <c r="AK20271" s="251"/>
    </row>
    <row r="20386" spans="25:37" x14ac:dyDescent="0.2">
      <c r="Y20386" s="5"/>
      <c r="AB20386" s="5"/>
      <c r="AE20386" s="5"/>
      <c r="AH20386" s="5"/>
      <c r="AK20386" s="5"/>
    </row>
    <row r="20396" spans="25:37" x14ac:dyDescent="0.2">
      <c r="Y20396" s="251"/>
      <c r="AB20396" s="251"/>
      <c r="AE20396" s="251"/>
      <c r="AH20396" s="251"/>
      <c r="AK20396" s="251"/>
    </row>
    <row r="20511" spans="25:37" x14ac:dyDescent="0.2">
      <c r="Y20511" s="5"/>
      <c r="AB20511" s="5"/>
      <c r="AE20511" s="5"/>
      <c r="AH20511" s="5"/>
      <c r="AK20511" s="5"/>
    </row>
    <row r="20521" spans="25:37" x14ac:dyDescent="0.2">
      <c r="Y20521" s="251"/>
      <c r="AB20521" s="251"/>
      <c r="AE20521" s="251"/>
      <c r="AH20521" s="251"/>
      <c r="AK20521" s="251"/>
    </row>
    <row r="20636" spans="25:37" x14ac:dyDescent="0.2">
      <c r="Y20636" s="5"/>
      <c r="AB20636" s="5"/>
      <c r="AE20636" s="5"/>
      <c r="AH20636" s="5"/>
      <c r="AK20636" s="5"/>
    </row>
    <row r="20646" spans="25:37" x14ac:dyDescent="0.2">
      <c r="Y20646" s="251"/>
      <c r="AB20646" s="251"/>
      <c r="AE20646" s="251"/>
      <c r="AH20646" s="251"/>
      <c r="AK20646" s="251"/>
    </row>
    <row r="20761" spans="25:37" x14ac:dyDescent="0.2">
      <c r="Y20761" s="5"/>
      <c r="AB20761" s="5"/>
      <c r="AE20761" s="5"/>
      <c r="AH20761" s="5"/>
      <c r="AK20761" s="5"/>
    </row>
    <row r="20771" spans="25:37" x14ac:dyDescent="0.2">
      <c r="Y20771" s="251"/>
      <c r="AB20771" s="251"/>
      <c r="AE20771" s="251"/>
      <c r="AH20771" s="251"/>
      <c r="AK20771" s="251"/>
    </row>
    <row r="20886" spans="25:37" x14ac:dyDescent="0.2">
      <c r="Y20886" s="5"/>
      <c r="AB20886" s="5"/>
      <c r="AE20886" s="5"/>
      <c r="AH20886" s="5"/>
      <c r="AK20886" s="5"/>
    </row>
    <row r="20896" spans="25:37" x14ac:dyDescent="0.2">
      <c r="Y20896" s="251"/>
      <c r="AB20896" s="251"/>
      <c r="AE20896" s="251"/>
      <c r="AH20896" s="251"/>
      <c r="AK20896" s="251"/>
    </row>
    <row r="21011" spans="25:37" x14ac:dyDescent="0.2">
      <c r="Y21011" s="5"/>
      <c r="AB21011" s="5"/>
      <c r="AE21011" s="5"/>
      <c r="AH21011" s="5"/>
      <c r="AK21011" s="5"/>
    </row>
    <row r="21021" spans="25:37" x14ac:dyDescent="0.2">
      <c r="Y21021" s="251"/>
      <c r="AB21021" s="251"/>
      <c r="AE21021" s="251"/>
      <c r="AH21021" s="251"/>
      <c r="AK21021" s="251"/>
    </row>
    <row r="21136" spans="25:37" x14ac:dyDescent="0.2">
      <c r="Y21136" s="5"/>
      <c r="AB21136" s="5"/>
      <c r="AE21136" s="5"/>
      <c r="AH21136" s="5"/>
      <c r="AK21136" s="5"/>
    </row>
    <row r="21146" spans="25:37" x14ac:dyDescent="0.2">
      <c r="Y21146" s="251"/>
      <c r="AB21146" s="251"/>
      <c r="AE21146" s="251"/>
      <c r="AH21146" s="251"/>
      <c r="AK21146" s="251"/>
    </row>
    <row r="21261" spans="25:37" x14ac:dyDescent="0.2">
      <c r="Y21261" s="5"/>
      <c r="AB21261" s="5"/>
      <c r="AE21261" s="5"/>
      <c r="AH21261" s="5"/>
      <c r="AK21261" s="5"/>
    </row>
    <row r="21271" spans="25:37" x14ac:dyDescent="0.2">
      <c r="Y21271" s="251"/>
      <c r="AB21271" s="251"/>
      <c r="AE21271" s="251"/>
      <c r="AH21271" s="251"/>
      <c r="AK21271" s="251"/>
    </row>
    <row r="21386" spans="25:37" x14ac:dyDescent="0.2">
      <c r="Y21386" s="5"/>
      <c r="AB21386" s="5"/>
      <c r="AE21386" s="5"/>
      <c r="AH21386" s="5"/>
      <c r="AK21386" s="5"/>
    </row>
    <row r="21396" spans="25:37" x14ac:dyDescent="0.2">
      <c r="Y21396" s="251"/>
      <c r="AB21396" s="251"/>
      <c r="AE21396" s="251"/>
      <c r="AH21396" s="251"/>
      <c r="AK21396" s="251"/>
    </row>
    <row r="21511" spans="25:37" x14ac:dyDescent="0.2">
      <c r="Y21511" s="5"/>
      <c r="AB21511" s="5"/>
      <c r="AE21511" s="5"/>
      <c r="AH21511" s="5"/>
      <c r="AK21511" s="5"/>
    </row>
    <row r="21521" spans="25:37" x14ac:dyDescent="0.2">
      <c r="Y21521" s="251"/>
      <c r="AB21521" s="251"/>
      <c r="AE21521" s="251"/>
      <c r="AH21521" s="251"/>
      <c r="AK21521" s="251"/>
    </row>
    <row r="21636" spans="25:37" x14ac:dyDescent="0.2">
      <c r="Y21636" s="5"/>
      <c r="AB21636" s="5"/>
      <c r="AE21636" s="5"/>
      <c r="AH21636" s="5"/>
      <c r="AK21636" s="5"/>
    </row>
    <row r="21646" spans="25:37" x14ac:dyDescent="0.2">
      <c r="Y21646" s="251"/>
      <c r="AB21646" s="251"/>
      <c r="AE21646" s="251"/>
      <c r="AH21646" s="251"/>
      <c r="AK21646" s="251"/>
    </row>
    <row r="21761" spans="25:37" x14ac:dyDescent="0.2">
      <c r="Y21761" s="5"/>
      <c r="AB21761" s="5"/>
      <c r="AE21761" s="5"/>
      <c r="AH21761" s="5"/>
      <c r="AK21761" s="5"/>
    </row>
    <row r="21771" spans="25:37" x14ac:dyDescent="0.2">
      <c r="Y21771" s="251"/>
      <c r="AB21771" s="251"/>
      <c r="AE21771" s="251"/>
      <c r="AH21771" s="251"/>
      <c r="AK21771" s="251"/>
    </row>
    <row r="21886" spans="25:37" x14ac:dyDescent="0.2">
      <c r="Y21886" s="5"/>
      <c r="AB21886" s="5"/>
      <c r="AE21886" s="5"/>
      <c r="AH21886" s="5"/>
      <c r="AK21886" s="5"/>
    </row>
    <row r="21896" spans="25:37" x14ac:dyDescent="0.2">
      <c r="Y21896" s="251"/>
      <c r="AB21896" s="251"/>
      <c r="AE21896" s="251"/>
      <c r="AH21896" s="251"/>
      <c r="AK21896" s="251"/>
    </row>
    <row r="22011" spans="25:37" x14ac:dyDescent="0.2">
      <c r="Y22011" s="5"/>
      <c r="AB22011" s="5"/>
      <c r="AE22011" s="5"/>
      <c r="AH22011" s="5"/>
      <c r="AK22011" s="5"/>
    </row>
    <row r="22021" spans="25:37" x14ac:dyDescent="0.2">
      <c r="Y22021" s="251"/>
      <c r="AB22021" s="251"/>
      <c r="AE22021" s="251"/>
      <c r="AH22021" s="251"/>
      <c r="AK22021" s="251"/>
    </row>
    <row r="22136" spans="25:37" x14ac:dyDescent="0.2">
      <c r="Y22136" s="5"/>
      <c r="AB22136" s="5"/>
      <c r="AE22136" s="5"/>
      <c r="AH22136" s="5"/>
      <c r="AK22136" s="5"/>
    </row>
    <row r="22146" spans="25:37" x14ac:dyDescent="0.2">
      <c r="Y22146" s="251"/>
      <c r="AB22146" s="251"/>
      <c r="AE22146" s="251"/>
      <c r="AH22146" s="251"/>
      <c r="AK22146" s="251"/>
    </row>
    <row r="22261" spans="25:37" x14ac:dyDescent="0.2">
      <c r="Y22261" s="5"/>
      <c r="AB22261" s="5"/>
      <c r="AE22261" s="5"/>
      <c r="AH22261" s="5"/>
      <c r="AK22261" s="5"/>
    </row>
    <row r="22271" spans="25:37" x14ac:dyDescent="0.2">
      <c r="Y22271" s="251"/>
      <c r="AB22271" s="251"/>
      <c r="AE22271" s="251"/>
      <c r="AH22271" s="251"/>
      <c r="AK22271" s="251"/>
    </row>
    <row r="22386" spans="25:37" x14ac:dyDescent="0.2">
      <c r="Y22386" s="5"/>
      <c r="AB22386" s="5"/>
      <c r="AE22386" s="5"/>
      <c r="AH22386" s="5"/>
      <c r="AK22386" s="5"/>
    </row>
    <row r="22396" spans="25:37" x14ac:dyDescent="0.2">
      <c r="Y22396" s="251"/>
      <c r="AB22396" s="251"/>
      <c r="AE22396" s="251"/>
      <c r="AH22396" s="251"/>
      <c r="AK22396" s="251"/>
    </row>
    <row r="22511" spans="25:37" x14ac:dyDescent="0.2">
      <c r="Y22511" s="5"/>
      <c r="AB22511" s="5"/>
      <c r="AE22511" s="5"/>
      <c r="AH22511" s="5"/>
      <c r="AK22511" s="5"/>
    </row>
    <row r="22521" spans="25:37" x14ac:dyDescent="0.2">
      <c r="Y22521" s="251"/>
      <c r="AB22521" s="251"/>
      <c r="AE22521" s="251"/>
      <c r="AH22521" s="251"/>
      <c r="AK22521" s="251"/>
    </row>
    <row r="22636" spans="25:37" x14ac:dyDescent="0.2">
      <c r="Y22636" s="5"/>
      <c r="AB22636" s="5"/>
      <c r="AE22636" s="5"/>
      <c r="AH22636" s="5"/>
      <c r="AK22636" s="5"/>
    </row>
    <row r="22646" spans="25:37" x14ac:dyDescent="0.2">
      <c r="Y22646" s="251"/>
      <c r="AB22646" s="251"/>
      <c r="AE22646" s="251"/>
      <c r="AH22646" s="251"/>
      <c r="AK22646" s="251"/>
    </row>
    <row r="22761" spans="25:37" x14ac:dyDescent="0.2">
      <c r="Y22761" s="5"/>
      <c r="AB22761" s="5"/>
      <c r="AE22761" s="5"/>
      <c r="AH22761" s="5"/>
      <c r="AK22761" s="5"/>
    </row>
    <row r="22771" spans="25:37" x14ac:dyDescent="0.2">
      <c r="Y22771" s="251"/>
      <c r="AB22771" s="251"/>
      <c r="AE22771" s="251"/>
      <c r="AH22771" s="251"/>
      <c r="AK22771" s="251"/>
    </row>
    <row r="22886" spans="25:37" x14ac:dyDescent="0.2">
      <c r="Y22886" s="5"/>
      <c r="AB22886" s="5"/>
      <c r="AE22886" s="5"/>
      <c r="AH22886" s="5"/>
      <c r="AK22886" s="5"/>
    </row>
    <row r="22896" spans="25:37" x14ac:dyDescent="0.2">
      <c r="Y22896" s="251"/>
      <c r="AB22896" s="251"/>
      <c r="AE22896" s="251"/>
      <c r="AH22896" s="251"/>
      <c r="AK22896" s="251"/>
    </row>
    <row r="23011" spans="25:37" x14ac:dyDescent="0.2">
      <c r="Y23011" s="5"/>
      <c r="AB23011" s="5"/>
      <c r="AE23011" s="5"/>
      <c r="AH23011" s="5"/>
      <c r="AK23011" s="5"/>
    </row>
    <row r="23021" spans="25:37" x14ac:dyDescent="0.2">
      <c r="Y23021" s="251"/>
      <c r="AB23021" s="251"/>
      <c r="AE23021" s="251"/>
      <c r="AH23021" s="251"/>
      <c r="AK23021" s="251"/>
    </row>
    <row r="23136" spans="25:37" x14ac:dyDescent="0.2">
      <c r="Y23136" s="5"/>
      <c r="AB23136" s="5"/>
      <c r="AE23136" s="5"/>
      <c r="AH23136" s="5"/>
      <c r="AK23136" s="5"/>
    </row>
    <row r="23146" spans="25:37" x14ac:dyDescent="0.2">
      <c r="Y23146" s="251"/>
      <c r="AB23146" s="251"/>
      <c r="AE23146" s="251"/>
      <c r="AH23146" s="251"/>
      <c r="AK23146" s="251"/>
    </row>
    <row r="23261" spans="25:37" x14ac:dyDescent="0.2">
      <c r="Y23261" s="5"/>
      <c r="AB23261" s="5"/>
      <c r="AE23261" s="5"/>
      <c r="AH23261" s="5"/>
      <c r="AK23261" s="5"/>
    </row>
    <row r="23271" spans="25:37" x14ac:dyDescent="0.2">
      <c r="Y23271" s="251"/>
      <c r="AB23271" s="251"/>
      <c r="AE23271" s="251"/>
      <c r="AH23271" s="251"/>
      <c r="AK23271" s="251"/>
    </row>
    <row r="23386" spans="25:37" x14ac:dyDescent="0.2">
      <c r="Y23386" s="5"/>
      <c r="AB23386" s="5"/>
      <c r="AE23386" s="5"/>
      <c r="AH23386" s="5"/>
      <c r="AK23386" s="5"/>
    </row>
    <row r="23396" spans="25:37" x14ac:dyDescent="0.2">
      <c r="Y23396" s="251"/>
      <c r="AB23396" s="251"/>
      <c r="AE23396" s="251"/>
      <c r="AH23396" s="251"/>
      <c r="AK23396" s="251"/>
    </row>
    <row r="23511" spans="25:37" x14ac:dyDescent="0.2">
      <c r="Y23511" s="5"/>
      <c r="AB23511" s="5"/>
      <c r="AE23511" s="5"/>
      <c r="AH23511" s="5"/>
      <c r="AK23511" s="5"/>
    </row>
    <row r="23521" spans="25:37" x14ac:dyDescent="0.2">
      <c r="Y23521" s="251"/>
      <c r="AB23521" s="251"/>
      <c r="AE23521" s="251"/>
      <c r="AH23521" s="251"/>
      <c r="AK23521" s="251"/>
    </row>
    <row r="23636" spans="25:37" x14ac:dyDescent="0.2">
      <c r="Y23636" s="5"/>
      <c r="AB23636" s="5"/>
      <c r="AE23636" s="5"/>
      <c r="AH23636" s="5"/>
      <c r="AK23636" s="5"/>
    </row>
    <row r="23646" spans="25:37" x14ac:dyDescent="0.2">
      <c r="Y23646" s="251"/>
      <c r="AB23646" s="251"/>
      <c r="AE23646" s="251"/>
      <c r="AH23646" s="251"/>
      <c r="AK23646" s="251"/>
    </row>
    <row r="23761" spans="25:37" x14ac:dyDescent="0.2">
      <c r="Y23761" s="5"/>
      <c r="AB23761" s="5"/>
      <c r="AE23761" s="5"/>
      <c r="AH23761" s="5"/>
      <c r="AK23761" s="5"/>
    </row>
    <row r="23771" spans="25:37" x14ac:dyDescent="0.2">
      <c r="Y23771" s="251"/>
      <c r="AB23771" s="251"/>
      <c r="AE23771" s="251"/>
      <c r="AH23771" s="251"/>
      <c r="AK23771" s="251"/>
    </row>
    <row r="23886" spans="25:37" x14ac:dyDescent="0.2">
      <c r="Y23886" s="5"/>
      <c r="AB23886" s="5"/>
      <c r="AE23886" s="5"/>
      <c r="AH23886" s="5"/>
      <c r="AK23886" s="5"/>
    </row>
    <row r="23896" spans="25:37" x14ac:dyDescent="0.2">
      <c r="Y23896" s="251"/>
      <c r="AB23896" s="251"/>
      <c r="AE23896" s="251"/>
      <c r="AH23896" s="251"/>
      <c r="AK23896" s="251"/>
    </row>
    <row r="24011" spans="25:37" x14ac:dyDescent="0.2">
      <c r="Y24011" s="5"/>
      <c r="AB24011" s="5"/>
      <c r="AE24011" s="5"/>
      <c r="AH24011" s="5"/>
      <c r="AK24011" s="5"/>
    </row>
    <row r="24021" spans="25:37" x14ac:dyDescent="0.2">
      <c r="Y24021" s="251"/>
      <c r="AB24021" s="251"/>
      <c r="AE24021" s="251"/>
      <c r="AH24021" s="251"/>
      <c r="AK24021" s="251"/>
    </row>
    <row r="24136" spans="25:37" x14ac:dyDescent="0.2">
      <c r="Y24136" s="5"/>
      <c r="AB24136" s="5"/>
      <c r="AE24136" s="5"/>
      <c r="AH24136" s="5"/>
      <c r="AK24136" s="5"/>
    </row>
    <row r="24146" spans="25:37" x14ac:dyDescent="0.2">
      <c r="Y24146" s="251"/>
      <c r="AB24146" s="251"/>
      <c r="AE24146" s="251"/>
      <c r="AH24146" s="251"/>
      <c r="AK24146" s="251"/>
    </row>
    <row r="24261" spans="25:37" x14ac:dyDescent="0.2">
      <c r="Y24261" s="5"/>
      <c r="AB24261" s="5"/>
      <c r="AE24261" s="5"/>
      <c r="AH24261" s="5"/>
      <c r="AK24261" s="5"/>
    </row>
    <row r="24271" spans="25:37" x14ac:dyDescent="0.2">
      <c r="Y24271" s="251"/>
      <c r="AB24271" s="251"/>
      <c r="AE24271" s="251"/>
      <c r="AH24271" s="251"/>
      <c r="AK24271" s="251"/>
    </row>
    <row r="24386" spans="25:37" x14ac:dyDescent="0.2">
      <c r="Y24386" s="5"/>
      <c r="AB24386" s="5"/>
      <c r="AE24386" s="5"/>
      <c r="AH24386" s="5"/>
      <c r="AK24386" s="5"/>
    </row>
    <row r="24396" spans="25:37" x14ac:dyDescent="0.2">
      <c r="Y24396" s="251"/>
      <c r="AB24396" s="251"/>
      <c r="AE24396" s="251"/>
      <c r="AH24396" s="251"/>
      <c r="AK24396" s="251"/>
    </row>
    <row r="24511" spans="25:37" x14ac:dyDescent="0.2">
      <c r="Y24511" s="5"/>
      <c r="AB24511" s="5"/>
      <c r="AE24511" s="5"/>
      <c r="AH24511" s="5"/>
      <c r="AK24511" s="5"/>
    </row>
    <row r="24521" spans="25:37" x14ac:dyDescent="0.2">
      <c r="Y24521" s="251"/>
      <c r="AB24521" s="251"/>
      <c r="AE24521" s="251"/>
      <c r="AH24521" s="251"/>
      <c r="AK24521" s="251"/>
    </row>
    <row r="24636" spans="25:37" x14ac:dyDescent="0.2">
      <c r="Y24636" s="5"/>
      <c r="AB24636" s="5"/>
      <c r="AE24636" s="5"/>
      <c r="AH24636" s="5"/>
      <c r="AK24636" s="5"/>
    </row>
    <row r="24646" spans="25:37" x14ac:dyDescent="0.2">
      <c r="Y24646" s="251"/>
      <c r="AB24646" s="251"/>
      <c r="AE24646" s="251"/>
      <c r="AH24646" s="251"/>
      <c r="AK24646" s="251"/>
    </row>
    <row r="24761" spans="25:37" x14ac:dyDescent="0.2">
      <c r="Y24761" s="5"/>
      <c r="AB24761" s="5"/>
      <c r="AE24761" s="5"/>
      <c r="AH24761" s="5"/>
      <c r="AK24761" s="5"/>
    </row>
    <row r="24771" spans="25:37" x14ac:dyDescent="0.2">
      <c r="Y24771" s="251"/>
      <c r="AB24771" s="251"/>
      <c r="AE24771" s="251"/>
      <c r="AH24771" s="251"/>
      <c r="AK24771" s="251"/>
    </row>
    <row r="24886" spans="25:37" x14ac:dyDescent="0.2">
      <c r="Y24886" s="5"/>
      <c r="AB24886" s="5"/>
      <c r="AE24886" s="5"/>
      <c r="AH24886" s="5"/>
      <c r="AK24886" s="5"/>
    </row>
    <row r="24896" spans="25:37" x14ac:dyDescent="0.2">
      <c r="Y24896" s="251"/>
      <c r="AB24896" s="251"/>
      <c r="AE24896" s="251"/>
      <c r="AH24896" s="251"/>
      <c r="AK24896" s="251"/>
    </row>
    <row r="25011" spans="25:37" x14ac:dyDescent="0.2">
      <c r="Y25011" s="5"/>
      <c r="AB25011" s="5"/>
      <c r="AE25011" s="5"/>
      <c r="AH25011" s="5"/>
      <c r="AK25011" s="5"/>
    </row>
    <row r="25021" spans="25:37" x14ac:dyDescent="0.2">
      <c r="Y25021" s="251"/>
      <c r="AB25021" s="251"/>
      <c r="AE25021" s="251"/>
      <c r="AH25021" s="251"/>
      <c r="AK25021" s="251"/>
    </row>
    <row r="25136" spans="25:37" x14ac:dyDescent="0.2">
      <c r="Y25136" s="5"/>
      <c r="AB25136" s="5"/>
      <c r="AE25136" s="5"/>
      <c r="AH25136" s="5"/>
      <c r="AK25136" s="5"/>
    </row>
    <row r="25146" spans="25:37" x14ac:dyDescent="0.2">
      <c r="Y25146" s="251"/>
      <c r="AB25146" s="251"/>
      <c r="AE25146" s="251"/>
      <c r="AH25146" s="251"/>
      <c r="AK25146" s="251"/>
    </row>
    <row r="25261" spans="25:37" x14ac:dyDescent="0.2">
      <c r="Y25261" s="5"/>
      <c r="AB25261" s="5"/>
      <c r="AE25261" s="5"/>
      <c r="AH25261" s="5"/>
      <c r="AK25261" s="5"/>
    </row>
    <row r="25271" spans="25:37" x14ac:dyDescent="0.2">
      <c r="Y25271" s="251"/>
      <c r="AB25271" s="251"/>
      <c r="AE25271" s="251"/>
      <c r="AH25271" s="251"/>
      <c r="AK25271" s="251"/>
    </row>
    <row r="25386" spans="25:37" x14ac:dyDescent="0.2">
      <c r="Y25386" s="5"/>
      <c r="AB25386" s="5"/>
      <c r="AE25386" s="5"/>
      <c r="AH25386" s="5"/>
      <c r="AK25386" s="5"/>
    </row>
    <row r="25396" spans="25:37" x14ac:dyDescent="0.2">
      <c r="Y25396" s="251"/>
      <c r="AB25396" s="251"/>
      <c r="AE25396" s="251"/>
      <c r="AH25396" s="251"/>
      <c r="AK25396" s="251"/>
    </row>
    <row r="25511" spans="25:37" x14ac:dyDescent="0.2">
      <c r="Y25511" s="5"/>
      <c r="AB25511" s="5"/>
      <c r="AE25511" s="5"/>
      <c r="AH25511" s="5"/>
      <c r="AK25511" s="5"/>
    </row>
    <row r="25521" spans="25:37" x14ac:dyDescent="0.2">
      <c r="Y25521" s="251"/>
      <c r="AB25521" s="251"/>
      <c r="AE25521" s="251"/>
      <c r="AH25521" s="251"/>
      <c r="AK25521" s="251"/>
    </row>
    <row r="25636" spans="25:37" x14ac:dyDescent="0.2">
      <c r="Y25636" s="5"/>
      <c r="AB25636" s="5"/>
      <c r="AE25636" s="5"/>
      <c r="AH25636" s="5"/>
      <c r="AK25636" s="5"/>
    </row>
    <row r="25646" spans="25:37" x14ac:dyDescent="0.2">
      <c r="Y25646" s="251"/>
      <c r="AB25646" s="251"/>
      <c r="AE25646" s="251"/>
      <c r="AH25646" s="251"/>
      <c r="AK25646" s="251"/>
    </row>
    <row r="25761" spans="25:37" x14ac:dyDescent="0.2">
      <c r="Y25761" s="5"/>
      <c r="AB25761" s="5"/>
      <c r="AE25761" s="5"/>
      <c r="AH25761" s="5"/>
      <c r="AK25761" s="5"/>
    </row>
    <row r="25771" spans="25:37" x14ac:dyDescent="0.2">
      <c r="Y25771" s="251"/>
      <c r="AB25771" s="251"/>
      <c r="AE25771" s="251"/>
      <c r="AH25771" s="251"/>
      <c r="AK25771" s="251"/>
    </row>
    <row r="25886" spans="25:37" x14ac:dyDescent="0.2">
      <c r="Y25886" s="5"/>
      <c r="AB25886" s="5"/>
      <c r="AE25886" s="5"/>
      <c r="AH25886" s="5"/>
      <c r="AK25886" s="5"/>
    </row>
    <row r="25896" spans="25:37" x14ac:dyDescent="0.2">
      <c r="Y25896" s="251"/>
      <c r="AB25896" s="251"/>
      <c r="AE25896" s="251"/>
      <c r="AH25896" s="251"/>
      <c r="AK25896" s="251"/>
    </row>
    <row r="26011" spans="25:37" x14ac:dyDescent="0.2">
      <c r="Y26011" s="5"/>
      <c r="AB26011" s="5"/>
      <c r="AE26011" s="5"/>
      <c r="AH26011" s="5"/>
      <c r="AK26011" s="5"/>
    </row>
    <row r="26021" spans="25:37" x14ac:dyDescent="0.2">
      <c r="Y26021" s="251"/>
      <c r="AB26021" s="251"/>
      <c r="AE26021" s="251"/>
      <c r="AH26021" s="251"/>
      <c r="AK26021" s="251"/>
    </row>
    <row r="26136" spans="25:37" x14ac:dyDescent="0.2">
      <c r="Y26136" s="5"/>
      <c r="AB26136" s="5"/>
      <c r="AE26136" s="5"/>
      <c r="AH26136" s="5"/>
      <c r="AK26136" s="5"/>
    </row>
    <row r="26146" spans="25:37" x14ac:dyDescent="0.2">
      <c r="Y26146" s="251"/>
      <c r="AB26146" s="251"/>
      <c r="AE26146" s="251"/>
      <c r="AH26146" s="251"/>
      <c r="AK26146" s="251"/>
    </row>
    <row r="26261" spans="25:37" x14ac:dyDescent="0.2">
      <c r="Y26261" s="5"/>
      <c r="AB26261" s="5"/>
      <c r="AE26261" s="5"/>
      <c r="AH26261" s="5"/>
      <c r="AK26261" s="5"/>
    </row>
    <row r="26271" spans="25:37" x14ac:dyDescent="0.2">
      <c r="Y26271" s="251"/>
      <c r="AB26271" s="251"/>
      <c r="AE26271" s="251"/>
      <c r="AH26271" s="251"/>
      <c r="AK26271" s="251"/>
    </row>
    <row r="26386" spans="25:37" x14ac:dyDescent="0.2">
      <c r="Y26386" s="5"/>
      <c r="AB26386" s="5"/>
      <c r="AE26386" s="5"/>
      <c r="AH26386" s="5"/>
      <c r="AK26386" s="5"/>
    </row>
    <row r="26396" spans="25:37" x14ac:dyDescent="0.2">
      <c r="Y26396" s="251"/>
      <c r="AB26396" s="251"/>
      <c r="AE26396" s="251"/>
      <c r="AH26396" s="251"/>
      <c r="AK26396" s="251"/>
    </row>
    <row r="26511" spans="25:37" x14ac:dyDescent="0.2">
      <c r="Y26511" s="5"/>
      <c r="AB26511" s="5"/>
      <c r="AE26511" s="5"/>
      <c r="AH26511" s="5"/>
      <c r="AK26511" s="5"/>
    </row>
    <row r="26521" spans="25:37" x14ac:dyDescent="0.2">
      <c r="Y26521" s="251"/>
      <c r="AB26521" s="251"/>
      <c r="AE26521" s="251"/>
      <c r="AH26521" s="251"/>
      <c r="AK26521" s="251"/>
    </row>
    <row r="26636" spans="25:37" x14ac:dyDescent="0.2">
      <c r="Y26636" s="5"/>
      <c r="AB26636" s="5"/>
      <c r="AE26636" s="5"/>
      <c r="AH26636" s="5"/>
      <c r="AK26636" s="5"/>
    </row>
    <row r="26646" spans="25:37" x14ac:dyDescent="0.2">
      <c r="Y26646" s="251"/>
      <c r="AB26646" s="251"/>
      <c r="AE26646" s="251"/>
      <c r="AH26646" s="251"/>
      <c r="AK26646" s="251"/>
    </row>
    <row r="26761" spans="25:37" x14ac:dyDescent="0.2">
      <c r="Y26761" s="5"/>
      <c r="AB26761" s="5"/>
      <c r="AE26761" s="5"/>
      <c r="AH26761" s="5"/>
      <c r="AK26761" s="5"/>
    </row>
    <row r="26771" spans="25:37" x14ac:dyDescent="0.2">
      <c r="Y26771" s="251"/>
      <c r="AB26771" s="251"/>
      <c r="AE26771" s="251"/>
      <c r="AH26771" s="251"/>
      <c r="AK26771" s="251"/>
    </row>
    <row r="26886" spans="25:37" x14ac:dyDescent="0.2">
      <c r="Y26886" s="5"/>
      <c r="AB26886" s="5"/>
      <c r="AE26886" s="5"/>
      <c r="AH26886" s="5"/>
      <c r="AK26886" s="5"/>
    </row>
    <row r="26896" spans="25:37" x14ac:dyDescent="0.2">
      <c r="Y26896" s="251"/>
      <c r="AB26896" s="251"/>
      <c r="AE26896" s="251"/>
      <c r="AH26896" s="251"/>
      <c r="AK26896" s="251"/>
    </row>
    <row r="27011" spans="25:37" x14ac:dyDescent="0.2">
      <c r="Y27011" s="5"/>
      <c r="AB27011" s="5"/>
      <c r="AE27011" s="5"/>
      <c r="AH27011" s="5"/>
      <c r="AK27011" s="5"/>
    </row>
    <row r="27021" spans="25:37" x14ac:dyDescent="0.2">
      <c r="Y27021" s="251"/>
      <c r="AB27021" s="251"/>
      <c r="AE27021" s="251"/>
      <c r="AH27021" s="251"/>
      <c r="AK27021" s="251"/>
    </row>
    <row r="27136" spans="25:37" x14ac:dyDescent="0.2">
      <c r="Y27136" s="5"/>
      <c r="AB27136" s="5"/>
      <c r="AE27136" s="5"/>
      <c r="AH27136" s="5"/>
      <c r="AK27136" s="5"/>
    </row>
    <row r="27146" spans="25:37" x14ac:dyDescent="0.2">
      <c r="Y27146" s="251"/>
      <c r="AB27146" s="251"/>
      <c r="AE27146" s="251"/>
      <c r="AH27146" s="251"/>
      <c r="AK27146" s="251"/>
    </row>
    <row r="27261" spans="25:37" x14ac:dyDescent="0.2">
      <c r="Y27261" s="5"/>
      <c r="AB27261" s="5"/>
      <c r="AE27261" s="5"/>
      <c r="AH27261" s="5"/>
      <c r="AK27261" s="5"/>
    </row>
    <row r="27271" spans="25:37" x14ac:dyDescent="0.2">
      <c r="Y27271" s="251"/>
      <c r="AB27271" s="251"/>
      <c r="AE27271" s="251"/>
      <c r="AH27271" s="251"/>
      <c r="AK27271" s="251"/>
    </row>
    <row r="27386" spans="25:37" x14ac:dyDescent="0.2">
      <c r="Y27386" s="5"/>
      <c r="AB27386" s="5"/>
      <c r="AE27386" s="5"/>
      <c r="AH27386" s="5"/>
      <c r="AK27386" s="5"/>
    </row>
    <row r="27396" spans="25:37" x14ac:dyDescent="0.2">
      <c r="Y27396" s="251"/>
      <c r="AB27396" s="251"/>
      <c r="AE27396" s="251"/>
      <c r="AH27396" s="251"/>
      <c r="AK27396" s="251"/>
    </row>
    <row r="27511" spans="25:37" x14ac:dyDescent="0.2">
      <c r="Y27511" s="5"/>
      <c r="AB27511" s="5"/>
      <c r="AE27511" s="5"/>
      <c r="AH27511" s="5"/>
      <c r="AK27511" s="5"/>
    </row>
    <row r="27521" spans="25:37" x14ac:dyDescent="0.2">
      <c r="Y27521" s="251"/>
      <c r="AB27521" s="251"/>
      <c r="AE27521" s="251"/>
      <c r="AH27521" s="251"/>
      <c r="AK27521" s="251"/>
    </row>
    <row r="27636" spans="25:37" x14ac:dyDescent="0.2">
      <c r="Y27636" s="5"/>
      <c r="AB27636" s="5"/>
      <c r="AE27636" s="5"/>
      <c r="AH27636" s="5"/>
      <c r="AK27636" s="5"/>
    </row>
    <row r="27646" spans="25:37" x14ac:dyDescent="0.2">
      <c r="Y27646" s="251"/>
      <c r="AB27646" s="251"/>
      <c r="AE27646" s="251"/>
      <c r="AH27646" s="251"/>
      <c r="AK27646" s="251"/>
    </row>
    <row r="27761" spans="25:37" x14ac:dyDescent="0.2">
      <c r="Y27761" s="5"/>
      <c r="AB27761" s="5"/>
      <c r="AE27761" s="5"/>
      <c r="AH27761" s="5"/>
      <c r="AK27761" s="5"/>
    </row>
    <row r="27771" spans="25:37" x14ac:dyDescent="0.2">
      <c r="Y27771" s="251"/>
      <c r="AB27771" s="251"/>
      <c r="AE27771" s="251"/>
      <c r="AH27771" s="251"/>
      <c r="AK27771" s="251"/>
    </row>
    <row r="27886" spans="25:37" x14ac:dyDescent="0.2">
      <c r="Y27886" s="5"/>
      <c r="AB27886" s="5"/>
      <c r="AE27886" s="5"/>
      <c r="AH27886" s="5"/>
      <c r="AK27886" s="5"/>
    </row>
    <row r="27896" spans="25:37" x14ac:dyDescent="0.2">
      <c r="Y27896" s="251"/>
      <c r="AB27896" s="251"/>
      <c r="AE27896" s="251"/>
      <c r="AH27896" s="251"/>
      <c r="AK27896" s="251"/>
    </row>
    <row r="28011" spans="25:37" x14ac:dyDescent="0.2">
      <c r="Y28011" s="5"/>
      <c r="AB28011" s="5"/>
      <c r="AE28011" s="5"/>
      <c r="AH28011" s="5"/>
      <c r="AK28011" s="5"/>
    </row>
    <row r="28021" spans="25:37" x14ac:dyDescent="0.2">
      <c r="Y28021" s="251"/>
      <c r="AB28021" s="251"/>
      <c r="AE28021" s="251"/>
      <c r="AH28021" s="251"/>
      <c r="AK28021" s="251"/>
    </row>
    <row r="28136" spans="25:37" x14ac:dyDescent="0.2">
      <c r="Y28136" s="5"/>
      <c r="AB28136" s="5"/>
      <c r="AE28136" s="5"/>
      <c r="AH28136" s="5"/>
      <c r="AK28136" s="5"/>
    </row>
    <row r="28146" spans="25:37" x14ac:dyDescent="0.2">
      <c r="Y28146" s="251"/>
      <c r="AB28146" s="251"/>
      <c r="AE28146" s="251"/>
      <c r="AH28146" s="251"/>
      <c r="AK28146" s="251"/>
    </row>
    <row r="28261" spans="25:37" x14ac:dyDescent="0.2">
      <c r="Y28261" s="5"/>
      <c r="AB28261" s="5"/>
      <c r="AE28261" s="5"/>
      <c r="AH28261" s="5"/>
      <c r="AK28261" s="5"/>
    </row>
    <row r="28271" spans="25:37" x14ac:dyDescent="0.2">
      <c r="Y28271" s="251"/>
      <c r="AB28271" s="251"/>
      <c r="AE28271" s="251"/>
      <c r="AH28271" s="251"/>
      <c r="AK28271" s="251"/>
    </row>
    <row r="28386" spans="25:37" x14ac:dyDescent="0.2">
      <c r="Y28386" s="5"/>
      <c r="AB28386" s="5"/>
      <c r="AE28386" s="5"/>
      <c r="AH28386" s="5"/>
      <c r="AK28386" s="5"/>
    </row>
    <row r="28396" spans="25:37" x14ac:dyDescent="0.2">
      <c r="Y28396" s="251"/>
      <c r="AB28396" s="251"/>
      <c r="AE28396" s="251"/>
      <c r="AH28396" s="251"/>
      <c r="AK28396" s="251"/>
    </row>
    <row r="28511" spans="25:37" x14ac:dyDescent="0.2">
      <c r="Y28511" s="5"/>
      <c r="AB28511" s="5"/>
      <c r="AE28511" s="5"/>
      <c r="AH28511" s="5"/>
      <c r="AK28511" s="5"/>
    </row>
    <row r="28521" spans="25:37" x14ac:dyDescent="0.2">
      <c r="Y28521" s="251"/>
      <c r="AB28521" s="251"/>
      <c r="AE28521" s="251"/>
      <c r="AH28521" s="251"/>
      <c r="AK28521" s="251"/>
    </row>
    <row r="28636" spans="25:37" x14ac:dyDescent="0.2">
      <c r="Y28636" s="5"/>
      <c r="AB28636" s="5"/>
      <c r="AE28636" s="5"/>
      <c r="AH28636" s="5"/>
      <c r="AK28636" s="5"/>
    </row>
    <row r="28646" spans="25:37" x14ac:dyDescent="0.2">
      <c r="Y28646" s="251"/>
      <c r="AB28646" s="251"/>
      <c r="AE28646" s="251"/>
      <c r="AH28646" s="251"/>
      <c r="AK28646" s="251"/>
    </row>
    <row r="28761" spans="25:37" x14ac:dyDescent="0.2">
      <c r="Y28761" s="5"/>
      <c r="AB28761" s="5"/>
      <c r="AE28761" s="5"/>
      <c r="AH28761" s="5"/>
      <c r="AK28761" s="5"/>
    </row>
    <row r="28771" spans="25:37" x14ac:dyDescent="0.2">
      <c r="Y28771" s="251"/>
      <c r="AB28771" s="251"/>
      <c r="AE28771" s="251"/>
      <c r="AH28771" s="251"/>
      <c r="AK28771" s="251"/>
    </row>
    <row r="28886" spans="25:37" x14ac:dyDescent="0.2">
      <c r="Y28886" s="5"/>
      <c r="AB28886" s="5"/>
      <c r="AE28886" s="5"/>
      <c r="AH28886" s="5"/>
      <c r="AK28886" s="5"/>
    </row>
    <row r="28896" spans="25:37" x14ac:dyDescent="0.2">
      <c r="Y28896" s="251"/>
      <c r="AB28896" s="251"/>
      <c r="AE28896" s="251"/>
      <c r="AH28896" s="251"/>
      <c r="AK28896" s="251"/>
    </row>
    <row r="29011" spans="25:37" x14ac:dyDescent="0.2">
      <c r="Y29011" s="5"/>
      <c r="AB29011" s="5"/>
      <c r="AE29011" s="5"/>
      <c r="AH29011" s="5"/>
      <c r="AK29011" s="5"/>
    </row>
    <row r="29021" spans="25:37" x14ac:dyDescent="0.2">
      <c r="Y29021" s="251"/>
      <c r="AB29021" s="251"/>
      <c r="AE29021" s="251"/>
      <c r="AH29021" s="251"/>
      <c r="AK29021" s="251"/>
    </row>
    <row r="29136" spans="25:37" x14ac:dyDescent="0.2">
      <c r="Y29136" s="5"/>
      <c r="AB29136" s="5"/>
      <c r="AE29136" s="5"/>
      <c r="AH29136" s="5"/>
      <c r="AK29136" s="5"/>
    </row>
    <row r="29146" spans="25:37" x14ac:dyDescent="0.2">
      <c r="Y29146" s="251"/>
      <c r="AB29146" s="251"/>
      <c r="AE29146" s="251"/>
      <c r="AH29146" s="251"/>
      <c r="AK29146" s="251"/>
    </row>
    <row r="29261" spans="25:37" x14ac:dyDescent="0.2">
      <c r="Y29261" s="5"/>
      <c r="AB29261" s="5"/>
      <c r="AE29261" s="5"/>
      <c r="AH29261" s="5"/>
      <c r="AK29261" s="5"/>
    </row>
    <row r="29271" spans="25:37" x14ac:dyDescent="0.2">
      <c r="Y29271" s="251"/>
      <c r="AB29271" s="251"/>
      <c r="AE29271" s="251"/>
      <c r="AH29271" s="251"/>
      <c r="AK29271" s="251"/>
    </row>
    <row r="29386" spans="25:37" x14ac:dyDescent="0.2">
      <c r="Y29386" s="5"/>
      <c r="AB29386" s="5"/>
      <c r="AE29386" s="5"/>
      <c r="AH29386" s="5"/>
      <c r="AK29386" s="5"/>
    </row>
    <row r="29396" spans="25:37" x14ac:dyDescent="0.2">
      <c r="Y29396" s="251"/>
      <c r="AB29396" s="251"/>
      <c r="AE29396" s="251"/>
      <c r="AH29396" s="251"/>
      <c r="AK29396" s="251"/>
    </row>
    <row r="29511" spans="25:37" x14ac:dyDescent="0.2">
      <c r="Y29511" s="5"/>
      <c r="AB29511" s="5"/>
      <c r="AE29511" s="5"/>
      <c r="AH29511" s="5"/>
      <c r="AK29511" s="5"/>
    </row>
    <row r="29521" spans="25:37" x14ac:dyDescent="0.2">
      <c r="Y29521" s="251"/>
      <c r="AB29521" s="251"/>
      <c r="AE29521" s="251"/>
      <c r="AH29521" s="251"/>
      <c r="AK29521" s="251"/>
    </row>
    <row r="29636" spans="25:37" x14ac:dyDescent="0.2">
      <c r="Y29636" s="5"/>
      <c r="AB29636" s="5"/>
      <c r="AE29636" s="5"/>
      <c r="AH29636" s="5"/>
      <c r="AK29636" s="5"/>
    </row>
    <row r="29646" spans="25:37" x14ac:dyDescent="0.2">
      <c r="Y29646" s="251"/>
      <c r="AB29646" s="251"/>
      <c r="AE29646" s="251"/>
      <c r="AH29646" s="251"/>
      <c r="AK29646" s="251"/>
    </row>
    <row r="29761" spans="25:37" x14ac:dyDescent="0.2">
      <c r="Y29761" s="5"/>
      <c r="AB29761" s="5"/>
      <c r="AE29761" s="5"/>
      <c r="AH29761" s="5"/>
      <c r="AK29761" s="5"/>
    </row>
    <row r="29771" spans="25:37" x14ac:dyDescent="0.2">
      <c r="Y29771" s="251"/>
      <c r="AB29771" s="251"/>
      <c r="AE29771" s="251"/>
      <c r="AH29771" s="251"/>
      <c r="AK29771" s="251"/>
    </row>
    <row r="29886" spans="25:37" x14ac:dyDescent="0.2">
      <c r="Y29886" s="5"/>
      <c r="AB29886" s="5"/>
      <c r="AE29886" s="5"/>
      <c r="AH29886" s="5"/>
      <c r="AK29886" s="5"/>
    </row>
    <row r="29896" spans="25:37" x14ac:dyDescent="0.2">
      <c r="Y29896" s="251"/>
      <c r="AB29896" s="251"/>
      <c r="AE29896" s="251"/>
      <c r="AH29896" s="251"/>
      <c r="AK29896" s="251"/>
    </row>
    <row r="30011" spans="25:37" x14ac:dyDescent="0.2">
      <c r="Y30011" s="5"/>
      <c r="AB30011" s="5"/>
      <c r="AE30011" s="5"/>
      <c r="AH30011" s="5"/>
      <c r="AK30011" s="5"/>
    </row>
    <row r="30021" spans="25:37" x14ac:dyDescent="0.2">
      <c r="Y30021" s="251"/>
      <c r="AB30021" s="251"/>
      <c r="AE30021" s="251"/>
      <c r="AH30021" s="251"/>
      <c r="AK30021" s="251"/>
    </row>
    <row r="30136" spans="25:37" x14ac:dyDescent="0.2">
      <c r="Y30136" s="5"/>
      <c r="AB30136" s="5"/>
      <c r="AE30136" s="5"/>
      <c r="AH30136" s="5"/>
      <c r="AK30136" s="5"/>
    </row>
    <row r="30146" spans="25:37" x14ac:dyDescent="0.2">
      <c r="Y30146" s="251"/>
      <c r="AB30146" s="251"/>
      <c r="AE30146" s="251"/>
      <c r="AH30146" s="251"/>
      <c r="AK30146" s="251"/>
    </row>
    <row r="30261" spans="25:37" x14ac:dyDescent="0.2">
      <c r="Y30261" s="5"/>
      <c r="AB30261" s="5"/>
      <c r="AE30261" s="5"/>
      <c r="AH30261" s="5"/>
      <c r="AK30261" s="5"/>
    </row>
    <row r="30271" spans="25:37" x14ac:dyDescent="0.2">
      <c r="Y30271" s="251"/>
      <c r="AB30271" s="251"/>
      <c r="AE30271" s="251"/>
      <c r="AH30271" s="251"/>
      <c r="AK30271" s="251"/>
    </row>
    <row r="30386" spans="25:37" x14ac:dyDescent="0.2">
      <c r="Y30386" s="5"/>
      <c r="AB30386" s="5"/>
      <c r="AE30386" s="5"/>
      <c r="AH30386" s="5"/>
      <c r="AK30386" s="5"/>
    </row>
    <row r="30396" spans="25:37" x14ac:dyDescent="0.2">
      <c r="Y30396" s="251"/>
      <c r="AB30396" s="251"/>
      <c r="AE30396" s="251"/>
      <c r="AH30396" s="251"/>
      <c r="AK30396" s="251"/>
    </row>
    <row r="30511" spans="25:37" x14ac:dyDescent="0.2">
      <c r="Y30511" s="5"/>
      <c r="AB30511" s="5"/>
      <c r="AE30511" s="5"/>
      <c r="AH30511" s="5"/>
      <c r="AK30511" s="5"/>
    </row>
    <row r="30521" spans="25:37" x14ac:dyDescent="0.2">
      <c r="Y30521" s="251"/>
      <c r="AB30521" s="251"/>
      <c r="AE30521" s="251"/>
      <c r="AH30521" s="251"/>
      <c r="AK30521" s="251"/>
    </row>
    <row r="30636" spans="25:37" x14ac:dyDescent="0.2">
      <c r="Y30636" s="5"/>
      <c r="AB30636" s="5"/>
      <c r="AE30636" s="5"/>
      <c r="AH30636" s="5"/>
      <c r="AK30636" s="5"/>
    </row>
    <row r="30646" spans="25:37" x14ac:dyDescent="0.2">
      <c r="Y30646" s="251"/>
      <c r="AB30646" s="251"/>
      <c r="AE30646" s="251"/>
      <c r="AH30646" s="251"/>
      <c r="AK30646" s="251"/>
    </row>
    <row r="30761" spans="25:37" x14ac:dyDescent="0.2">
      <c r="Y30761" s="5"/>
      <c r="AB30761" s="5"/>
      <c r="AE30761" s="5"/>
      <c r="AH30761" s="5"/>
      <c r="AK30761" s="5"/>
    </row>
    <row r="30771" spans="25:37" x14ac:dyDescent="0.2">
      <c r="Y30771" s="251"/>
      <c r="AB30771" s="251"/>
      <c r="AE30771" s="251"/>
      <c r="AH30771" s="251"/>
      <c r="AK30771" s="251"/>
    </row>
    <row r="30886" spans="25:37" x14ac:dyDescent="0.2">
      <c r="Y30886" s="5"/>
      <c r="AB30886" s="5"/>
      <c r="AE30886" s="5"/>
      <c r="AH30886" s="5"/>
      <c r="AK30886" s="5"/>
    </row>
    <row r="30896" spans="25:37" x14ac:dyDescent="0.2">
      <c r="Y30896" s="251"/>
      <c r="AB30896" s="251"/>
      <c r="AE30896" s="251"/>
      <c r="AH30896" s="251"/>
      <c r="AK30896" s="251"/>
    </row>
    <row r="31011" spans="25:37" x14ac:dyDescent="0.2">
      <c r="Y31011" s="5"/>
      <c r="AB31011" s="5"/>
      <c r="AE31011" s="5"/>
      <c r="AH31011" s="5"/>
      <c r="AK31011" s="5"/>
    </row>
    <row r="31021" spans="25:37" x14ac:dyDescent="0.2">
      <c r="Y31021" s="251"/>
      <c r="AB31021" s="251"/>
      <c r="AE31021" s="251"/>
      <c r="AH31021" s="251"/>
      <c r="AK31021" s="251"/>
    </row>
    <row r="31136" spans="25:37" x14ac:dyDescent="0.2">
      <c r="Y31136" s="5"/>
      <c r="AB31136" s="5"/>
      <c r="AE31136" s="5"/>
      <c r="AH31136" s="5"/>
      <c r="AK31136" s="5"/>
    </row>
    <row r="31146" spans="25:37" x14ac:dyDescent="0.2">
      <c r="Y31146" s="251"/>
      <c r="AB31146" s="251"/>
      <c r="AE31146" s="251"/>
      <c r="AH31146" s="251"/>
      <c r="AK31146" s="251"/>
    </row>
    <row r="31261" spans="25:37" x14ac:dyDescent="0.2">
      <c r="Y31261" s="5"/>
      <c r="AB31261" s="5"/>
      <c r="AE31261" s="5"/>
      <c r="AH31261" s="5"/>
      <c r="AK31261" s="5"/>
    </row>
    <row r="31271" spans="25:37" x14ac:dyDescent="0.2">
      <c r="Y31271" s="251"/>
      <c r="AB31271" s="251"/>
      <c r="AE31271" s="251"/>
      <c r="AH31271" s="251"/>
      <c r="AK31271" s="251"/>
    </row>
    <row r="31386" spans="25:37" x14ac:dyDescent="0.2">
      <c r="Y31386" s="5"/>
      <c r="AB31386" s="5"/>
      <c r="AE31386" s="5"/>
      <c r="AH31386" s="5"/>
      <c r="AK31386" s="5"/>
    </row>
    <row r="31396" spans="25:37" x14ac:dyDescent="0.2">
      <c r="Y31396" s="251"/>
      <c r="AB31396" s="251"/>
      <c r="AE31396" s="251"/>
      <c r="AH31396" s="251"/>
      <c r="AK31396" s="251"/>
    </row>
    <row r="31511" spans="25:37" x14ac:dyDescent="0.2">
      <c r="Y31511" s="5"/>
      <c r="AB31511" s="5"/>
      <c r="AE31511" s="5"/>
      <c r="AH31511" s="5"/>
      <c r="AK31511" s="5"/>
    </row>
    <row r="31521" spans="25:37" x14ac:dyDescent="0.2">
      <c r="Y31521" s="251"/>
      <c r="AB31521" s="251"/>
      <c r="AE31521" s="251"/>
      <c r="AH31521" s="251"/>
      <c r="AK31521" s="251"/>
    </row>
    <row r="31636" spans="25:37" x14ac:dyDescent="0.2">
      <c r="Y31636" s="5"/>
      <c r="AB31636" s="5"/>
      <c r="AE31636" s="5"/>
      <c r="AH31636" s="5"/>
      <c r="AK31636" s="5"/>
    </row>
    <row r="31646" spans="25:37" x14ac:dyDescent="0.2">
      <c r="Y31646" s="251"/>
      <c r="AB31646" s="251"/>
      <c r="AE31646" s="251"/>
      <c r="AH31646" s="251"/>
      <c r="AK31646" s="251"/>
    </row>
    <row r="31761" spans="25:37" x14ac:dyDescent="0.2">
      <c r="Y31761" s="5"/>
      <c r="AB31761" s="5"/>
      <c r="AE31761" s="5"/>
      <c r="AH31761" s="5"/>
      <c r="AK31761" s="5"/>
    </row>
    <row r="31771" spans="25:37" x14ac:dyDescent="0.2">
      <c r="Y31771" s="251"/>
      <c r="AB31771" s="251"/>
      <c r="AE31771" s="251"/>
      <c r="AH31771" s="251"/>
      <c r="AK31771" s="251"/>
    </row>
    <row r="31886" spans="25:37" x14ac:dyDescent="0.2">
      <c r="Y31886" s="5"/>
      <c r="AB31886" s="5"/>
      <c r="AE31886" s="5"/>
      <c r="AH31886" s="5"/>
      <c r="AK31886" s="5"/>
    </row>
    <row r="31896" spans="25:37" x14ac:dyDescent="0.2">
      <c r="Y31896" s="251"/>
      <c r="AB31896" s="251"/>
      <c r="AE31896" s="251"/>
      <c r="AH31896" s="251"/>
      <c r="AK31896" s="251"/>
    </row>
    <row r="32011" spans="25:37" x14ac:dyDescent="0.2">
      <c r="Y32011" s="5"/>
      <c r="AB32011" s="5"/>
      <c r="AE32011" s="5"/>
      <c r="AH32011" s="5"/>
      <c r="AK32011" s="5"/>
    </row>
    <row r="32021" spans="25:37" x14ac:dyDescent="0.2">
      <c r="Y32021" s="251"/>
      <c r="AB32021" s="251"/>
      <c r="AE32021" s="251"/>
      <c r="AH32021" s="251"/>
      <c r="AK32021" s="251"/>
    </row>
    <row r="32136" spans="25:37" x14ac:dyDescent="0.2">
      <c r="Y32136" s="5"/>
      <c r="AB32136" s="5"/>
      <c r="AE32136" s="5"/>
      <c r="AH32136" s="5"/>
      <c r="AK32136" s="5"/>
    </row>
    <row r="32146" spans="25:37" x14ac:dyDescent="0.2">
      <c r="Y32146" s="251"/>
      <c r="AB32146" s="251"/>
      <c r="AE32146" s="251"/>
      <c r="AH32146" s="251"/>
      <c r="AK32146" s="251"/>
    </row>
    <row r="32261" spans="25:37" x14ac:dyDescent="0.2">
      <c r="Y32261" s="5"/>
      <c r="AB32261" s="5"/>
      <c r="AE32261" s="5"/>
      <c r="AH32261" s="5"/>
      <c r="AK32261" s="5"/>
    </row>
    <row r="32271" spans="25:37" x14ac:dyDescent="0.2">
      <c r="Y32271" s="251"/>
      <c r="AB32271" s="251"/>
      <c r="AE32271" s="251"/>
      <c r="AH32271" s="251"/>
      <c r="AK32271" s="251"/>
    </row>
    <row r="32386" spans="25:37" x14ac:dyDescent="0.2">
      <c r="Y32386" s="5"/>
      <c r="AB32386" s="5"/>
      <c r="AE32386" s="5"/>
      <c r="AH32386" s="5"/>
      <c r="AK32386" s="5"/>
    </row>
    <row r="32396" spans="25:37" x14ac:dyDescent="0.2">
      <c r="Y32396" s="251"/>
      <c r="AB32396" s="251"/>
      <c r="AE32396" s="251"/>
      <c r="AH32396" s="251"/>
      <c r="AK32396" s="251"/>
    </row>
    <row r="32511" spans="25:37" x14ac:dyDescent="0.2">
      <c r="Y32511" s="5"/>
      <c r="AB32511" s="5"/>
      <c r="AE32511" s="5"/>
      <c r="AH32511" s="5"/>
      <c r="AK32511" s="5"/>
    </row>
    <row r="32521" spans="25:37" x14ac:dyDescent="0.2">
      <c r="Y32521" s="251"/>
      <c r="AB32521" s="251"/>
      <c r="AE32521" s="251"/>
      <c r="AH32521" s="251"/>
      <c r="AK32521" s="251"/>
    </row>
    <row r="32636" spans="25:37" x14ac:dyDescent="0.2">
      <c r="Y32636" s="5"/>
      <c r="AB32636" s="5"/>
      <c r="AE32636" s="5"/>
      <c r="AH32636" s="5"/>
      <c r="AK32636" s="5"/>
    </row>
    <row r="32646" spans="25:37" x14ac:dyDescent="0.2">
      <c r="Y32646" s="251"/>
      <c r="AB32646" s="251"/>
      <c r="AE32646" s="251"/>
      <c r="AH32646" s="251"/>
      <c r="AK32646" s="251"/>
    </row>
    <row r="32761" spans="25:37" x14ac:dyDescent="0.2">
      <c r="Y32761" s="5"/>
      <c r="AB32761" s="5"/>
      <c r="AE32761" s="5"/>
      <c r="AH32761" s="5"/>
      <c r="AK32761" s="5"/>
    </row>
    <row r="32771" spans="25:37" x14ac:dyDescent="0.2">
      <c r="Y32771" s="251"/>
      <c r="AB32771" s="251"/>
      <c r="AE32771" s="251"/>
      <c r="AH32771" s="251"/>
      <c r="AK32771" s="251"/>
    </row>
    <row r="32886" spans="25:37" x14ac:dyDescent="0.2">
      <c r="Y32886" s="5"/>
      <c r="AB32886" s="5"/>
      <c r="AE32886" s="5"/>
      <c r="AH32886" s="5"/>
      <c r="AK32886" s="5"/>
    </row>
    <row r="32896" spans="25:37" x14ac:dyDescent="0.2">
      <c r="Y32896" s="251"/>
      <c r="AB32896" s="251"/>
      <c r="AE32896" s="251"/>
      <c r="AH32896" s="251"/>
      <c r="AK32896" s="251"/>
    </row>
    <row r="33011" spans="25:37" x14ac:dyDescent="0.2">
      <c r="Y33011" s="5"/>
      <c r="AB33011" s="5"/>
      <c r="AE33011" s="5"/>
      <c r="AH33011" s="5"/>
      <c r="AK33011" s="5"/>
    </row>
    <row r="33021" spans="25:37" x14ac:dyDescent="0.2">
      <c r="Y33021" s="251"/>
      <c r="AB33021" s="251"/>
      <c r="AE33021" s="251"/>
      <c r="AH33021" s="251"/>
      <c r="AK33021" s="251"/>
    </row>
    <row r="33136" spans="25:37" x14ac:dyDescent="0.2">
      <c r="Y33136" s="5"/>
      <c r="AB33136" s="5"/>
      <c r="AE33136" s="5"/>
      <c r="AH33136" s="5"/>
      <c r="AK33136" s="5"/>
    </row>
    <row r="33146" spans="25:37" x14ac:dyDescent="0.2">
      <c r="Y33146" s="251"/>
      <c r="AB33146" s="251"/>
      <c r="AE33146" s="251"/>
      <c r="AH33146" s="251"/>
      <c r="AK33146" s="251"/>
    </row>
    <row r="33261" spans="25:37" x14ac:dyDescent="0.2">
      <c r="Y33261" s="5"/>
      <c r="AB33261" s="5"/>
      <c r="AE33261" s="5"/>
      <c r="AH33261" s="5"/>
      <c r="AK33261" s="5"/>
    </row>
    <row r="33271" spans="25:37" x14ac:dyDescent="0.2">
      <c r="Y33271" s="251"/>
      <c r="AB33271" s="251"/>
      <c r="AE33271" s="251"/>
      <c r="AH33271" s="251"/>
      <c r="AK33271" s="251"/>
    </row>
    <row r="33386" spans="25:37" x14ac:dyDescent="0.2">
      <c r="Y33386" s="5"/>
      <c r="AB33386" s="5"/>
      <c r="AE33386" s="5"/>
      <c r="AH33386" s="5"/>
      <c r="AK33386" s="5"/>
    </row>
    <row r="33396" spans="25:37" x14ac:dyDescent="0.2">
      <c r="Y33396" s="251"/>
      <c r="AB33396" s="251"/>
      <c r="AE33396" s="251"/>
      <c r="AH33396" s="251"/>
      <c r="AK33396" s="251"/>
    </row>
    <row r="33511" spans="25:37" x14ac:dyDescent="0.2">
      <c r="Y33511" s="5"/>
      <c r="AB33511" s="5"/>
      <c r="AE33511" s="5"/>
      <c r="AH33511" s="5"/>
      <c r="AK33511" s="5"/>
    </row>
    <row r="33521" spans="25:37" x14ac:dyDescent="0.2">
      <c r="Y33521" s="251"/>
      <c r="AB33521" s="251"/>
      <c r="AE33521" s="251"/>
      <c r="AH33521" s="251"/>
      <c r="AK33521" s="251"/>
    </row>
    <row r="33636" spans="25:37" x14ac:dyDescent="0.2">
      <c r="Y33636" s="5"/>
      <c r="AB33636" s="5"/>
      <c r="AE33636" s="5"/>
      <c r="AH33636" s="5"/>
      <c r="AK33636" s="5"/>
    </row>
    <row r="33646" spans="25:37" x14ac:dyDescent="0.2">
      <c r="Y33646" s="251"/>
      <c r="AB33646" s="251"/>
      <c r="AE33646" s="251"/>
      <c r="AH33646" s="251"/>
      <c r="AK33646" s="251"/>
    </row>
    <row r="33761" spans="25:37" x14ac:dyDescent="0.2">
      <c r="Y33761" s="5"/>
      <c r="AB33761" s="5"/>
      <c r="AE33761" s="5"/>
      <c r="AH33761" s="5"/>
      <c r="AK33761" s="5"/>
    </row>
    <row r="33771" spans="25:37" x14ac:dyDescent="0.2">
      <c r="Y33771" s="251"/>
      <c r="AB33771" s="251"/>
      <c r="AE33771" s="251"/>
      <c r="AH33771" s="251"/>
      <c r="AK33771" s="251"/>
    </row>
    <row r="33886" spans="25:37" x14ac:dyDescent="0.2">
      <c r="Y33886" s="5"/>
      <c r="AB33886" s="5"/>
      <c r="AE33886" s="5"/>
      <c r="AH33886" s="5"/>
      <c r="AK33886" s="5"/>
    </row>
    <row r="33896" spans="25:37" x14ac:dyDescent="0.2">
      <c r="Y33896" s="251"/>
      <c r="AB33896" s="251"/>
      <c r="AE33896" s="251"/>
      <c r="AH33896" s="251"/>
      <c r="AK33896" s="251"/>
    </row>
    <row r="34011" spans="25:37" x14ac:dyDescent="0.2">
      <c r="Y34011" s="5"/>
      <c r="AB34011" s="5"/>
      <c r="AE34011" s="5"/>
      <c r="AH34011" s="5"/>
      <c r="AK34011" s="5"/>
    </row>
    <row r="34021" spans="25:37" x14ac:dyDescent="0.2">
      <c r="Y34021" s="251"/>
      <c r="AB34021" s="251"/>
      <c r="AE34021" s="251"/>
      <c r="AH34021" s="251"/>
      <c r="AK34021" s="251"/>
    </row>
    <row r="34136" spans="25:37" x14ac:dyDescent="0.2">
      <c r="Y34136" s="5"/>
      <c r="AB34136" s="5"/>
      <c r="AE34136" s="5"/>
      <c r="AH34136" s="5"/>
      <c r="AK34136" s="5"/>
    </row>
    <row r="34146" spans="25:37" x14ac:dyDescent="0.2">
      <c r="Y34146" s="251"/>
      <c r="AB34146" s="251"/>
      <c r="AE34146" s="251"/>
      <c r="AH34146" s="251"/>
      <c r="AK34146" s="251"/>
    </row>
    <row r="34261" spans="25:37" x14ac:dyDescent="0.2">
      <c r="Y34261" s="5"/>
      <c r="AB34261" s="5"/>
      <c r="AE34261" s="5"/>
      <c r="AH34261" s="5"/>
      <c r="AK34261" s="5"/>
    </row>
    <row r="34271" spans="25:37" x14ac:dyDescent="0.2">
      <c r="Y34271" s="251"/>
      <c r="AB34271" s="251"/>
      <c r="AE34271" s="251"/>
      <c r="AH34271" s="251"/>
      <c r="AK34271" s="251"/>
    </row>
    <row r="34386" spans="25:37" x14ac:dyDescent="0.2">
      <c r="Y34386" s="5"/>
      <c r="AB34386" s="5"/>
      <c r="AE34386" s="5"/>
      <c r="AH34386" s="5"/>
      <c r="AK34386" s="5"/>
    </row>
    <row r="34396" spans="25:37" x14ac:dyDescent="0.2">
      <c r="Y34396" s="251"/>
      <c r="AB34396" s="251"/>
      <c r="AE34396" s="251"/>
      <c r="AH34396" s="251"/>
      <c r="AK34396" s="251"/>
    </row>
    <row r="34511" spans="25:37" x14ac:dyDescent="0.2">
      <c r="Y34511" s="5"/>
      <c r="AB34511" s="5"/>
      <c r="AE34511" s="5"/>
      <c r="AH34511" s="5"/>
      <c r="AK34511" s="5"/>
    </row>
    <row r="34521" spans="25:37" x14ac:dyDescent="0.2">
      <c r="Y34521" s="251"/>
      <c r="AB34521" s="251"/>
      <c r="AE34521" s="251"/>
      <c r="AH34521" s="251"/>
      <c r="AK34521" s="251"/>
    </row>
    <row r="34636" spans="25:37" x14ac:dyDescent="0.2">
      <c r="Y34636" s="5"/>
      <c r="AB34636" s="5"/>
      <c r="AE34636" s="5"/>
      <c r="AH34636" s="5"/>
      <c r="AK34636" s="5"/>
    </row>
    <row r="34646" spans="25:37" x14ac:dyDescent="0.2">
      <c r="Y34646" s="251"/>
      <c r="AB34646" s="251"/>
      <c r="AE34646" s="251"/>
      <c r="AH34646" s="251"/>
      <c r="AK34646" s="251"/>
    </row>
    <row r="34761" spans="25:37" x14ac:dyDescent="0.2">
      <c r="Y34761" s="5"/>
      <c r="AB34761" s="5"/>
      <c r="AE34761" s="5"/>
      <c r="AH34761" s="5"/>
      <c r="AK34761" s="5"/>
    </row>
    <row r="34771" spans="25:37" x14ac:dyDescent="0.2">
      <c r="Y34771" s="251"/>
      <c r="AB34771" s="251"/>
      <c r="AE34771" s="251"/>
      <c r="AH34771" s="251"/>
      <c r="AK34771" s="251"/>
    </row>
    <row r="34886" spans="25:37" x14ac:dyDescent="0.2">
      <c r="Y34886" s="5"/>
      <c r="AB34886" s="5"/>
      <c r="AE34886" s="5"/>
      <c r="AH34886" s="5"/>
      <c r="AK34886" s="5"/>
    </row>
    <row r="34896" spans="25:37" x14ac:dyDescent="0.2">
      <c r="Y34896" s="251"/>
      <c r="AB34896" s="251"/>
      <c r="AE34896" s="251"/>
      <c r="AH34896" s="251"/>
      <c r="AK34896" s="251"/>
    </row>
    <row r="35011" spans="25:37" x14ac:dyDescent="0.2">
      <c r="Y35011" s="5"/>
      <c r="AB35011" s="5"/>
      <c r="AE35011" s="5"/>
      <c r="AH35011" s="5"/>
      <c r="AK35011" s="5"/>
    </row>
    <row r="35021" spans="25:37" x14ac:dyDescent="0.2">
      <c r="Y35021" s="251"/>
      <c r="AB35021" s="251"/>
      <c r="AE35021" s="251"/>
      <c r="AH35021" s="251"/>
      <c r="AK35021" s="251"/>
    </row>
    <row r="35136" spans="25:37" x14ac:dyDescent="0.2">
      <c r="Y35136" s="5"/>
      <c r="AB35136" s="5"/>
      <c r="AE35136" s="5"/>
      <c r="AH35136" s="5"/>
      <c r="AK35136" s="5"/>
    </row>
    <row r="35146" spans="25:37" x14ac:dyDescent="0.2">
      <c r="Y35146" s="251"/>
      <c r="AB35146" s="251"/>
      <c r="AE35146" s="251"/>
      <c r="AH35146" s="251"/>
      <c r="AK35146" s="251"/>
    </row>
    <row r="35261" spans="25:37" x14ac:dyDescent="0.2">
      <c r="Y35261" s="5"/>
      <c r="AB35261" s="5"/>
      <c r="AE35261" s="5"/>
      <c r="AH35261" s="5"/>
      <c r="AK35261" s="5"/>
    </row>
    <row r="35271" spans="25:37" x14ac:dyDescent="0.2">
      <c r="Y35271" s="251"/>
      <c r="AB35271" s="251"/>
      <c r="AE35271" s="251"/>
      <c r="AH35271" s="251"/>
      <c r="AK35271" s="251"/>
    </row>
    <row r="35386" spans="25:37" x14ac:dyDescent="0.2">
      <c r="Y35386" s="5"/>
      <c r="AB35386" s="5"/>
      <c r="AE35386" s="5"/>
      <c r="AH35386" s="5"/>
      <c r="AK35386" s="5"/>
    </row>
    <row r="35396" spans="25:37" x14ac:dyDescent="0.2">
      <c r="Y35396" s="251"/>
      <c r="AB35396" s="251"/>
      <c r="AE35396" s="251"/>
      <c r="AH35396" s="251"/>
      <c r="AK35396" s="251"/>
    </row>
    <row r="35511" spans="25:37" x14ac:dyDescent="0.2">
      <c r="Y35511" s="5"/>
      <c r="AB35511" s="5"/>
      <c r="AE35511" s="5"/>
      <c r="AH35511" s="5"/>
      <c r="AK35511" s="5"/>
    </row>
    <row r="35521" spans="25:37" x14ac:dyDescent="0.2">
      <c r="Y35521" s="251"/>
      <c r="AB35521" s="251"/>
      <c r="AE35521" s="251"/>
      <c r="AH35521" s="251"/>
      <c r="AK35521" s="251"/>
    </row>
    <row r="35636" spans="25:37" x14ac:dyDescent="0.2">
      <c r="Y35636" s="5"/>
      <c r="AB35636" s="5"/>
      <c r="AE35636" s="5"/>
      <c r="AH35636" s="5"/>
      <c r="AK35636" s="5"/>
    </row>
    <row r="35646" spans="25:37" x14ac:dyDescent="0.2">
      <c r="Y35646" s="251"/>
      <c r="AB35646" s="251"/>
      <c r="AE35646" s="251"/>
      <c r="AH35646" s="251"/>
      <c r="AK35646" s="251"/>
    </row>
    <row r="35761" spans="25:37" x14ac:dyDescent="0.2">
      <c r="Y35761" s="5"/>
      <c r="AB35761" s="5"/>
      <c r="AE35761" s="5"/>
      <c r="AH35761" s="5"/>
      <c r="AK35761" s="5"/>
    </row>
    <row r="35771" spans="25:37" x14ac:dyDescent="0.2">
      <c r="Y35771" s="251"/>
      <c r="AB35771" s="251"/>
      <c r="AE35771" s="251"/>
      <c r="AH35771" s="251"/>
      <c r="AK35771" s="251"/>
    </row>
    <row r="35886" spans="25:37" x14ac:dyDescent="0.2">
      <c r="Y35886" s="5"/>
      <c r="AB35886" s="5"/>
      <c r="AE35886" s="5"/>
      <c r="AH35886" s="5"/>
      <c r="AK35886" s="5"/>
    </row>
    <row r="35896" spans="25:37" x14ac:dyDescent="0.2">
      <c r="Y35896" s="251"/>
      <c r="AB35896" s="251"/>
      <c r="AE35896" s="251"/>
      <c r="AH35896" s="251"/>
      <c r="AK35896" s="251"/>
    </row>
    <row r="36011" spans="25:37" x14ac:dyDescent="0.2">
      <c r="Y36011" s="5"/>
      <c r="AB36011" s="5"/>
      <c r="AE36011" s="5"/>
      <c r="AH36011" s="5"/>
      <c r="AK36011" s="5"/>
    </row>
    <row r="36021" spans="25:37" x14ac:dyDescent="0.2">
      <c r="Y36021" s="251"/>
      <c r="AB36021" s="251"/>
      <c r="AE36021" s="251"/>
      <c r="AH36021" s="251"/>
      <c r="AK36021" s="251"/>
    </row>
    <row r="36136" spans="25:37" x14ac:dyDescent="0.2">
      <c r="Y36136" s="5"/>
      <c r="AB36136" s="5"/>
      <c r="AE36136" s="5"/>
      <c r="AH36136" s="5"/>
      <c r="AK36136" s="5"/>
    </row>
    <row r="36146" spans="25:37" x14ac:dyDescent="0.2">
      <c r="Y36146" s="251"/>
      <c r="AB36146" s="251"/>
      <c r="AE36146" s="251"/>
      <c r="AH36146" s="251"/>
      <c r="AK36146" s="251"/>
    </row>
    <row r="36261" spans="25:37" x14ac:dyDescent="0.2">
      <c r="Y36261" s="5"/>
      <c r="AB36261" s="5"/>
      <c r="AE36261" s="5"/>
      <c r="AH36261" s="5"/>
      <c r="AK36261" s="5"/>
    </row>
    <row r="36271" spans="25:37" x14ac:dyDescent="0.2">
      <c r="Y36271" s="251"/>
      <c r="AB36271" s="251"/>
      <c r="AE36271" s="251"/>
      <c r="AH36271" s="251"/>
      <c r="AK36271" s="251"/>
    </row>
    <row r="36386" spans="25:37" x14ac:dyDescent="0.2">
      <c r="Y36386" s="5"/>
      <c r="AB36386" s="5"/>
      <c r="AE36386" s="5"/>
      <c r="AH36386" s="5"/>
      <c r="AK36386" s="5"/>
    </row>
    <row r="36396" spans="25:37" x14ac:dyDescent="0.2">
      <c r="Y36396" s="251"/>
      <c r="AB36396" s="251"/>
      <c r="AE36396" s="251"/>
      <c r="AH36396" s="251"/>
      <c r="AK36396" s="251"/>
    </row>
    <row r="36511" spans="25:37" x14ac:dyDescent="0.2">
      <c r="Y36511" s="5"/>
      <c r="AB36511" s="5"/>
      <c r="AE36511" s="5"/>
      <c r="AH36511" s="5"/>
      <c r="AK36511" s="5"/>
    </row>
    <row r="36521" spans="25:37" x14ac:dyDescent="0.2">
      <c r="Y36521" s="251"/>
      <c r="AB36521" s="251"/>
      <c r="AE36521" s="251"/>
      <c r="AH36521" s="251"/>
      <c r="AK36521" s="251"/>
    </row>
    <row r="36636" spans="25:37" x14ac:dyDescent="0.2">
      <c r="Y36636" s="5"/>
      <c r="AB36636" s="5"/>
      <c r="AE36636" s="5"/>
      <c r="AH36636" s="5"/>
      <c r="AK36636" s="5"/>
    </row>
    <row r="36646" spans="25:37" x14ac:dyDescent="0.2">
      <c r="Y36646" s="251"/>
      <c r="AB36646" s="251"/>
      <c r="AE36646" s="251"/>
      <c r="AH36646" s="251"/>
      <c r="AK36646" s="251"/>
    </row>
    <row r="36761" spans="25:37" x14ac:dyDescent="0.2">
      <c r="Y36761" s="5"/>
      <c r="AB36761" s="5"/>
      <c r="AE36761" s="5"/>
      <c r="AH36761" s="5"/>
      <c r="AK36761" s="5"/>
    </row>
    <row r="36771" spans="25:37" x14ac:dyDescent="0.2">
      <c r="Y36771" s="251"/>
      <c r="AB36771" s="251"/>
      <c r="AE36771" s="251"/>
      <c r="AH36771" s="251"/>
      <c r="AK36771" s="251"/>
    </row>
    <row r="36886" spans="25:37" x14ac:dyDescent="0.2">
      <c r="Y36886" s="5"/>
      <c r="AB36886" s="5"/>
      <c r="AE36886" s="5"/>
      <c r="AH36886" s="5"/>
      <c r="AK36886" s="5"/>
    </row>
    <row r="36896" spans="25:37" x14ac:dyDescent="0.2">
      <c r="Y36896" s="251"/>
      <c r="AB36896" s="251"/>
      <c r="AE36896" s="251"/>
      <c r="AH36896" s="251"/>
      <c r="AK36896" s="251"/>
    </row>
    <row r="37011" spans="25:37" x14ac:dyDescent="0.2">
      <c r="Y37011" s="5"/>
      <c r="AB37011" s="5"/>
      <c r="AE37011" s="5"/>
      <c r="AH37011" s="5"/>
      <c r="AK37011" s="5"/>
    </row>
    <row r="37021" spans="25:37" x14ac:dyDescent="0.2">
      <c r="Y37021" s="251"/>
      <c r="AB37021" s="251"/>
      <c r="AE37021" s="251"/>
      <c r="AH37021" s="251"/>
      <c r="AK37021" s="251"/>
    </row>
    <row r="37136" spans="25:37" x14ac:dyDescent="0.2">
      <c r="Y37136" s="5"/>
      <c r="AB37136" s="5"/>
      <c r="AE37136" s="5"/>
      <c r="AH37136" s="5"/>
      <c r="AK37136" s="5"/>
    </row>
    <row r="37146" spans="25:37" x14ac:dyDescent="0.2">
      <c r="Y37146" s="251"/>
      <c r="AB37146" s="251"/>
      <c r="AE37146" s="251"/>
      <c r="AH37146" s="251"/>
      <c r="AK37146" s="251"/>
    </row>
    <row r="37261" spans="25:37" x14ac:dyDescent="0.2">
      <c r="Y37261" s="5"/>
      <c r="AB37261" s="5"/>
      <c r="AE37261" s="5"/>
      <c r="AH37261" s="5"/>
      <c r="AK37261" s="5"/>
    </row>
    <row r="37271" spans="25:37" x14ac:dyDescent="0.2">
      <c r="Y37271" s="251"/>
      <c r="AB37271" s="251"/>
      <c r="AE37271" s="251"/>
      <c r="AH37271" s="251"/>
      <c r="AK37271" s="251"/>
    </row>
    <row r="37386" spans="25:37" x14ac:dyDescent="0.2">
      <c r="Y37386" s="5"/>
      <c r="AB37386" s="5"/>
      <c r="AE37386" s="5"/>
      <c r="AH37386" s="5"/>
      <c r="AK37386" s="5"/>
    </row>
    <row r="37396" spans="25:37" x14ac:dyDescent="0.2">
      <c r="Y37396" s="251"/>
      <c r="AB37396" s="251"/>
      <c r="AE37396" s="251"/>
      <c r="AH37396" s="251"/>
      <c r="AK37396" s="251"/>
    </row>
    <row r="37511" spans="25:37" x14ac:dyDescent="0.2">
      <c r="Y37511" s="5"/>
      <c r="AB37511" s="5"/>
      <c r="AE37511" s="5"/>
      <c r="AH37511" s="5"/>
      <c r="AK37511" s="5"/>
    </row>
    <row r="37521" spans="25:37" x14ac:dyDescent="0.2">
      <c r="Y37521" s="251"/>
      <c r="AB37521" s="251"/>
      <c r="AE37521" s="251"/>
      <c r="AH37521" s="251"/>
      <c r="AK37521" s="251"/>
    </row>
    <row r="37636" spans="25:37" x14ac:dyDescent="0.2">
      <c r="Y37636" s="5"/>
      <c r="AB37636" s="5"/>
      <c r="AE37636" s="5"/>
      <c r="AH37636" s="5"/>
      <c r="AK37636" s="5"/>
    </row>
    <row r="37646" spans="25:37" x14ac:dyDescent="0.2">
      <c r="Y37646" s="251"/>
      <c r="AB37646" s="251"/>
      <c r="AE37646" s="251"/>
      <c r="AH37646" s="251"/>
      <c r="AK37646" s="251"/>
    </row>
    <row r="37761" spans="25:37" x14ac:dyDescent="0.2">
      <c r="Y37761" s="5"/>
      <c r="AB37761" s="5"/>
      <c r="AE37761" s="5"/>
      <c r="AH37761" s="5"/>
      <c r="AK37761" s="5"/>
    </row>
    <row r="37771" spans="25:37" x14ac:dyDescent="0.2">
      <c r="Y37771" s="251"/>
      <c r="AB37771" s="251"/>
      <c r="AE37771" s="251"/>
      <c r="AH37771" s="251"/>
      <c r="AK37771" s="251"/>
    </row>
    <row r="37886" spans="25:37" x14ac:dyDescent="0.2">
      <c r="Y37886" s="5"/>
      <c r="AB37886" s="5"/>
      <c r="AE37886" s="5"/>
      <c r="AH37886" s="5"/>
      <c r="AK37886" s="5"/>
    </row>
    <row r="37896" spans="25:37" x14ac:dyDescent="0.2">
      <c r="Y37896" s="251"/>
      <c r="AB37896" s="251"/>
      <c r="AE37896" s="251"/>
      <c r="AH37896" s="251"/>
      <c r="AK37896" s="251"/>
    </row>
    <row r="38011" spans="25:37" x14ac:dyDescent="0.2">
      <c r="Y38011" s="5"/>
      <c r="AB38011" s="5"/>
      <c r="AE38011" s="5"/>
      <c r="AH38011" s="5"/>
      <c r="AK38011" s="5"/>
    </row>
    <row r="38021" spans="25:37" x14ac:dyDescent="0.2">
      <c r="Y38021" s="251"/>
      <c r="AB38021" s="251"/>
      <c r="AE38021" s="251"/>
      <c r="AH38021" s="251"/>
      <c r="AK38021" s="251"/>
    </row>
    <row r="38136" spans="25:37" x14ac:dyDescent="0.2">
      <c r="Y38136" s="5"/>
      <c r="AB38136" s="5"/>
      <c r="AE38136" s="5"/>
      <c r="AH38136" s="5"/>
      <c r="AK38136" s="5"/>
    </row>
    <row r="38146" spans="25:37" x14ac:dyDescent="0.2">
      <c r="Y38146" s="251"/>
      <c r="AB38146" s="251"/>
      <c r="AE38146" s="251"/>
      <c r="AH38146" s="251"/>
      <c r="AK38146" s="251"/>
    </row>
    <row r="38261" spans="25:37" x14ac:dyDescent="0.2">
      <c r="Y38261" s="5"/>
      <c r="AB38261" s="5"/>
      <c r="AE38261" s="5"/>
      <c r="AH38261" s="5"/>
      <c r="AK38261" s="5"/>
    </row>
    <row r="38271" spans="25:37" x14ac:dyDescent="0.2">
      <c r="Y38271" s="251"/>
      <c r="AB38271" s="251"/>
      <c r="AE38271" s="251"/>
      <c r="AH38271" s="251"/>
      <c r="AK38271" s="251"/>
    </row>
    <row r="38386" spans="25:37" x14ac:dyDescent="0.2">
      <c r="Y38386" s="5"/>
      <c r="AB38386" s="5"/>
      <c r="AE38386" s="5"/>
      <c r="AH38386" s="5"/>
      <c r="AK38386" s="5"/>
    </row>
    <row r="38396" spans="25:37" x14ac:dyDescent="0.2">
      <c r="Y38396" s="251"/>
      <c r="AB38396" s="251"/>
      <c r="AE38396" s="251"/>
      <c r="AH38396" s="251"/>
      <c r="AK38396" s="251"/>
    </row>
    <row r="38511" spans="25:37" x14ac:dyDescent="0.2">
      <c r="Y38511" s="5"/>
      <c r="AB38511" s="5"/>
      <c r="AE38511" s="5"/>
      <c r="AH38511" s="5"/>
      <c r="AK38511" s="5"/>
    </row>
    <row r="38521" spans="25:37" x14ac:dyDescent="0.2">
      <c r="Y38521" s="251"/>
      <c r="AB38521" s="251"/>
      <c r="AE38521" s="251"/>
      <c r="AH38521" s="251"/>
      <c r="AK38521" s="251"/>
    </row>
    <row r="38636" spans="25:37" x14ac:dyDescent="0.2">
      <c r="Y38636" s="5"/>
      <c r="AB38636" s="5"/>
      <c r="AE38636" s="5"/>
      <c r="AH38636" s="5"/>
      <c r="AK38636" s="5"/>
    </row>
    <row r="38646" spans="25:37" x14ac:dyDescent="0.2">
      <c r="Y38646" s="251"/>
      <c r="AB38646" s="251"/>
      <c r="AE38646" s="251"/>
      <c r="AH38646" s="251"/>
      <c r="AK38646" s="251"/>
    </row>
    <row r="38761" spans="25:37" x14ac:dyDescent="0.2">
      <c r="Y38761" s="5"/>
      <c r="AB38761" s="5"/>
      <c r="AE38761" s="5"/>
      <c r="AH38761" s="5"/>
      <c r="AK38761" s="5"/>
    </row>
    <row r="38771" spans="25:37" x14ac:dyDescent="0.2">
      <c r="Y38771" s="251"/>
      <c r="AB38771" s="251"/>
      <c r="AE38771" s="251"/>
      <c r="AH38771" s="251"/>
      <c r="AK38771" s="251"/>
    </row>
    <row r="38886" spans="25:37" x14ac:dyDescent="0.2">
      <c r="Y38886" s="5"/>
      <c r="AB38886" s="5"/>
      <c r="AE38886" s="5"/>
      <c r="AH38886" s="5"/>
      <c r="AK38886" s="5"/>
    </row>
    <row r="38896" spans="25:37" x14ac:dyDescent="0.2">
      <c r="Y38896" s="251"/>
      <c r="AB38896" s="251"/>
      <c r="AE38896" s="251"/>
      <c r="AH38896" s="251"/>
      <c r="AK38896" s="251"/>
    </row>
    <row r="39011" spans="25:37" x14ac:dyDescent="0.2">
      <c r="Y39011" s="5"/>
      <c r="AB39011" s="5"/>
      <c r="AE39011" s="5"/>
      <c r="AH39011" s="5"/>
      <c r="AK39011" s="5"/>
    </row>
    <row r="39021" spans="25:37" x14ac:dyDescent="0.2">
      <c r="Y39021" s="251"/>
      <c r="AB39021" s="251"/>
      <c r="AE39021" s="251"/>
      <c r="AH39021" s="251"/>
      <c r="AK39021" s="251"/>
    </row>
    <row r="39136" spans="25:37" x14ac:dyDescent="0.2">
      <c r="Y39136" s="5"/>
      <c r="AB39136" s="5"/>
      <c r="AE39136" s="5"/>
      <c r="AH39136" s="5"/>
      <c r="AK39136" s="5"/>
    </row>
    <row r="39146" spans="25:37" x14ac:dyDescent="0.2">
      <c r="Y39146" s="251"/>
      <c r="AB39146" s="251"/>
      <c r="AE39146" s="251"/>
      <c r="AH39146" s="251"/>
      <c r="AK39146" s="251"/>
    </row>
    <row r="39261" spans="25:37" x14ac:dyDescent="0.2">
      <c r="Y39261" s="5"/>
      <c r="AB39261" s="5"/>
      <c r="AE39261" s="5"/>
      <c r="AH39261" s="5"/>
      <c r="AK39261" s="5"/>
    </row>
    <row r="39271" spans="25:37" x14ac:dyDescent="0.2">
      <c r="Y39271" s="251"/>
      <c r="AB39271" s="251"/>
      <c r="AE39271" s="251"/>
      <c r="AH39271" s="251"/>
      <c r="AK39271" s="251"/>
    </row>
    <row r="39386" spans="25:37" x14ac:dyDescent="0.2">
      <c r="Y39386" s="5"/>
      <c r="AB39386" s="5"/>
      <c r="AE39386" s="5"/>
      <c r="AH39386" s="5"/>
      <c r="AK39386" s="5"/>
    </row>
    <row r="39396" spans="25:37" x14ac:dyDescent="0.2">
      <c r="Y39396" s="251"/>
      <c r="AB39396" s="251"/>
      <c r="AE39396" s="251"/>
      <c r="AH39396" s="251"/>
      <c r="AK39396" s="251"/>
    </row>
    <row r="39511" spans="25:37" x14ac:dyDescent="0.2">
      <c r="Y39511" s="5"/>
      <c r="AB39511" s="5"/>
      <c r="AE39511" s="5"/>
      <c r="AH39511" s="5"/>
      <c r="AK39511" s="5"/>
    </row>
    <row r="39521" spans="25:37" x14ac:dyDescent="0.2">
      <c r="Y39521" s="251"/>
      <c r="AB39521" s="251"/>
      <c r="AE39521" s="251"/>
      <c r="AH39521" s="251"/>
      <c r="AK39521" s="251"/>
    </row>
    <row r="39636" spans="25:37" x14ac:dyDescent="0.2">
      <c r="Y39636" s="5"/>
      <c r="AB39636" s="5"/>
      <c r="AE39636" s="5"/>
      <c r="AH39636" s="5"/>
      <c r="AK39636" s="5"/>
    </row>
    <row r="39646" spans="25:37" x14ac:dyDescent="0.2">
      <c r="Y39646" s="251"/>
      <c r="AB39646" s="251"/>
      <c r="AE39646" s="251"/>
      <c r="AH39646" s="251"/>
      <c r="AK39646" s="251"/>
    </row>
    <row r="39761" spans="25:37" x14ac:dyDescent="0.2">
      <c r="Y39761" s="5"/>
      <c r="AB39761" s="5"/>
      <c r="AE39761" s="5"/>
      <c r="AH39761" s="5"/>
      <c r="AK39761" s="5"/>
    </row>
    <row r="39771" spans="25:37" x14ac:dyDescent="0.2">
      <c r="Y39771" s="251"/>
      <c r="AB39771" s="251"/>
      <c r="AE39771" s="251"/>
      <c r="AH39771" s="251"/>
      <c r="AK39771" s="251"/>
    </row>
    <row r="39886" spans="25:37" x14ac:dyDescent="0.2">
      <c r="Y39886" s="5"/>
      <c r="AB39886" s="5"/>
      <c r="AE39886" s="5"/>
      <c r="AH39886" s="5"/>
      <c r="AK39886" s="5"/>
    </row>
    <row r="39896" spans="25:37" x14ac:dyDescent="0.2">
      <c r="Y39896" s="251"/>
      <c r="AB39896" s="251"/>
      <c r="AE39896" s="251"/>
      <c r="AH39896" s="251"/>
      <c r="AK39896" s="251"/>
    </row>
    <row r="40011" spans="25:37" x14ac:dyDescent="0.2">
      <c r="Y40011" s="5"/>
      <c r="AB40011" s="5"/>
      <c r="AE40011" s="5"/>
      <c r="AH40011" s="5"/>
      <c r="AK40011" s="5"/>
    </row>
    <row r="40021" spans="25:37" x14ac:dyDescent="0.2">
      <c r="Y40021" s="251"/>
      <c r="AB40021" s="251"/>
      <c r="AE40021" s="251"/>
      <c r="AH40021" s="251"/>
      <c r="AK40021" s="251"/>
    </row>
    <row r="40136" spans="25:37" x14ac:dyDescent="0.2">
      <c r="Y40136" s="5"/>
      <c r="AB40136" s="5"/>
      <c r="AE40136" s="5"/>
      <c r="AH40136" s="5"/>
      <c r="AK40136" s="5"/>
    </row>
    <row r="40146" spans="25:37" x14ac:dyDescent="0.2">
      <c r="Y40146" s="251"/>
      <c r="AB40146" s="251"/>
      <c r="AE40146" s="251"/>
      <c r="AH40146" s="251"/>
      <c r="AK40146" s="251"/>
    </row>
    <row r="40261" spans="25:37" x14ac:dyDescent="0.2">
      <c r="Y40261" s="5"/>
      <c r="AB40261" s="5"/>
      <c r="AE40261" s="5"/>
      <c r="AH40261" s="5"/>
      <c r="AK40261" s="5"/>
    </row>
    <row r="40271" spans="25:37" x14ac:dyDescent="0.2">
      <c r="Y40271" s="251"/>
      <c r="AB40271" s="251"/>
      <c r="AE40271" s="251"/>
      <c r="AH40271" s="251"/>
      <c r="AK40271" s="251"/>
    </row>
    <row r="40386" spans="25:37" x14ac:dyDescent="0.2">
      <c r="Y40386" s="5"/>
      <c r="AB40386" s="5"/>
      <c r="AE40386" s="5"/>
      <c r="AH40386" s="5"/>
      <c r="AK40386" s="5"/>
    </row>
    <row r="40396" spans="25:37" x14ac:dyDescent="0.2">
      <c r="Y40396" s="251"/>
      <c r="AB40396" s="251"/>
      <c r="AE40396" s="251"/>
      <c r="AH40396" s="251"/>
      <c r="AK40396" s="251"/>
    </row>
    <row r="40511" spans="25:37" x14ac:dyDescent="0.2">
      <c r="Y40511" s="5"/>
      <c r="AB40511" s="5"/>
      <c r="AE40511" s="5"/>
      <c r="AH40511" s="5"/>
      <c r="AK40511" s="5"/>
    </row>
    <row r="40521" spans="25:37" x14ac:dyDescent="0.2">
      <c r="Y40521" s="251"/>
      <c r="AB40521" s="251"/>
      <c r="AE40521" s="251"/>
      <c r="AH40521" s="251"/>
      <c r="AK40521" s="251"/>
    </row>
    <row r="40636" spans="25:37" x14ac:dyDescent="0.2">
      <c r="Y40636" s="5"/>
      <c r="AB40636" s="5"/>
      <c r="AE40636" s="5"/>
      <c r="AH40636" s="5"/>
      <c r="AK40636" s="5"/>
    </row>
    <row r="40646" spans="25:37" x14ac:dyDescent="0.2">
      <c r="Y40646" s="251"/>
      <c r="AB40646" s="251"/>
      <c r="AE40646" s="251"/>
      <c r="AH40646" s="251"/>
      <c r="AK40646" s="251"/>
    </row>
    <row r="40761" spans="25:37" x14ac:dyDescent="0.2">
      <c r="Y40761" s="5"/>
      <c r="AB40761" s="5"/>
      <c r="AE40761" s="5"/>
      <c r="AH40761" s="5"/>
      <c r="AK40761" s="5"/>
    </row>
    <row r="40771" spans="25:37" x14ac:dyDescent="0.2">
      <c r="Y40771" s="251"/>
      <c r="AB40771" s="251"/>
      <c r="AE40771" s="251"/>
      <c r="AH40771" s="251"/>
      <c r="AK40771" s="251"/>
    </row>
    <row r="40886" spans="25:37" x14ac:dyDescent="0.2">
      <c r="Y40886" s="5"/>
      <c r="AB40886" s="5"/>
      <c r="AE40886" s="5"/>
      <c r="AH40886" s="5"/>
      <c r="AK40886" s="5"/>
    </row>
    <row r="40896" spans="25:37" x14ac:dyDescent="0.2">
      <c r="Y40896" s="251"/>
      <c r="AB40896" s="251"/>
      <c r="AE40896" s="251"/>
      <c r="AH40896" s="251"/>
      <c r="AK40896" s="251"/>
    </row>
    <row r="41011" spans="25:37" x14ac:dyDescent="0.2">
      <c r="Y41011" s="5"/>
      <c r="AB41011" s="5"/>
      <c r="AE41011" s="5"/>
      <c r="AH41011" s="5"/>
      <c r="AK41011" s="5"/>
    </row>
    <row r="41021" spans="25:37" x14ac:dyDescent="0.2">
      <c r="Y41021" s="251"/>
      <c r="AB41021" s="251"/>
      <c r="AE41021" s="251"/>
      <c r="AH41021" s="251"/>
      <c r="AK41021" s="251"/>
    </row>
    <row r="41136" spans="25:37" x14ac:dyDescent="0.2">
      <c r="Y41136" s="5"/>
      <c r="AB41136" s="5"/>
      <c r="AE41136" s="5"/>
      <c r="AH41136" s="5"/>
      <c r="AK41136" s="5"/>
    </row>
    <row r="41146" spans="25:37" x14ac:dyDescent="0.2">
      <c r="Y41146" s="251"/>
      <c r="AB41146" s="251"/>
      <c r="AE41146" s="251"/>
      <c r="AH41146" s="251"/>
      <c r="AK41146" s="251"/>
    </row>
    <row r="41261" spans="25:37" x14ac:dyDescent="0.2">
      <c r="Y41261" s="5"/>
      <c r="AB41261" s="5"/>
      <c r="AE41261" s="5"/>
      <c r="AH41261" s="5"/>
      <c r="AK41261" s="5"/>
    </row>
    <row r="41271" spans="25:37" x14ac:dyDescent="0.2">
      <c r="Y41271" s="251"/>
      <c r="AB41271" s="251"/>
      <c r="AE41271" s="251"/>
      <c r="AH41271" s="251"/>
      <c r="AK41271" s="251"/>
    </row>
    <row r="41386" spans="25:37" x14ac:dyDescent="0.2">
      <c r="Y41386" s="5"/>
      <c r="AB41386" s="5"/>
      <c r="AE41386" s="5"/>
      <c r="AH41386" s="5"/>
      <c r="AK41386" s="5"/>
    </row>
    <row r="41396" spans="25:37" x14ac:dyDescent="0.2">
      <c r="Y41396" s="251"/>
      <c r="AB41396" s="251"/>
      <c r="AE41396" s="251"/>
      <c r="AH41396" s="251"/>
      <c r="AK41396" s="251"/>
    </row>
    <row r="41511" spans="25:37" x14ac:dyDescent="0.2">
      <c r="Y41511" s="5"/>
      <c r="AB41511" s="5"/>
      <c r="AE41511" s="5"/>
      <c r="AH41511" s="5"/>
      <c r="AK41511" s="5"/>
    </row>
    <row r="41521" spans="25:37" x14ac:dyDescent="0.2">
      <c r="Y41521" s="251"/>
      <c r="AB41521" s="251"/>
      <c r="AE41521" s="251"/>
      <c r="AH41521" s="251"/>
      <c r="AK41521" s="251"/>
    </row>
    <row r="41636" spans="25:37" x14ac:dyDescent="0.2">
      <c r="Y41636" s="5"/>
      <c r="AB41636" s="5"/>
      <c r="AE41636" s="5"/>
      <c r="AH41636" s="5"/>
      <c r="AK41636" s="5"/>
    </row>
    <row r="41646" spans="25:37" x14ac:dyDescent="0.2">
      <c r="Y41646" s="251"/>
      <c r="AB41646" s="251"/>
      <c r="AE41646" s="251"/>
      <c r="AH41646" s="251"/>
      <c r="AK41646" s="251"/>
    </row>
    <row r="41761" spans="25:37" x14ac:dyDescent="0.2">
      <c r="Y41761" s="5"/>
      <c r="AB41761" s="5"/>
      <c r="AE41761" s="5"/>
      <c r="AH41761" s="5"/>
      <c r="AK41761" s="5"/>
    </row>
    <row r="41771" spans="25:37" x14ac:dyDescent="0.2">
      <c r="Y41771" s="251"/>
      <c r="AB41771" s="251"/>
      <c r="AE41771" s="251"/>
      <c r="AH41771" s="251"/>
      <c r="AK41771" s="251"/>
    </row>
    <row r="41886" spans="25:37" x14ac:dyDescent="0.2">
      <c r="Y41886" s="5"/>
      <c r="AB41886" s="5"/>
      <c r="AE41886" s="5"/>
      <c r="AH41886" s="5"/>
      <c r="AK41886" s="5"/>
    </row>
    <row r="41896" spans="25:37" x14ac:dyDescent="0.2">
      <c r="Y41896" s="251"/>
      <c r="AB41896" s="251"/>
      <c r="AE41896" s="251"/>
      <c r="AH41896" s="251"/>
      <c r="AK41896" s="251"/>
    </row>
    <row r="42011" spans="25:37" x14ac:dyDescent="0.2">
      <c r="Y42011" s="5"/>
      <c r="AB42011" s="5"/>
      <c r="AE42011" s="5"/>
      <c r="AH42011" s="5"/>
      <c r="AK42011" s="5"/>
    </row>
    <row r="42021" spans="25:37" x14ac:dyDescent="0.2">
      <c r="Y42021" s="251"/>
      <c r="AB42021" s="251"/>
      <c r="AE42021" s="251"/>
      <c r="AH42021" s="251"/>
      <c r="AK42021" s="251"/>
    </row>
    <row r="42136" spans="25:37" x14ac:dyDescent="0.2">
      <c r="Y42136" s="5"/>
      <c r="AB42136" s="5"/>
      <c r="AE42136" s="5"/>
      <c r="AH42136" s="5"/>
      <c r="AK42136" s="5"/>
    </row>
    <row r="42146" spans="25:37" x14ac:dyDescent="0.2">
      <c r="Y42146" s="251"/>
      <c r="AB42146" s="251"/>
      <c r="AE42146" s="251"/>
      <c r="AH42146" s="251"/>
      <c r="AK42146" s="251"/>
    </row>
    <row r="42261" spans="25:37" x14ac:dyDescent="0.2">
      <c r="Y42261" s="5"/>
      <c r="AB42261" s="5"/>
      <c r="AE42261" s="5"/>
      <c r="AH42261" s="5"/>
      <c r="AK42261" s="5"/>
    </row>
    <row r="42271" spans="25:37" x14ac:dyDescent="0.2">
      <c r="Y42271" s="251"/>
      <c r="AB42271" s="251"/>
      <c r="AE42271" s="251"/>
      <c r="AH42271" s="251"/>
      <c r="AK42271" s="251"/>
    </row>
    <row r="42386" spans="25:37" x14ac:dyDescent="0.2">
      <c r="Y42386" s="5"/>
      <c r="AB42386" s="5"/>
      <c r="AE42386" s="5"/>
      <c r="AH42386" s="5"/>
      <c r="AK42386" s="5"/>
    </row>
    <row r="42396" spans="25:37" x14ac:dyDescent="0.2">
      <c r="Y42396" s="251"/>
      <c r="AB42396" s="251"/>
      <c r="AE42396" s="251"/>
      <c r="AH42396" s="251"/>
      <c r="AK42396" s="251"/>
    </row>
    <row r="42511" spans="25:37" x14ac:dyDescent="0.2">
      <c r="Y42511" s="5"/>
      <c r="AB42511" s="5"/>
      <c r="AE42511" s="5"/>
      <c r="AH42511" s="5"/>
      <c r="AK42511" s="5"/>
    </row>
    <row r="42521" spans="25:37" x14ac:dyDescent="0.2">
      <c r="Y42521" s="251"/>
      <c r="AB42521" s="251"/>
      <c r="AE42521" s="251"/>
      <c r="AH42521" s="251"/>
      <c r="AK42521" s="251"/>
    </row>
    <row r="42636" spans="25:37" x14ac:dyDescent="0.2">
      <c r="Y42636" s="5"/>
      <c r="AB42636" s="5"/>
      <c r="AE42636" s="5"/>
      <c r="AH42636" s="5"/>
      <c r="AK42636" s="5"/>
    </row>
    <row r="42646" spans="25:37" x14ac:dyDescent="0.2">
      <c r="Y42646" s="251"/>
      <c r="AB42646" s="251"/>
      <c r="AE42646" s="251"/>
      <c r="AH42646" s="251"/>
      <c r="AK42646" s="251"/>
    </row>
    <row r="42761" spans="25:37" x14ac:dyDescent="0.2">
      <c r="Y42761" s="5"/>
      <c r="AB42761" s="5"/>
      <c r="AE42761" s="5"/>
      <c r="AH42761" s="5"/>
      <c r="AK42761" s="5"/>
    </row>
    <row r="42771" spans="25:37" x14ac:dyDescent="0.2">
      <c r="Y42771" s="251"/>
      <c r="AB42771" s="251"/>
      <c r="AE42771" s="251"/>
      <c r="AH42771" s="251"/>
      <c r="AK42771" s="251"/>
    </row>
    <row r="42886" spans="25:37" x14ac:dyDescent="0.2">
      <c r="Y42886" s="5"/>
      <c r="AB42886" s="5"/>
      <c r="AE42886" s="5"/>
      <c r="AH42886" s="5"/>
      <c r="AK42886" s="5"/>
    </row>
    <row r="42896" spans="25:37" x14ac:dyDescent="0.2">
      <c r="Y42896" s="251"/>
      <c r="AB42896" s="251"/>
      <c r="AE42896" s="251"/>
      <c r="AH42896" s="251"/>
      <c r="AK42896" s="251"/>
    </row>
    <row r="43011" spans="25:37" x14ac:dyDescent="0.2">
      <c r="Y43011" s="5"/>
      <c r="AB43011" s="5"/>
      <c r="AE43011" s="5"/>
      <c r="AH43011" s="5"/>
      <c r="AK43011" s="5"/>
    </row>
    <row r="43021" spans="25:37" x14ac:dyDescent="0.2">
      <c r="Y43021" s="251"/>
      <c r="AB43021" s="251"/>
      <c r="AE43021" s="251"/>
      <c r="AH43021" s="251"/>
      <c r="AK43021" s="251"/>
    </row>
    <row r="43136" spans="25:37" x14ac:dyDescent="0.2">
      <c r="Y43136" s="5"/>
      <c r="AB43136" s="5"/>
      <c r="AE43136" s="5"/>
      <c r="AH43136" s="5"/>
      <c r="AK43136" s="5"/>
    </row>
    <row r="43146" spans="25:37" x14ac:dyDescent="0.2">
      <c r="Y43146" s="251"/>
      <c r="AB43146" s="251"/>
      <c r="AE43146" s="251"/>
      <c r="AH43146" s="251"/>
      <c r="AK43146" s="251"/>
    </row>
    <row r="43261" spans="25:37" x14ac:dyDescent="0.2">
      <c r="Y43261" s="5"/>
      <c r="AB43261" s="5"/>
      <c r="AE43261" s="5"/>
      <c r="AH43261" s="5"/>
      <c r="AK43261" s="5"/>
    </row>
    <row r="43271" spans="25:37" x14ac:dyDescent="0.2">
      <c r="Y43271" s="251"/>
      <c r="AB43271" s="251"/>
      <c r="AE43271" s="251"/>
      <c r="AH43271" s="251"/>
      <c r="AK43271" s="251"/>
    </row>
    <row r="43386" spans="25:37" x14ac:dyDescent="0.2">
      <c r="Y43386" s="5"/>
      <c r="AB43386" s="5"/>
      <c r="AE43386" s="5"/>
      <c r="AH43386" s="5"/>
      <c r="AK43386" s="5"/>
    </row>
    <row r="43396" spans="25:37" x14ac:dyDescent="0.2">
      <c r="Y43396" s="251"/>
      <c r="AB43396" s="251"/>
      <c r="AE43396" s="251"/>
      <c r="AH43396" s="251"/>
      <c r="AK43396" s="251"/>
    </row>
    <row r="43511" spans="25:37" x14ac:dyDescent="0.2">
      <c r="Y43511" s="5"/>
      <c r="AB43511" s="5"/>
      <c r="AE43511" s="5"/>
      <c r="AH43511" s="5"/>
      <c r="AK43511" s="5"/>
    </row>
    <row r="43521" spans="25:37" x14ac:dyDescent="0.2">
      <c r="Y43521" s="251"/>
      <c r="AB43521" s="251"/>
      <c r="AE43521" s="251"/>
      <c r="AH43521" s="251"/>
      <c r="AK43521" s="251"/>
    </row>
    <row r="43636" spans="25:37" x14ac:dyDescent="0.2">
      <c r="Y43636" s="5"/>
      <c r="AB43636" s="5"/>
      <c r="AE43636" s="5"/>
      <c r="AH43636" s="5"/>
      <c r="AK43636" s="5"/>
    </row>
    <row r="43646" spans="25:37" x14ac:dyDescent="0.2">
      <c r="Y43646" s="251"/>
      <c r="AB43646" s="251"/>
      <c r="AE43646" s="251"/>
      <c r="AH43646" s="251"/>
      <c r="AK43646" s="251"/>
    </row>
    <row r="43761" spans="25:37" x14ac:dyDescent="0.2">
      <c r="Y43761" s="5"/>
      <c r="AB43761" s="5"/>
      <c r="AE43761" s="5"/>
      <c r="AH43761" s="5"/>
      <c r="AK43761" s="5"/>
    </row>
    <row r="43771" spans="25:37" x14ac:dyDescent="0.2">
      <c r="Y43771" s="251"/>
      <c r="AB43771" s="251"/>
      <c r="AE43771" s="251"/>
      <c r="AH43771" s="251"/>
      <c r="AK43771" s="251"/>
    </row>
    <row r="43886" spans="25:37" x14ac:dyDescent="0.2">
      <c r="Y43886" s="5"/>
      <c r="AB43886" s="5"/>
      <c r="AE43886" s="5"/>
      <c r="AH43886" s="5"/>
      <c r="AK43886" s="5"/>
    </row>
    <row r="43896" spans="25:37" x14ac:dyDescent="0.2">
      <c r="Y43896" s="251"/>
      <c r="AB43896" s="251"/>
      <c r="AE43896" s="251"/>
      <c r="AH43896" s="251"/>
      <c r="AK43896" s="251"/>
    </row>
    <row r="44011" spans="25:37" x14ac:dyDescent="0.2">
      <c r="Y44011" s="5"/>
      <c r="AB44011" s="5"/>
      <c r="AE44011" s="5"/>
      <c r="AH44011" s="5"/>
      <c r="AK44011" s="5"/>
    </row>
    <row r="44021" spans="25:37" x14ac:dyDescent="0.2">
      <c r="Y44021" s="251"/>
      <c r="AB44021" s="251"/>
      <c r="AE44021" s="251"/>
      <c r="AH44021" s="251"/>
      <c r="AK44021" s="251"/>
    </row>
    <row r="44136" spans="25:37" x14ac:dyDescent="0.2">
      <c r="Y44136" s="5"/>
      <c r="AB44136" s="5"/>
      <c r="AE44136" s="5"/>
      <c r="AH44136" s="5"/>
      <c r="AK44136" s="5"/>
    </row>
    <row r="44146" spans="25:37" x14ac:dyDescent="0.2">
      <c r="Y44146" s="251"/>
      <c r="AB44146" s="251"/>
      <c r="AE44146" s="251"/>
      <c r="AH44146" s="251"/>
      <c r="AK44146" s="251"/>
    </row>
    <row r="44261" spans="25:37" x14ac:dyDescent="0.2">
      <c r="Y44261" s="5"/>
      <c r="AB44261" s="5"/>
      <c r="AE44261" s="5"/>
      <c r="AH44261" s="5"/>
      <c r="AK44261" s="5"/>
    </row>
    <row r="44271" spans="25:37" x14ac:dyDescent="0.2">
      <c r="Y44271" s="251"/>
      <c r="AB44271" s="251"/>
      <c r="AE44271" s="251"/>
      <c r="AH44271" s="251"/>
      <c r="AK44271" s="251"/>
    </row>
    <row r="44386" spans="25:37" x14ac:dyDescent="0.2">
      <c r="Y44386" s="5"/>
      <c r="AB44386" s="5"/>
      <c r="AE44386" s="5"/>
      <c r="AH44386" s="5"/>
      <c r="AK44386" s="5"/>
    </row>
    <row r="44396" spans="25:37" x14ac:dyDescent="0.2">
      <c r="Y44396" s="251"/>
      <c r="AB44396" s="251"/>
      <c r="AE44396" s="251"/>
      <c r="AH44396" s="251"/>
      <c r="AK44396" s="251"/>
    </row>
    <row r="44511" spans="25:37" x14ac:dyDescent="0.2">
      <c r="Y44511" s="5"/>
      <c r="AB44511" s="5"/>
      <c r="AE44511" s="5"/>
      <c r="AH44511" s="5"/>
      <c r="AK44511" s="5"/>
    </row>
    <row r="44521" spans="25:37" x14ac:dyDescent="0.2">
      <c r="Y44521" s="251"/>
      <c r="AB44521" s="251"/>
      <c r="AE44521" s="251"/>
      <c r="AH44521" s="251"/>
      <c r="AK44521" s="251"/>
    </row>
    <row r="44636" spans="25:37" x14ac:dyDescent="0.2">
      <c r="Y44636" s="5"/>
      <c r="AB44636" s="5"/>
      <c r="AE44636" s="5"/>
      <c r="AH44636" s="5"/>
      <c r="AK44636" s="5"/>
    </row>
    <row r="44646" spans="25:37" x14ac:dyDescent="0.2">
      <c r="Y44646" s="251"/>
      <c r="AB44646" s="251"/>
      <c r="AE44646" s="251"/>
      <c r="AH44646" s="251"/>
      <c r="AK44646" s="251"/>
    </row>
    <row r="44761" spans="25:37" x14ac:dyDescent="0.2">
      <c r="Y44761" s="5"/>
      <c r="AB44761" s="5"/>
      <c r="AE44761" s="5"/>
      <c r="AH44761" s="5"/>
      <c r="AK44761" s="5"/>
    </row>
    <row r="44771" spans="25:37" x14ac:dyDescent="0.2">
      <c r="Y44771" s="251"/>
      <c r="AB44771" s="251"/>
      <c r="AE44771" s="251"/>
      <c r="AH44771" s="251"/>
      <c r="AK44771" s="251"/>
    </row>
    <row r="44886" spans="25:37" x14ac:dyDescent="0.2">
      <c r="Y44886" s="5"/>
      <c r="AB44886" s="5"/>
      <c r="AE44886" s="5"/>
      <c r="AH44886" s="5"/>
      <c r="AK44886" s="5"/>
    </row>
    <row r="44896" spans="25:37" x14ac:dyDescent="0.2">
      <c r="Y44896" s="251"/>
      <c r="AB44896" s="251"/>
      <c r="AE44896" s="251"/>
      <c r="AH44896" s="251"/>
      <c r="AK44896" s="251"/>
    </row>
    <row r="45011" spans="25:37" x14ac:dyDescent="0.2">
      <c r="Y45011" s="5"/>
      <c r="AB45011" s="5"/>
      <c r="AE45011" s="5"/>
      <c r="AH45011" s="5"/>
      <c r="AK45011" s="5"/>
    </row>
    <row r="45021" spans="25:37" x14ac:dyDescent="0.2">
      <c r="Y45021" s="251"/>
      <c r="AB45021" s="251"/>
      <c r="AE45021" s="251"/>
      <c r="AH45021" s="251"/>
      <c r="AK45021" s="251"/>
    </row>
    <row r="45136" spans="25:37" x14ac:dyDescent="0.2">
      <c r="Y45136" s="5"/>
      <c r="AB45136" s="5"/>
      <c r="AE45136" s="5"/>
      <c r="AH45136" s="5"/>
      <c r="AK45136" s="5"/>
    </row>
    <row r="45146" spans="25:37" x14ac:dyDescent="0.2">
      <c r="Y45146" s="251"/>
      <c r="AB45146" s="251"/>
      <c r="AE45146" s="251"/>
      <c r="AH45146" s="251"/>
      <c r="AK45146" s="251"/>
    </row>
    <row r="45261" spans="25:37" x14ac:dyDescent="0.2">
      <c r="Y45261" s="5"/>
      <c r="AB45261" s="5"/>
      <c r="AE45261" s="5"/>
      <c r="AH45261" s="5"/>
      <c r="AK45261" s="5"/>
    </row>
    <row r="45271" spans="25:37" x14ac:dyDescent="0.2">
      <c r="Y45271" s="251"/>
      <c r="AB45271" s="251"/>
      <c r="AE45271" s="251"/>
      <c r="AH45271" s="251"/>
      <c r="AK45271" s="251"/>
    </row>
    <row r="45386" spans="25:37" x14ac:dyDescent="0.2">
      <c r="Y45386" s="5"/>
      <c r="AB45386" s="5"/>
      <c r="AE45386" s="5"/>
      <c r="AH45386" s="5"/>
      <c r="AK45386" s="5"/>
    </row>
    <row r="45396" spans="25:37" x14ac:dyDescent="0.2">
      <c r="Y45396" s="251"/>
      <c r="AB45396" s="251"/>
      <c r="AE45396" s="251"/>
      <c r="AH45396" s="251"/>
      <c r="AK45396" s="251"/>
    </row>
    <row r="45511" spans="25:37" x14ac:dyDescent="0.2">
      <c r="Y45511" s="5"/>
      <c r="AB45511" s="5"/>
      <c r="AE45511" s="5"/>
      <c r="AH45511" s="5"/>
      <c r="AK45511" s="5"/>
    </row>
    <row r="45521" spans="25:37" x14ac:dyDescent="0.2">
      <c r="Y45521" s="251"/>
      <c r="AB45521" s="251"/>
      <c r="AE45521" s="251"/>
      <c r="AH45521" s="251"/>
      <c r="AK45521" s="251"/>
    </row>
    <row r="45636" spans="25:37" x14ac:dyDescent="0.2">
      <c r="Y45636" s="5"/>
      <c r="AB45636" s="5"/>
      <c r="AE45636" s="5"/>
      <c r="AH45636" s="5"/>
      <c r="AK45636" s="5"/>
    </row>
    <row r="45646" spans="25:37" x14ac:dyDescent="0.2">
      <c r="Y45646" s="251"/>
      <c r="AB45646" s="251"/>
      <c r="AE45646" s="251"/>
      <c r="AH45646" s="251"/>
      <c r="AK45646" s="251"/>
    </row>
    <row r="45761" spans="25:37" x14ac:dyDescent="0.2">
      <c r="Y45761" s="5"/>
      <c r="AB45761" s="5"/>
      <c r="AE45761" s="5"/>
      <c r="AH45761" s="5"/>
      <c r="AK45761" s="5"/>
    </row>
    <row r="45771" spans="25:37" x14ac:dyDescent="0.2">
      <c r="Y45771" s="251"/>
      <c r="AB45771" s="251"/>
      <c r="AE45771" s="251"/>
      <c r="AH45771" s="251"/>
      <c r="AK45771" s="251"/>
    </row>
    <row r="45886" spans="25:37" x14ac:dyDescent="0.2">
      <c r="Y45886" s="5"/>
      <c r="AB45886" s="5"/>
      <c r="AE45886" s="5"/>
      <c r="AH45886" s="5"/>
      <c r="AK45886" s="5"/>
    </row>
    <row r="45896" spans="25:37" x14ac:dyDescent="0.2">
      <c r="Y45896" s="251"/>
      <c r="AB45896" s="251"/>
      <c r="AE45896" s="251"/>
      <c r="AH45896" s="251"/>
      <c r="AK45896" s="251"/>
    </row>
    <row r="46011" spans="25:37" x14ac:dyDescent="0.2">
      <c r="Y46011" s="5"/>
      <c r="AB46011" s="5"/>
      <c r="AE46011" s="5"/>
      <c r="AH46011" s="5"/>
      <c r="AK46011" s="5"/>
    </row>
    <row r="46021" spans="25:37" x14ac:dyDescent="0.2">
      <c r="Y46021" s="251"/>
      <c r="AB46021" s="251"/>
      <c r="AE46021" s="251"/>
      <c r="AH46021" s="251"/>
      <c r="AK46021" s="251"/>
    </row>
    <row r="46136" spans="25:37" x14ac:dyDescent="0.2">
      <c r="Y46136" s="5"/>
      <c r="AB46136" s="5"/>
      <c r="AE46136" s="5"/>
      <c r="AH46136" s="5"/>
      <c r="AK46136" s="5"/>
    </row>
    <row r="46146" spans="25:37" x14ac:dyDescent="0.2">
      <c r="Y46146" s="251"/>
      <c r="AB46146" s="251"/>
      <c r="AE46146" s="251"/>
      <c r="AH46146" s="251"/>
      <c r="AK46146" s="251"/>
    </row>
    <row r="46261" spans="25:37" x14ac:dyDescent="0.2">
      <c r="Y46261" s="5"/>
      <c r="AB46261" s="5"/>
      <c r="AE46261" s="5"/>
      <c r="AH46261" s="5"/>
      <c r="AK46261" s="5"/>
    </row>
    <row r="46271" spans="25:37" x14ac:dyDescent="0.2">
      <c r="Y46271" s="251"/>
      <c r="AB46271" s="251"/>
      <c r="AE46271" s="251"/>
      <c r="AH46271" s="251"/>
      <c r="AK46271" s="251"/>
    </row>
    <row r="46386" spans="25:37" x14ac:dyDescent="0.2">
      <c r="Y46386" s="5"/>
      <c r="AB46386" s="5"/>
      <c r="AE46386" s="5"/>
      <c r="AH46386" s="5"/>
      <c r="AK46386" s="5"/>
    </row>
    <row r="46396" spans="25:37" x14ac:dyDescent="0.2">
      <c r="Y46396" s="251"/>
      <c r="AB46396" s="251"/>
      <c r="AE46396" s="251"/>
      <c r="AH46396" s="251"/>
      <c r="AK46396" s="251"/>
    </row>
    <row r="46511" spans="25:37" x14ac:dyDescent="0.2">
      <c r="Y46511" s="5"/>
      <c r="AB46511" s="5"/>
      <c r="AE46511" s="5"/>
      <c r="AH46511" s="5"/>
      <c r="AK46511" s="5"/>
    </row>
    <row r="46521" spans="25:37" x14ac:dyDescent="0.2">
      <c r="Y46521" s="251"/>
      <c r="AB46521" s="251"/>
      <c r="AE46521" s="251"/>
      <c r="AH46521" s="251"/>
      <c r="AK46521" s="251"/>
    </row>
    <row r="46636" spans="25:37" x14ac:dyDescent="0.2">
      <c r="Y46636" s="5"/>
      <c r="AB46636" s="5"/>
      <c r="AE46636" s="5"/>
      <c r="AH46636" s="5"/>
      <c r="AK46636" s="5"/>
    </row>
    <row r="46646" spans="25:37" x14ac:dyDescent="0.2">
      <c r="Y46646" s="251"/>
      <c r="AB46646" s="251"/>
      <c r="AE46646" s="251"/>
      <c r="AH46646" s="251"/>
      <c r="AK46646" s="251"/>
    </row>
    <row r="46761" spans="25:37" x14ac:dyDescent="0.2">
      <c r="Y46761" s="5"/>
      <c r="AB46761" s="5"/>
      <c r="AE46761" s="5"/>
      <c r="AH46761" s="5"/>
      <c r="AK46761" s="5"/>
    </row>
    <row r="46771" spans="25:37" x14ac:dyDescent="0.2">
      <c r="Y46771" s="251"/>
      <c r="AB46771" s="251"/>
      <c r="AE46771" s="251"/>
      <c r="AH46771" s="251"/>
      <c r="AK46771" s="251"/>
    </row>
    <row r="46886" spans="25:37" x14ac:dyDescent="0.2">
      <c r="Y46886" s="5"/>
      <c r="AB46886" s="5"/>
      <c r="AE46886" s="5"/>
      <c r="AH46886" s="5"/>
      <c r="AK46886" s="5"/>
    </row>
    <row r="46896" spans="25:37" x14ac:dyDescent="0.2">
      <c r="Y46896" s="251"/>
      <c r="AB46896" s="251"/>
      <c r="AE46896" s="251"/>
      <c r="AH46896" s="251"/>
      <c r="AK46896" s="251"/>
    </row>
    <row r="47011" spans="25:37" x14ac:dyDescent="0.2">
      <c r="Y47011" s="5"/>
      <c r="AB47011" s="5"/>
      <c r="AE47011" s="5"/>
      <c r="AH47011" s="5"/>
      <c r="AK47011" s="5"/>
    </row>
    <row r="47021" spans="25:37" x14ac:dyDescent="0.2">
      <c r="Y47021" s="251"/>
      <c r="AB47021" s="251"/>
      <c r="AE47021" s="251"/>
      <c r="AH47021" s="251"/>
      <c r="AK47021" s="251"/>
    </row>
    <row r="47136" spans="25:37" x14ac:dyDescent="0.2">
      <c r="Y47136" s="5"/>
      <c r="AB47136" s="5"/>
      <c r="AE47136" s="5"/>
      <c r="AH47136" s="5"/>
      <c r="AK47136" s="5"/>
    </row>
    <row r="47146" spans="25:37" x14ac:dyDescent="0.2">
      <c r="Y47146" s="251"/>
      <c r="AB47146" s="251"/>
      <c r="AE47146" s="251"/>
      <c r="AH47146" s="251"/>
      <c r="AK47146" s="251"/>
    </row>
    <row r="47261" spans="25:37" x14ac:dyDescent="0.2">
      <c r="Y47261" s="5"/>
      <c r="AB47261" s="5"/>
      <c r="AE47261" s="5"/>
      <c r="AH47261" s="5"/>
      <c r="AK47261" s="5"/>
    </row>
    <row r="47271" spans="25:37" x14ac:dyDescent="0.2">
      <c r="Y47271" s="251"/>
      <c r="AB47271" s="251"/>
      <c r="AE47271" s="251"/>
      <c r="AH47271" s="251"/>
      <c r="AK47271" s="251"/>
    </row>
    <row r="47386" spans="25:37" x14ac:dyDescent="0.2">
      <c r="Y47386" s="5"/>
      <c r="AB47386" s="5"/>
      <c r="AE47386" s="5"/>
      <c r="AH47386" s="5"/>
      <c r="AK47386" s="5"/>
    </row>
    <row r="47396" spans="25:37" x14ac:dyDescent="0.2">
      <c r="Y47396" s="251"/>
      <c r="AB47396" s="251"/>
      <c r="AE47396" s="251"/>
      <c r="AH47396" s="251"/>
      <c r="AK47396" s="251"/>
    </row>
    <row r="47511" spans="25:37" x14ac:dyDescent="0.2">
      <c r="Y47511" s="5"/>
      <c r="AB47511" s="5"/>
      <c r="AE47511" s="5"/>
      <c r="AH47511" s="5"/>
      <c r="AK47511" s="5"/>
    </row>
    <row r="47521" spans="25:37" x14ac:dyDescent="0.2">
      <c r="Y47521" s="251"/>
      <c r="AB47521" s="251"/>
      <c r="AE47521" s="251"/>
      <c r="AH47521" s="251"/>
      <c r="AK47521" s="251"/>
    </row>
    <row r="47636" spans="25:37" x14ac:dyDescent="0.2">
      <c r="Y47636" s="5"/>
      <c r="AB47636" s="5"/>
      <c r="AE47636" s="5"/>
      <c r="AH47636" s="5"/>
      <c r="AK47636" s="5"/>
    </row>
    <row r="47646" spans="25:37" x14ac:dyDescent="0.2">
      <c r="Y47646" s="251"/>
      <c r="AB47646" s="251"/>
      <c r="AE47646" s="251"/>
      <c r="AH47646" s="251"/>
      <c r="AK47646" s="251"/>
    </row>
    <row r="47761" spans="25:37" x14ac:dyDescent="0.2">
      <c r="Y47761" s="5"/>
      <c r="AB47761" s="5"/>
      <c r="AE47761" s="5"/>
      <c r="AH47761" s="5"/>
      <c r="AK47761" s="5"/>
    </row>
    <row r="47771" spans="25:37" x14ac:dyDescent="0.2">
      <c r="Y47771" s="251"/>
      <c r="AB47771" s="251"/>
      <c r="AE47771" s="251"/>
      <c r="AH47771" s="251"/>
      <c r="AK47771" s="251"/>
    </row>
    <row r="47886" spans="25:37" x14ac:dyDescent="0.2">
      <c r="Y47886" s="5"/>
      <c r="AB47886" s="5"/>
      <c r="AE47886" s="5"/>
      <c r="AH47886" s="5"/>
      <c r="AK47886" s="5"/>
    </row>
    <row r="47896" spans="25:37" x14ac:dyDescent="0.2">
      <c r="Y47896" s="251"/>
      <c r="AB47896" s="251"/>
      <c r="AE47896" s="251"/>
      <c r="AH47896" s="251"/>
      <c r="AK47896" s="251"/>
    </row>
    <row r="48011" spans="25:37" x14ac:dyDescent="0.2">
      <c r="Y48011" s="5"/>
      <c r="AB48011" s="5"/>
      <c r="AE48011" s="5"/>
      <c r="AH48011" s="5"/>
      <c r="AK48011" s="5"/>
    </row>
    <row r="48021" spans="25:37" x14ac:dyDescent="0.2">
      <c r="Y48021" s="251"/>
      <c r="AB48021" s="251"/>
      <c r="AE48021" s="251"/>
      <c r="AH48021" s="251"/>
      <c r="AK48021" s="251"/>
    </row>
    <row r="48136" spans="25:37" x14ac:dyDescent="0.2">
      <c r="Y48136" s="5"/>
      <c r="AB48136" s="5"/>
      <c r="AE48136" s="5"/>
      <c r="AH48136" s="5"/>
      <c r="AK48136" s="5"/>
    </row>
    <row r="48146" spans="25:37" x14ac:dyDescent="0.2">
      <c r="Y48146" s="251"/>
      <c r="AB48146" s="251"/>
      <c r="AE48146" s="251"/>
      <c r="AH48146" s="251"/>
      <c r="AK48146" s="251"/>
    </row>
    <row r="48261" spans="25:37" x14ac:dyDescent="0.2">
      <c r="Y48261" s="5"/>
      <c r="AB48261" s="5"/>
      <c r="AE48261" s="5"/>
      <c r="AH48261" s="5"/>
      <c r="AK48261" s="5"/>
    </row>
    <row r="48271" spans="25:37" x14ac:dyDescent="0.2">
      <c r="Y48271" s="251"/>
      <c r="AB48271" s="251"/>
      <c r="AE48271" s="251"/>
      <c r="AH48271" s="251"/>
      <c r="AK48271" s="251"/>
    </row>
    <row r="48386" spans="25:37" x14ac:dyDescent="0.2">
      <c r="Y48386" s="5"/>
      <c r="AB48386" s="5"/>
      <c r="AE48386" s="5"/>
      <c r="AH48386" s="5"/>
      <c r="AK48386" s="5"/>
    </row>
    <row r="48396" spans="25:37" x14ac:dyDescent="0.2">
      <c r="Y48396" s="251"/>
      <c r="AB48396" s="251"/>
      <c r="AE48396" s="251"/>
      <c r="AH48396" s="251"/>
      <c r="AK48396" s="251"/>
    </row>
    <row r="48511" spans="25:37" x14ac:dyDescent="0.2">
      <c r="Y48511" s="5"/>
      <c r="AB48511" s="5"/>
      <c r="AE48511" s="5"/>
      <c r="AH48511" s="5"/>
      <c r="AK48511" s="5"/>
    </row>
    <row r="48521" spans="25:37" x14ac:dyDescent="0.2">
      <c r="Y48521" s="251"/>
      <c r="AB48521" s="251"/>
      <c r="AE48521" s="251"/>
      <c r="AH48521" s="251"/>
      <c r="AK48521" s="251"/>
    </row>
    <row r="48636" spans="25:37" x14ac:dyDescent="0.2">
      <c r="Y48636" s="5"/>
      <c r="AB48636" s="5"/>
      <c r="AE48636" s="5"/>
      <c r="AH48636" s="5"/>
      <c r="AK48636" s="5"/>
    </row>
    <row r="48646" spans="25:37" x14ac:dyDescent="0.2">
      <c r="Y48646" s="251"/>
      <c r="AB48646" s="251"/>
      <c r="AE48646" s="251"/>
      <c r="AH48646" s="251"/>
      <c r="AK48646" s="251"/>
    </row>
    <row r="48761" spans="25:37" x14ac:dyDescent="0.2">
      <c r="Y48761" s="5"/>
      <c r="AB48761" s="5"/>
      <c r="AE48761" s="5"/>
      <c r="AH48761" s="5"/>
      <c r="AK48761" s="5"/>
    </row>
    <row r="48771" spans="25:37" x14ac:dyDescent="0.2">
      <c r="Y48771" s="251"/>
      <c r="AB48771" s="251"/>
      <c r="AE48771" s="251"/>
      <c r="AH48771" s="251"/>
      <c r="AK48771" s="251"/>
    </row>
    <row r="48886" spans="25:37" x14ac:dyDescent="0.2">
      <c r="Y48886" s="5"/>
      <c r="AB48886" s="5"/>
      <c r="AE48886" s="5"/>
      <c r="AH48886" s="5"/>
      <c r="AK48886" s="5"/>
    </row>
    <row r="48896" spans="25:37" x14ac:dyDescent="0.2">
      <c r="Y48896" s="251"/>
      <c r="AB48896" s="251"/>
      <c r="AE48896" s="251"/>
      <c r="AH48896" s="251"/>
      <c r="AK48896" s="251"/>
    </row>
    <row r="49011" spans="25:37" x14ac:dyDescent="0.2">
      <c r="Y49011" s="5"/>
      <c r="AB49011" s="5"/>
      <c r="AE49011" s="5"/>
      <c r="AH49011" s="5"/>
      <c r="AK49011" s="5"/>
    </row>
    <row r="49021" spans="25:37" x14ac:dyDescent="0.2">
      <c r="Y49021" s="251"/>
      <c r="AB49021" s="251"/>
      <c r="AE49021" s="251"/>
      <c r="AH49021" s="251"/>
      <c r="AK49021" s="251"/>
    </row>
    <row r="49136" spans="25:37" x14ac:dyDescent="0.2">
      <c r="Y49136" s="5"/>
      <c r="AB49136" s="5"/>
      <c r="AE49136" s="5"/>
      <c r="AH49136" s="5"/>
      <c r="AK49136" s="5"/>
    </row>
    <row r="49146" spans="25:37" x14ac:dyDescent="0.2">
      <c r="Y49146" s="251"/>
      <c r="AB49146" s="251"/>
      <c r="AE49146" s="251"/>
      <c r="AH49146" s="251"/>
      <c r="AK49146" s="251"/>
    </row>
    <row r="49261" spans="25:37" x14ac:dyDescent="0.2">
      <c r="Y49261" s="5"/>
      <c r="AB49261" s="5"/>
      <c r="AE49261" s="5"/>
      <c r="AH49261" s="5"/>
      <c r="AK49261" s="5"/>
    </row>
    <row r="49271" spans="25:37" x14ac:dyDescent="0.2">
      <c r="Y49271" s="251"/>
      <c r="AB49271" s="251"/>
      <c r="AE49271" s="251"/>
      <c r="AH49271" s="251"/>
      <c r="AK49271" s="251"/>
    </row>
    <row r="49386" spans="25:37" x14ac:dyDescent="0.2">
      <c r="Y49386" s="5"/>
      <c r="AB49386" s="5"/>
      <c r="AE49386" s="5"/>
      <c r="AH49386" s="5"/>
      <c r="AK49386" s="5"/>
    </row>
    <row r="49396" spans="25:37" x14ac:dyDescent="0.2">
      <c r="Y49396" s="251"/>
      <c r="AB49396" s="251"/>
      <c r="AE49396" s="251"/>
      <c r="AH49396" s="251"/>
      <c r="AK49396" s="251"/>
    </row>
    <row r="49511" spans="25:37" x14ac:dyDescent="0.2">
      <c r="Y49511" s="5"/>
      <c r="AB49511" s="5"/>
      <c r="AE49511" s="5"/>
      <c r="AH49511" s="5"/>
      <c r="AK49511" s="5"/>
    </row>
    <row r="49521" spans="25:37" x14ac:dyDescent="0.2">
      <c r="Y49521" s="251"/>
      <c r="AB49521" s="251"/>
      <c r="AE49521" s="251"/>
      <c r="AH49521" s="251"/>
      <c r="AK49521" s="251"/>
    </row>
    <row r="49636" spans="25:37" x14ac:dyDescent="0.2">
      <c r="Y49636" s="5"/>
      <c r="AB49636" s="5"/>
      <c r="AE49636" s="5"/>
      <c r="AH49636" s="5"/>
      <c r="AK49636" s="5"/>
    </row>
    <row r="49646" spans="25:37" x14ac:dyDescent="0.2">
      <c r="Y49646" s="251"/>
      <c r="AB49646" s="251"/>
      <c r="AE49646" s="251"/>
      <c r="AH49646" s="251"/>
      <c r="AK49646" s="251"/>
    </row>
    <row r="49761" spans="25:37" x14ac:dyDescent="0.2">
      <c r="Y49761" s="5"/>
      <c r="AB49761" s="5"/>
      <c r="AE49761" s="5"/>
      <c r="AH49761" s="5"/>
      <c r="AK49761" s="5"/>
    </row>
    <row r="49771" spans="25:37" x14ac:dyDescent="0.2">
      <c r="Y49771" s="251"/>
      <c r="AB49771" s="251"/>
      <c r="AE49771" s="251"/>
      <c r="AH49771" s="251"/>
      <c r="AK49771" s="251"/>
    </row>
    <row r="49886" spans="25:37" x14ac:dyDescent="0.2">
      <c r="Y49886" s="5"/>
      <c r="AB49886" s="5"/>
      <c r="AE49886" s="5"/>
      <c r="AH49886" s="5"/>
      <c r="AK49886" s="5"/>
    </row>
    <row r="49896" spans="25:37" x14ac:dyDescent="0.2">
      <c r="Y49896" s="251"/>
      <c r="AB49896" s="251"/>
      <c r="AE49896" s="251"/>
      <c r="AH49896" s="251"/>
      <c r="AK49896" s="251"/>
    </row>
    <row r="50011" spans="25:37" x14ac:dyDescent="0.2">
      <c r="Y50011" s="5"/>
      <c r="AB50011" s="5"/>
      <c r="AE50011" s="5"/>
      <c r="AH50011" s="5"/>
      <c r="AK50011" s="5"/>
    </row>
    <row r="50021" spans="25:37" x14ac:dyDescent="0.2">
      <c r="Y50021" s="251"/>
      <c r="AB50021" s="251"/>
      <c r="AE50021" s="251"/>
      <c r="AH50021" s="251"/>
      <c r="AK50021" s="251"/>
    </row>
    <row r="50136" spans="25:37" x14ac:dyDescent="0.2">
      <c r="Y50136" s="5"/>
      <c r="AB50136" s="5"/>
      <c r="AE50136" s="5"/>
      <c r="AH50136" s="5"/>
      <c r="AK50136" s="5"/>
    </row>
    <row r="50146" spans="25:37" x14ac:dyDescent="0.2">
      <c r="Y50146" s="251"/>
      <c r="AB50146" s="251"/>
      <c r="AE50146" s="251"/>
      <c r="AH50146" s="251"/>
      <c r="AK50146" s="251"/>
    </row>
    <row r="50261" spans="25:37" x14ac:dyDescent="0.2">
      <c r="Y50261" s="5"/>
      <c r="AB50261" s="5"/>
      <c r="AE50261" s="5"/>
      <c r="AH50261" s="5"/>
      <c r="AK50261" s="5"/>
    </row>
    <row r="50271" spans="25:37" x14ac:dyDescent="0.2">
      <c r="Y50271" s="251"/>
      <c r="AB50271" s="251"/>
      <c r="AE50271" s="251"/>
      <c r="AH50271" s="251"/>
      <c r="AK50271" s="251"/>
    </row>
    <row r="50386" spans="25:37" x14ac:dyDescent="0.2">
      <c r="Y50386" s="5"/>
      <c r="AB50386" s="5"/>
      <c r="AE50386" s="5"/>
      <c r="AH50386" s="5"/>
      <c r="AK50386" s="5"/>
    </row>
    <row r="50396" spans="25:37" x14ac:dyDescent="0.2">
      <c r="Y50396" s="251"/>
      <c r="AB50396" s="251"/>
      <c r="AE50396" s="251"/>
      <c r="AH50396" s="251"/>
      <c r="AK50396" s="251"/>
    </row>
    <row r="50511" spans="25:37" x14ac:dyDescent="0.2">
      <c r="Y50511" s="5"/>
      <c r="AB50511" s="5"/>
      <c r="AE50511" s="5"/>
      <c r="AH50511" s="5"/>
      <c r="AK50511" s="5"/>
    </row>
    <row r="50521" spans="25:37" x14ac:dyDescent="0.2">
      <c r="Y50521" s="251"/>
      <c r="AB50521" s="251"/>
      <c r="AE50521" s="251"/>
      <c r="AH50521" s="251"/>
      <c r="AK50521" s="251"/>
    </row>
    <row r="50636" spans="25:37" x14ac:dyDescent="0.2">
      <c r="Y50636" s="5"/>
      <c r="AB50636" s="5"/>
      <c r="AE50636" s="5"/>
      <c r="AH50636" s="5"/>
      <c r="AK50636" s="5"/>
    </row>
    <row r="50646" spans="25:37" x14ac:dyDescent="0.2">
      <c r="Y50646" s="251"/>
      <c r="AB50646" s="251"/>
      <c r="AE50646" s="251"/>
      <c r="AH50646" s="251"/>
      <c r="AK50646" s="251"/>
    </row>
    <row r="50761" spans="25:37" x14ac:dyDescent="0.2">
      <c r="Y50761" s="5"/>
      <c r="AB50761" s="5"/>
      <c r="AE50761" s="5"/>
      <c r="AH50761" s="5"/>
      <c r="AK50761" s="5"/>
    </row>
    <row r="50771" spans="25:37" x14ac:dyDescent="0.2">
      <c r="Y50771" s="251"/>
      <c r="AB50771" s="251"/>
      <c r="AE50771" s="251"/>
      <c r="AH50771" s="251"/>
      <c r="AK50771" s="251"/>
    </row>
    <row r="50886" spans="25:37" x14ac:dyDescent="0.2">
      <c r="Y50886" s="5"/>
      <c r="AB50886" s="5"/>
      <c r="AE50886" s="5"/>
      <c r="AH50886" s="5"/>
      <c r="AK50886" s="5"/>
    </row>
    <row r="50896" spans="25:37" x14ac:dyDescent="0.2">
      <c r="Y50896" s="251"/>
      <c r="AB50896" s="251"/>
      <c r="AE50896" s="251"/>
      <c r="AH50896" s="251"/>
      <c r="AK50896" s="251"/>
    </row>
    <row r="51011" spans="25:37" x14ac:dyDescent="0.2">
      <c r="Y51011" s="5"/>
      <c r="AB51011" s="5"/>
      <c r="AE51011" s="5"/>
      <c r="AH51011" s="5"/>
      <c r="AK51011" s="5"/>
    </row>
    <row r="51021" spans="25:37" x14ac:dyDescent="0.2">
      <c r="Y51021" s="251"/>
      <c r="AB51021" s="251"/>
      <c r="AE51021" s="251"/>
      <c r="AH51021" s="251"/>
      <c r="AK51021" s="251"/>
    </row>
    <row r="51136" spans="25:37" x14ac:dyDescent="0.2">
      <c r="Y51136" s="5"/>
      <c r="AB51136" s="5"/>
      <c r="AE51136" s="5"/>
      <c r="AH51136" s="5"/>
      <c r="AK51136" s="5"/>
    </row>
    <row r="51146" spans="25:37" x14ac:dyDescent="0.2">
      <c r="Y51146" s="251"/>
      <c r="AB51146" s="251"/>
      <c r="AE51146" s="251"/>
      <c r="AH51146" s="251"/>
      <c r="AK51146" s="251"/>
    </row>
    <row r="51261" spans="25:37" x14ac:dyDescent="0.2">
      <c r="Y51261" s="5"/>
      <c r="AB51261" s="5"/>
      <c r="AE51261" s="5"/>
      <c r="AH51261" s="5"/>
      <c r="AK51261" s="5"/>
    </row>
    <row r="51271" spans="25:37" x14ac:dyDescent="0.2">
      <c r="Y51271" s="251"/>
      <c r="AB51271" s="251"/>
      <c r="AE51271" s="251"/>
      <c r="AH51271" s="251"/>
      <c r="AK51271" s="251"/>
    </row>
    <row r="51386" spans="25:37" x14ac:dyDescent="0.2">
      <c r="Y51386" s="5"/>
      <c r="AB51386" s="5"/>
      <c r="AE51386" s="5"/>
      <c r="AH51386" s="5"/>
      <c r="AK51386" s="5"/>
    </row>
    <row r="51396" spans="25:37" x14ac:dyDescent="0.2">
      <c r="Y51396" s="251"/>
      <c r="AB51396" s="251"/>
      <c r="AE51396" s="251"/>
      <c r="AH51396" s="251"/>
      <c r="AK51396" s="251"/>
    </row>
    <row r="51511" spans="25:37" x14ac:dyDescent="0.2">
      <c r="Y51511" s="5"/>
      <c r="AB51511" s="5"/>
      <c r="AE51511" s="5"/>
      <c r="AH51511" s="5"/>
      <c r="AK51511" s="5"/>
    </row>
    <row r="51521" spans="25:37" x14ac:dyDescent="0.2">
      <c r="Y51521" s="251"/>
      <c r="AB51521" s="251"/>
      <c r="AE51521" s="251"/>
      <c r="AH51521" s="251"/>
      <c r="AK51521" s="251"/>
    </row>
    <row r="51636" spans="25:37" x14ac:dyDescent="0.2">
      <c r="Y51636" s="5"/>
      <c r="AB51636" s="5"/>
      <c r="AE51636" s="5"/>
      <c r="AH51636" s="5"/>
      <c r="AK51636" s="5"/>
    </row>
    <row r="51646" spans="25:37" x14ac:dyDescent="0.2">
      <c r="Y51646" s="251"/>
      <c r="AB51646" s="251"/>
      <c r="AE51646" s="251"/>
      <c r="AH51646" s="251"/>
      <c r="AK51646" s="251"/>
    </row>
    <row r="51761" spans="25:37" x14ac:dyDescent="0.2">
      <c r="Y51761" s="5"/>
      <c r="AB51761" s="5"/>
      <c r="AE51761" s="5"/>
      <c r="AH51761" s="5"/>
      <c r="AK51761" s="5"/>
    </row>
    <row r="51771" spans="25:37" x14ac:dyDescent="0.2">
      <c r="Y51771" s="251"/>
      <c r="AB51771" s="251"/>
      <c r="AE51771" s="251"/>
      <c r="AH51771" s="251"/>
      <c r="AK51771" s="251"/>
    </row>
    <row r="51886" spans="25:37" x14ac:dyDescent="0.2">
      <c r="Y51886" s="5"/>
      <c r="AB51886" s="5"/>
      <c r="AE51886" s="5"/>
      <c r="AH51886" s="5"/>
      <c r="AK51886" s="5"/>
    </row>
    <row r="51896" spans="25:37" x14ac:dyDescent="0.2">
      <c r="Y51896" s="251"/>
      <c r="AB51896" s="251"/>
      <c r="AE51896" s="251"/>
      <c r="AH51896" s="251"/>
      <c r="AK51896" s="251"/>
    </row>
    <row r="52011" spans="25:37" x14ac:dyDescent="0.2">
      <c r="Y52011" s="5"/>
      <c r="AB52011" s="5"/>
      <c r="AE52011" s="5"/>
      <c r="AH52011" s="5"/>
      <c r="AK52011" s="5"/>
    </row>
    <row r="52021" spans="25:37" x14ac:dyDescent="0.2">
      <c r="Y52021" s="251"/>
      <c r="AB52021" s="251"/>
      <c r="AE52021" s="251"/>
      <c r="AH52021" s="251"/>
      <c r="AK52021" s="251"/>
    </row>
    <row r="52136" spans="25:37" x14ac:dyDescent="0.2">
      <c r="Y52136" s="5"/>
      <c r="AB52136" s="5"/>
      <c r="AE52136" s="5"/>
      <c r="AH52136" s="5"/>
      <c r="AK52136" s="5"/>
    </row>
    <row r="52146" spans="25:37" x14ac:dyDescent="0.2">
      <c r="Y52146" s="251"/>
      <c r="AB52146" s="251"/>
      <c r="AE52146" s="251"/>
      <c r="AH52146" s="251"/>
      <c r="AK52146" s="251"/>
    </row>
    <row r="52261" spans="25:37" x14ac:dyDescent="0.2">
      <c r="Y52261" s="5"/>
      <c r="AB52261" s="5"/>
      <c r="AE52261" s="5"/>
      <c r="AH52261" s="5"/>
      <c r="AK52261" s="5"/>
    </row>
    <row r="52271" spans="25:37" x14ac:dyDescent="0.2">
      <c r="Y52271" s="251"/>
      <c r="AB52271" s="251"/>
      <c r="AE52271" s="251"/>
      <c r="AH52271" s="251"/>
      <c r="AK52271" s="251"/>
    </row>
    <row r="52386" spans="25:37" x14ac:dyDescent="0.2">
      <c r="Y52386" s="5"/>
      <c r="AB52386" s="5"/>
      <c r="AE52386" s="5"/>
      <c r="AH52386" s="5"/>
      <c r="AK52386" s="5"/>
    </row>
    <row r="52396" spans="25:37" x14ac:dyDescent="0.2">
      <c r="Y52396" s="251"/>
      <c r="AB52396" s="251"/>
      <c r="AE52396" s="251"/>
      <c r="AH52396" s="251"/>
      <c r="AK52396" s="251"/>
    </row>
    <row r="52511" spans="25:37" x14ac:dyDescent="0.2">
      <c r="Y52511" s="5"/>
      <c r="AB52511" s="5"/>
      <c r="AE52511" s="5"/>
      <c r="AH52511" s="5"/>
      <c r="AK52511" s="5"/>
    </row>
    <row r="52521" spans="25:37" x14ac:dyDescent="0.2">
      <c r="Y52521" s="251"/>
      <c r="AB52521" s="251"/>
      <c r="AE52521" s="251"/>
      <c r="AH52521" s="251"/>
      <c r="AK52521" s="251"/>
    </row>
    <row r="52636" spans="25:37" x14ac:dyDescent="0.2">
      <c r="Y52636" s="5"/>
      <c r="AB52636" s="5"/>
      <c r="AE52636" s="5"/>
      <c r="AH52636" s="5"/>
      <c r="AK52636" s="5"/>
    </row>
    <row r="52646" spans="25:37" x14ac:dyDescent="0.2">
      <c r="Y52646" s="251"/>
      <c r="AB52646" s="251"/>
      <c r="AE52646" s="251"/>
      <c r="AH52646" s="251"/>
      <c r="AK52646" s="251"/>
    </row>
    <row r="52761" spans="25:37" x14ac:dyDescent="0.2">
      <c r="Y52761" s="5"/>
      <c r="AB52761" s="5"/>
      <c r="AE52761" s="5"/>
      <c r="AH52761" s="5"/>
      <c r="AK52761" s="5"/>
    </row>
    <row r="52771" spans="25:37" x14ac:dyDescent="0.2">
      <c r="Y52771" s="251"/>
      <c r="AB52771" s="251"/>
      <c r="AE52771" s="251"/>
      <c r="AH52771" s="251"/>
      <c r="AK52771" s="251"/>
    </row>
    <row r="52886" spans="25:37" x14ac:dyDescent="0.2">
      <c r="Y52886" s="5"/>
      <c r="AB52886" s="5"/>
      <c r="AE52886" s="5"/>
      <c r="AH52886" s="5"/>
      <c r="AK52886" s="5"/>
    </row>
    <row r="52896" spans="25:37" x14ac:dyDescent="0.2">
      <c r="Y52896" s="251"/>
      <c r="AB52896" s="251"/>
      <c r="AE52896" s="251"/>
      <c r="AH52896" s="251"/>
      <c r="AK52896" s="251"/>
    </row>
    <row r="53011" spans="25:37" x14ac:dyDescent="0.2">
      <c r="Y53011" s="5"/>
      <c r="AB53011" s="5"/>
      <c r="AE53011" s="5"/>
      <c r="AH53011" s="5"/>
      <c r="AK53011" s="5"/>
    </row>
    <row r="53021" spans="25:37" x14ac:dyDescent="0.2">
      <c r="Y53021" s="251"/>
      <c r="AB53021" s="251"/>
      <c r="AE53021" s="251"/>
      <c r="AH53021" s="251"/>
      <c r="AK53021" s="251"/>
    </row>
    <row r="53136" spans="25:37" x14ac:dyDescent="0.2">
      <c r="Y53136" s="5"/>
      <c r="AB53136" s="5"/>
      <c r="AE53136" s="5"/>
      <c r="AH53136" s="5"/>
      <c r="AK53136" s="5"/>
    </row>
    <row r="53146" spans="25:37" x14ac:dyDescent="0.2">
      <c r="Y53146" s="251"/>
      <c r="AB53146" s="251"/>
      <c r="AE53146" s="251"/>
      <c r="AH53146" s="251"/>
      <c r="AK53146" s="251"/>
    </row>
    <row r="53261" spans="25:37" x14ac:dyDescent="0.2">
      <c r="Y53261" s="5"/>
      <c r="AB53261" s="5"/>
      <c r="AE53261" s="5"/>
      <c r="AH53261" s="5"/>
      <c r="AK53261" s="5"/>
    </row>
    <row r="53271" spans="25:37" x14ac:dyDescent="0.2">
      <c r="Y53271" s="251"/>
      <c r="AB53271" s="251"/>
      <c r="AE53271" s="251"/>
      <c r="AH53271" s="251"/>
      <c r="AK53271" s="251"/>
    </row>
    <row r="53386" spans="25:37" x14ac:dyDescent="0.2">
      <c r="Y53386" s="5"/>
      <c r="AB53386" s="5"/>
      <c r="AE53386" s="5"/>
      <c r="AH53386" s="5"/>
      <c r="AK53386" s="5"/>
    </row>
    <row r="53396" spans="25:37" x14ac:dyDescent="0.2">
      <c r="Y53396" s="251"/>
      <c r="AB53396" s="251"/>
      <c r="AE53396" s="251"/>
      <c r="AH53396" s="251"/>
      <c r="AK53396" s="251"/>
    </row>
    <row r="53511" spans="25:37" x14ac:dyDescent="0.2">
      <c r="Y53511" s="5"/>
      <c r="AB53511" s="5"/>
      <c r="AE53511" s="5"/>
      <c r="AH53511" s="5"/>
      <c r="AK53511" s="5"/>
    </row>
    <row r="53521" spans="25:37" x14ac:dyDescent="0.2">
      <c r="Y53521" s="251"/>
      <c r="AB53521" s="251"/>
      <c r="AE53521" s="251"/>
      <c r="AH53521" s="251"/>
      <c r="AK53521" s="251"/>
    </row>
    <row r="53636" spans="25:37" x14ac:dyDescent="0.2">
      <c r="Y53636" s="5"/>
      <c r="AB53636" s="5"/>
      <c r="AE53636" s="5"/>
      <c r="AH53636" s="5"/>
      <c r="AK53636" s="5"/>
    </row>
    <row r="53646" spans="25:37" x14ac:dyDescent="0.2">
      <c r="Y53646" s="251"/>
      <c r="AB53646" s="251"/>
      <c r="AE53646" s="251"/>
      <c r="AH53646" s="251"/>
      <c r="AK53646" s="251"/>
    </row>
    <row r="53761" spans="25:37" x14ac:dyDescent="0.2">
      <c r="Y53761" s="5"/>
      <c r="AB53761" s="5"/>
      <c r="AE53761" s="5"/>
      <c r="AH53761" s="5"/>
      <c r="AK53761" s="5"/>
    </row>
    <row r="53771" spans="25:37" x14ac:dyDescent="0.2">
      <c r="Y53771" s="251"/>
      <c r="AB53771" s="251"/>
      <c r="AE53771" s="251"/>
      <c r="AH53771" s="251"/>
      <c r="AK53771" s="251"/>
    </row>
    <row r="53886" spans="25:37" x14ac:dyDescent="0.2">
      <c r="Y53886" s="5"/>
      <c r="AB53886" s="5"/>
      <c r="AE53886" s="5"/>
      <c r="AH53886" s="5"/>
      <c r="AK53886" s="5"/>
    </row>
    <row r="53896" spans="25:37" x14ac:dyDescent="0.2">
      <c r="Y53896" s="251"/>
      <c r="AB53896" s="251"/>
      <c r="AE53896" s="251"/>
      <c r="AH53896" s="251"/>
      <c r="AK53896" s="251"/>
    </row>
    <row r="54011" spans="25:37" x14ac:dyDescent="0.2">
      <c r="Y54011" s="5"/>
      <c r="AB54011" s="5"/>
      <c r="AE54011" s="5"/>
      <c r="AH54011" s="5"/>
      <c r="AK54011" s="5"/>
    </row>
    <row r="54021" spans="25:37" x14ac:dyDescent="0.2">
      <c r="Y54021" s="251"/>
      <c r="AB54021" s="251"/>
      <c r="AE54021" s="251"/>
      <c r="AH54021" s="251"/>
      <c r="AK54021" s="251"/>
    </row>
    <row r="54136" spans="25:37" x14ac:dyDescent="0.2">
      <c r="Y54136" s="5"/>
      <c r="AB54136" s="5"/>
      <c r="AE54136" s="5"/>
      <c r="AH54136" s="5"/>
      <c r="AK54136" s="5"/>
    </row>
    <row r="54146" spans="25:37" x14ac:dyDescent="0.2">
      <c r="Y54146" s="251"/>
      <c r="AB54146" s="251"/>
      <c r="AE54146" s="251"/>
      <c r="AH54146" s="251"/>
      <c r="AK54146" s="251"/>
    </row>
    <row r="54261" spans="25:37" x14ac:dyDescent="0.2">
      <c r="Y54261" s="5"/>
      <c r="AB54261" s="5"/>
      <c r="AE54261" s="5"/>
      <c r="AH54261" s="5"/>
      <c r="AK54261" s="5"/>
    </row>
    <row r="54271" spans="25:37" x14ac:dyDescent="0.2">
      <c r="Y54271" s="251"/>
      <c r="AB54271" s="251"/>
      <c r="AE54271" s="251"/>
      <c r="AH54271" s="251"/>
      <c r="AK54271" s="251"/>
    </row>
    <row r="54386" spans="25:37" x14ac:dyDescent="0.2">
      <c r="Y54386" s="5"/>
      <c r="AB54386" s="5"/>
      <c r="AE54386" s="5"/>
      <c r="AH54386" s="5"/>
      <c r="AK54386" s="5"/>
    </row>
    <row r="54396" spans="25:37" x14ac:dyDescent="0.2">
      <c r="Y54396" s="251"/>
      <c r="AB54396" s="251"/>
      <c r="AE54396" s="251"/>
      <c r="AH54396" s="251"/>
      <c r="AK54396" s="251"/>
    </row>
    <row r="54511" spans="25:37" x14ac:dyDescent="0.2">
      <c r="Y54511" s="5"/>
      <c r="AB54511" s="5"/>
      <c r="AE54511" s="5"/>
      <c r="AH54511" s="5"/>
      <c r="AK54511" s="5"/>
    </row>
    <row r="54521" spans="25:37" x14ac:dyDescent="0.2">
      <c r="Y54521" s="251"/>
      <c r="AB54521" s="251"/>
      <c r="AE54521" s="251"/>
      <c r="AH54521" s="251"/>
      <c r="AK54521" s="251"/>
    </row>
    <row r="54636" spans="25:37" x14ac:dyDescent="0.2">
      <c r="Y54636" s="5"/>
      <c r="AB54636" s="5"/>
      <c r="AE54636" s="5"/>
      <c r="AH54636" s="5"/>
      <c r="AK54636" s="5"/>
    </row>
    <row r="54646" spans="25:37" x14ac:dyDescent="0.2">
      <c r="Y54646" s="251"/>
      <c r="AB54646" s="251"/>
      <c r="AE54646" s="251"/>
      <c r="AH54646" s="251"/>
      <c r="AK54646" s="251"/>
    </row>
    <row r="54761" spans="25:37" x14ac:dyDescent="0.2">
      <c r="Y54761" s="5"/>
      <c r="AB54761" s="5"/>
      <c r="AE54761" s="5"/>
      <c r="AH54761" s="5"/>
      <c r="AK54761" s="5"/>
    </row>
    <row r="54771" spans="25:37" x14ac:dyDescent="0.2">
      <c r="Y54771" s="251"/>
      <c r="AB54771" s="251"/>
      <c r="AE54771" s="251"/>
      <c r="AH54771" s="251"/>
      <c r="AK54771" s="251"/>
    </row>
    <row r="54886" spans="25:37" x14ac:dyDescent="0.2">
      <c r="Y54886" s="5"/>
      <c r="AB54886" s="5"/>
      <c r="AE54886" s="5"/>
      <c r="AH54886" s="5"/>
      <c r="AK54886" s="5"/>
    </row>
    <row r="54896" spans="25:37" x14ac:dyDescent="0.2">
      <c r="Y54896" s="251"/>
      <c r="AB54896" s="251"/>
      <c r="AE54896" s="251"/>
      <c r="AH54896" s="251"/>
      <c r="AK54896" s="251"/>
    </row>
    <row r="55011" spans="25:37" x14ac:dyDescent="0.2">
      <c r="Y55011" s="5"/>
      <c r="AB55011" s="5"/>
      <c r="AE55011" s="5"/>
      <c r="AH55011" s="5"/>
      <c r="AK55011" s="5"/>
    </row>
    <row r="55021" spans="25:37" x14ac:dyDescent="0.2">
      <c r="Y55021" s="251"/>
      <c r="AB55021" s="251"/>
      <c r="AE55021" s="251"/>
      <c r="AH55021" s="251"/>
      <c r="AK55021" s="251"/>
    </row>
    <row r="55136" spans="25:37" x14ac:dyDescent="0.2">
      <c r="Y55136" s="5"/>
      <c r="AB55136" s="5"/>
      <c r="AE55136" s="5"/>
      <c r="AH55136" s="5"/>
      <c r="AK55136" s="5"/>
    </row>
    <row r="55146" spans="25:37" x14ac:dyDescent="0.2">
      <c r="Y55146" s="251"/>
      <c r="AB55146" s="251"/>
      <c r="AE55146" s="251"/>
      <c r="AH55146" s="251"/>
      <c r="AK55146" s="251"/>
    </row>
    <row r="55261" spans="25:37" x14ac:dyDescent="0.2">
      <c r="Y55261" s="5"/>
      <c r="AB55261" s="5"/>
      <c r="AE55261" s="5"/>
      <c r="AH55261" s="5"/>
      <c r="AK55261" s="5"/>
    </row>
    <row r="55271" spans="25:37" x14ac:dyDescent="0.2">
      <c r="Y55271" s="251"/>
      <c r="AB55271" s="251"/>
      <c r="AE55271" s="251"/>
      <c r="AH55271" s="251"/>
      <c r="AK55271" s="251"/>
    </row>
    <row r="55386" spans="25:37" x14ac:dyDescent="0.2">
      <c r="Y55386" s="5"/>
      <c r="AB55386" s="5"/>
      <c r="AE55386" s="5"/>
      <c r="AH55386" s="5"/>
      <c r="AK55386" s="5"/>
    </row>
    <row r="55396" spans="25:37" x14ac:dyDescent="0.2">
      <c r="Y55396" s="251"/>
      <c r="AB55396" s="251"/>
      <c r="AE55396" s="251"/>
      <c r="AH55396" s="251"/>
      <c r="AK55396" s="251"/>
    </row>
    <row r="55511" spans="25:37" x14ac:dyDescent="0.2">
      <c r="Y55511" s="5"/>
      <c r="AB55511" s="5"/>
      <c r="AE55511" s="5"/>
      <c r="AH55511" s="5"/>
      <c r="AK55511" s="5"/>
    </row>
    <row r="55521" spans="25:37" x14ac:dyDescent="0.2">
      <c r="Y55521" s="251"/>
      <c r="AB55521" s="251"/>
      <c r="AE55521" s="251"/>
      <c r="AH55521" s="251"/>
      <c r="AK55521" s="251"/>
    </row>
    <row r="55636" spans="25:37" x14ac:dyDescent="0.2">
      <c r="Y55636" s="5"/>
      <c r="AB55636" s="5"/>
      <c r="AE55636" s="5"/>
      <c r="AH55636" s="5"/>
      <c r="AK55636" s="5"/>
    </row>
    <row r="55646" spans="25:37" x14ac:dyDescent="0.2">
      <c r="Y55646" s="251"/>
      <c r="AB55646" s="251"/>
      <c r="AE55646" s="251"/>
      <c r="AH55646" s="251"/>
      <c r="AK55646" s="251"/>
    </row>
    <row r="55761" spans="25:37" x14ac:dyDescent="0.2">
      <c r="Y55761" s="5"/>
      <c r="AB55761" s="5"/>
      <c r="AE55761" s="5"/>
      <c r="AH55761" s="5"/>
      <c r="AK55761" s="5"/>
    </row>
    <row r="55771" spans="25:37" x14ac:dyDescent="0.2">
      <c r="Y55771" s="251"/>
      <c r="AB55771" s="251"/>
      <c r="AE55771" s="251"/>
      <c r="AH55771" s="251"/>
      <c r="AK55771" s="251"/>
    </row>
    <row r="55886" spans="25:37" x14ac:dyDescent="0.2">
      <c r="Y55886" s="5"/>
      <c r="AB55886" s="5"/>
      <c r="AE55886" s="5"/>
      <c r="AH55886" s="5"/>
      <c r="AK55886" s="5"/>
    </row>
    <row r="55896" spans="25:37" x14ac:dyDescent="0.2">
      <c r="Y55896" s="251"/>
      <c r="AB55896" s="251"/>
      <c r="AE55896" s="251"/>
      <c r="AH55896" s="251"/>
      <c r="AK55896" s="251"/>
    </row>
    <row r="56011" spans="25:37" x14ac:dyDescent="0.2">
      <c r="Y56011" s="5"/>
      <c r="AB56011" s="5"/>
      <c r="AE56011" s="5"/>
      <c r="AH56011" s="5"/>
      <c r="AK56011" s="5"/>
    </row>
    <row r="56021" spans="25:37" x14ac:dyDescent="0.2">
      <c r="Y56021" s="251"/>
      <c r="AB56021" s="251"/>
      <c r="AE56021" s="251"/>
      <c r="AH56021" s="251"/>
      <c r="AK56021" s="251"/>
    </row>
    <row r="56136" spans="25:37" x14ac:dyDescent="0.2">
      <c r="Y56136" s="5"/>
      <c r="AB56136" s="5"/>
      <c r="AE56136" s="5"/>
      <c r="AH56136" s="5"/>
      <c r="AK56136" s="5"/>
    </row>
    <row r="56146" spans="25:37" x14ac:dyDescent="0.2">
      <c r="Y56146" s="251"/>
      <c r="AB56146" s="251"/>
      <c r="AE56146" s="251"/>
      <c r="AH56146" s="251"/>
      <c r="AK56146" s="251"/>
    </row>
    <row r="56261" spans="25:37" x14ac:dyDescent="0.2">
      <c r="Y56261" s="5"/>
      <c r="AB56261" s="5"/>
      <c r="AE56261" s="5"/>
      <c r="AH56261" s="5"/>
      <c r="AK56261" s="5"/>
    </row>
    <row r="56271" spans="25:37" x14ac:dyDescent="0.2">
      <c r="Y56271" s="251"/>
      <c r="AB56271" s="251"/>
      <c r="AE56271" s="251"/>
      <c r="AH56271" s="251"/>
      <c r="AK56271" s="251"/>
    </row>
    <row r="56386" spans="25:37" x14ac:dyDescent="0.2">
      <c r="Y56386" s="5"/>
      <c r="AB56386" s="5"/>
      <c r="AE56386" s="5"/>
      <c r="AH56386" s="5"/>
      <c r="AK56386" s="5"/>
    </row>
    <row r="56396" spans="25:37" x14ac:dyDescent="0.2">
      <c r="Y56396" s="251"/>
      <c r="AB56396" s="251"/>
      <c r="AE56396" s="251"/>
      <c r="AH56396" s="251"/>
      <c r="AK56396" s="251"/>
    </row>
    <row r="56511" spans="25:37" x14ac:dyDescent="0.2">
      <c r="Y56511" s="5"/>
      <c r="AB56511" s="5"/>
      <c r="AE56511" s="5"/>
      <c r="AH56511" s="5"/>
      <c r="AK56511" s="5"/>
    </row>
    <row r="56521" spans="25:37" x14ac:dyDescent="0.2">
      <c r="Y56521" s="251"/>
      <c r="AB56521" s="251"/>
      <c r="AE56521" s="251"/>
      <c r="AH56521" s="251"/>
      <c r="AK56521" s="251"/>
    </row>
    <row r="56636" spans="25:37" x14ac:dyDescent="0.2">
      <c r="Y56636" s="5"/>
      <c r="AB56636" s="5"/>
      <c r="AE56636" s="5"/>
      <c r="AH56636" s="5"/>
      <c r="AK56636" s="5"/>
    </row>
    <row r="56646" spans="25:37" x14ac:dyDescent="0.2">
      <c r="Y56646" s="251"/>
      <c r="AB56646" s="251"/>
      <c r="AE56646" s="251"/>
      <c r="AH56646" s="251"/>
      <c r="AK56646" s="251"/>
    </row>
    <row r="56761" spans="25:37" x14ac:dyDescent="0.2">
      <c r="Y56761" s="5"/>
      <c r="AB56761" s="5"/>
      <c r="AE56761" s="5"/>
      <c r="AH56761" s="5"/>
      <c r="AK56761" s="5"/>
    </row>
    <row r="56771" spans="25:37" x14ac:dyDescent="0.2">
      <c r="Y56771" s="251"/>
      <c r="AB56771" s="251"/>
      <c r="AE56771" s="251"/>
      <c r="AH56771" s="251"/>
      <c r="AK56771" s="251"/>
    </row>
    <row r="56886" spans="25:37" x14ac:dyDescent="0.2">
      <c r="Y56886" s="5"/>
      <c r="AB56886" s="5"/>
      <c r="AE56886" s="5"/>
      <c r="AH56886" s="5"/>
      <c r="AK56886" s="5"/>
    </row>
    <row r="56896" spans="25:37" x14ac:dyDescent="0.2">
      <c r="Y56896" s="251"/>
      <c r="AB56896" s="251"/>
      <c r="AE56896" s="251"/>
      <c r="AH56896" s="251"/>
      <c r="AK56896" s="251"/>
    </row>
    <row r="57011" spans="25:37" x14ac:dyDescent="0.2">
      <c r="Y57011" s="5"/>
      <c r="AB57011" s="5"/>
      <c r="AE57011" s="5"/>
      <c r="AH57011" s="5"/>
      <c r="AK57011" s="5"/>
    </row>
    <row r="57021" spans="25:37" x14ac:dyDescent="0.2">
      <c r="Y57021" s="251"/>
      <c r="AB57021" s="251"/>
      <c r="AE57021" s="251"/>
      <c r="AH57021" s="251"/>
      <c r="AK57021" s="251"/>
    </row>
    <row r="57136" spans="25:37" x14ac:dyDescent="0.2">
      <c r="Y57136" s="5"/>
      <c r="AB57136" s="5"/>
      <c r="AE57136" s="5"/>
      <c r="AH57136" s="5"/>
      <c r="AK57136" s="5"/>
    </row>
    <row r="57146" spans="25:37" x14ac:dyDescent="0.2">
      <c r="Y57146" s="251"/>
      <c r="AB57146" s="251"/>
      <c r="AE57146" s="251"/>
      <c r="AH57146" s="251"/>
      <c r="AK57146" s="251"/>
    </row>
    <row r="57261" spans="25:37" x14ac:dyDescent="0.2">
      <c r="Y57261" s="5"/>
      <c r="AB57261" s="5"/>
      <c r="AE57261" s="5"/>
      <c r="AH57261" s="5"/>
      <c r="AK57261" s="5"/>
    </row>
    <row r="57271" spans="25:37" x14ac:dyDescent="0.2">
      <c r="Y57271" s="251"/>
      <c r="AB57271" s="251"/>
      <c r="AE57271" s="251"/>
      <c r="AH57271" s="251"/>
      <c r="AK57271" s="251"/>
    </row>
    <row r="57386" spans="25:37" x14ac:dyDescent="0.2">
      <c r="Y57386" s="5"/>
      <c r="AB57386" s="5"/>
      <c r="AE57386" s="5"/>
      <c r="AH57386" s="5"/>
      <c r="AK57386" s="5"/>
    </row>
    <row r="57396" spans="25:37" x14ac:dyDescent="0.2">
      <c r="Y57396" s="251"/>
      <c r="AB57396" s="251"/>
      <c r="AE57396" s="251"/>
      <c r="AH57396" s="251"/>
      <c r="AK57396" s="251"/>
    </row>
    <row r="57511" spans="25:37" x14ac:dyDescent="0.2">
      <c r="Y57511" s="5"/>
      <c r="AB57511" s="5"/>
      <c r="AE57511" s="5"/>
      <c r="AH57511" s="5"/>
      <c r="AK57511" s="5"/>
    </row>
    <row r="57521" spans="25:37" x14ac:dyDescent="0.2">
      <c r="Y57521" s="251"/>
      <c r="AB57521" s="251"/>
      <c r="AE57521" s="251"/>
      <c r="AH57521" s="251"/>
      <c r="AK57521" s="251"/>
    </row>
    <row r="57636" spans="25:37" x14ac:dyDescent="0.2">
      <c r="Y57636" s="5"/>
      <c r="AB57636" s="5"/>
      <c r="AE57636" s="5"/>
      <c r="AH57636" s="5"/>
      <c r="AK57636" s="5"/>
    </row>
    <row r="57646" spans="25:37" x14ac:dyDescent="0.2">
      <c r="Y57646" s="251"/>
      <c r="AB57646" s="251"/>
      <c r="AE57646" s="251"/>
      <c r="AH57646" s="251"/>
      <c r="AK57646" s="251"/>
    </row>
    <row r="57761" spans="25:37" x14ac:dyDescent="0.2">
      <c r="Y57761" s="5"/>
      <c r="AB57761" s="5"/>
      <c r="AE57761" s="5"/>
      <c r="AH57761" s="5"/>
      <c r="AK57761" s="5"/>
    </row>
    <row r="57771" spans="25:37" x14ac:dyDescent="0.2">
      <c r="Y57771" s="251"/>
      <c r="AB57771" s="251"/>
      <c r="AE57771" s="251"/>
      <c r="AH57771" s="251"/>
      <c r="AK57771" s="251"/>
    </row>
    <row r="57886" spans="25:37" x14ac:dyDescent="0.2">
      <c r="Y57886" s="5"/>
      <c r="AB57886" s="5"/>
      <c r="AE57886" s="5"/>
      <c r="AH57886" s="5"/>
      <c r="AK57886" s="5"/>
    </row>
    <row r="57896" spans="25:37" x14ac:dyDescent="0.2">
      <c r="Y57896" s="251"/>
      <c r="AB57896" s="251"/>
      <c r="AE57896" s="251"/>
      <c r="AH57896" s="251"/>
      <c r="AK57896" s="251"/>
    </row>
    <row r="58011" spans="25:37" x14ac:dyDescent="0.2">
      <c r="Y58011" s="5"/>
      <c r="AB58011" s="5"/>
      <c r="AE58011" s="5"/>
      <c r="AH58011" s="5"/>
      <c r="AK58011" s="5"/>
    </row>
    <row r="58021" spans="25:37" x14ac:dyDescent="0.2">
      <c r="Y58021" s="251"/>
      <c r="AB58021" s="251"/>
      <c r="AE58021" s="251"/>
      <c r="AH58021" s="251"/>
      <c r="AK58021" s="251"/>
    </row>
    <row r="58136" spans="25:37" x14ac:dyDescent="0.2">
      <c r="Y58136" s="5"/>
      <c r="AB58136" s="5"/>
      <c r="AE58136" s="5"/>
      <c r="AH58136" s="5"/>
      <c r="AK58136" s="5"/>
    </row>
    <row r="58146" spans="25:37" x14ac:dyDescent="0.2">
      <c r="Y58146" s="251"/>
      <c r="AB58146" s="251"/>
      <c r="AE58146" s="251"/>
      <c r="AH58146" s="251"/>
      <c r="AK58146" s="251"/>
    </row>
    <row r="58261" spans="25:37" x14ac:dyDescent="0.2">
      <c r="Y58261" s="5"/>
      <c r="AB58261" s="5"/>
      <c r="AE58261" s="5"/>
      <c r="AH58261" s="5"/>
      <c r="AK58261" s="5"/>
    </row>
    <row r="58271" spans="25:37" x14ac:dyDescent="0.2">
      <c r="Y58271" s="251"/>
      <c r="AB58271" s="251"/>
      <c r="AE58271" s="251"/>
      <c r="AH58271" s="251"/>
      <c r="AK58271" s="251"/>
    </row>
    <row r="58386" spans="25:37" x14ac:dyDescent="0.2">
      <c r="Y58386" s="5"/>
      <c r="AB58386" s="5"/>
      <c r="AE58386" s="5"/>
      <c r="AH58386" s="5"/>
      <c r="AK58386" s="5"/>
    </row>
    <row r="58396" spans="25:37" x14ac:dyDescent="0.2">
      <c r="Y58396" s="251"/>
      <c r="AB58396" s="251"/>
      <c r="AE58396" s="251"/>
      <c r="AH58396" s="251"/>
      <c r="AK58396" s="251"/>
    </row>
    <row r="58511" spans="25:37" x14ac:dyDescent="0.2">
      <c r="Y58511" s="5"/>
      <c r="AB58511" s="5"/>
      <c r="AE58511" s="5"/>
      <c r="AH58511" s="5"/>
      <c r="AK58511" s="5"/>
    </row>
    <row r="58521" spans="25:37" x14ac:dyDescent="0.2">
      <c r="Y58521" s="251"/>
      <c r="AB58521" s="251"/>
      <c r="AE58521" s="251"/>
      <c r="AH58521" s="251"/>
      <c r="AK58521" s="251"/>
    </row>
    <row r="58636" spans="25:37" x14ac:dyDescent="0.2">
      <c r="Y58636" s="5"/>
      <c r="AB58636" s="5"/>
      <c r="AE58636" s="5"/>
      <c r="AH58636" s="5"/>
      <c r="AK58636" s="5"/>
    </row>
    <row r="58646" spans="25:37" x14ac:dyDescent="0.2">
      <c r="Y58646" s="251"/>
      <c r="AB58646" s="251"/>
      <c r="AE58646" s="251"/>
      <c r="AH58646" s="251"/>
      <c r="AK58646" s="251"/>
    </row>
    <row r="58761" spans="25:37" x14ac:dyDescent="0.2">
      <c r="Y58761" s="5"/>
      <c r="AB58761" s="5"/>
      <c r="AE58761" s="5"/>
      <c r="AH58761" s="5"/>
      <c r="AK58761" s="5"/>
    </row>
    <row r="58771" spans="25:37" x14ac:dyDescent="0.2">
      <c r="Y58771" s="251"/>
      <c r="AB58771" s="251"/>
      <c r="AE58771" s="251"/>
      <c r="AH58771" s="251"/>
      <c r="AK58771" s="251"/>
    </row>
    <row r="58886" spans="25:37" x14ac:dyDescent="0.2">
      <c r="Y58886" s="5"/>
      <c r="AB58886" s="5"/>
      <c r="AE58886" s="5"/>
      <c r="AH58886" s="5"/>
      <c r="AK58886" s="5"/>
    </row>
    <row r="58896" spans="25:37" x14ac:dyDescent="0.2">
      <c r="Y58896" s="251"/>
      <c r="AB58896" s="251"/>
      <c r="AE58896" s="251"/>
      <c r="AH58896" s="251"/>
      <c r="AK58896" s="251"/>
    </row>
    <row r="59011" spans="25:37" x14ac:dyDescent="0.2">
      <c r="Y59011" s="5"/>
      <c r="AB59011" s="5"/>
      <c r="AE59011" s="5"/>
      <c r="AH59011" s="5"/>
      <c r="AK59011" s="5"/>
    </row>
    <row r="59021" spans="25:37" x14ac:dyDescent="0.2">
      <c r="Y59021" s="251"/>
      <c r="AB59021" s="251"/>
      <c r="AE59021" s="251"/>
      <c r="AH59021" s="251"/>
      <c r="AK59021" s="251"/>
    </row>
    <row r="59136" spans="25:37" x14ac:dyDescent="0.2">
      <c r="Y59136" s="5"/>
      <c r="AB59136" s="5"/>
      <c r="AE59136" s="5"/>
      <c r="AH59136" s="5"/>
      <c r="AK59136" s="5"/>
    </row>
    <row r="59146" spans="25:37" x14ac:dyDescent="0.2">
      <c r="Y59146" s="251"/>
      <c r="AB59146" s="251"/>
      <c r="AE59146" s="251"/>
      <c r="AH59146" s="251"/>
      <c r="AK59146" s="251"/>
    </row>
    <row r="59261" spans="25:37" x14ac:dyDescent="0.2">
      <c r="Y59261" s="5"/>
      <c r="AB59261" s="5"/>
      <c r="AE59261" s="5"/>
      <c r="AH59261" s="5"/>
      <c r="AK59261" s="5"/>
    </row>
    <row r="59271" spans="25:37" x14ac:dyDescent="0.2">
      <c r="Y59271" s="251"/>
      <c r="AB59271" s="251"/>
      <c r="AE59271" s="251"/>
      <c r="AH59271" s="251"/>
      <c r="AK59271" s="251"/>
    </row>
    <row r="59386" spans="25:37" x14ac:dyDescent="0.2">
      <c r="Y59386" s="5"/>
      <c r="AB59386" s="5"/>
      <c r="AE59386" s="5"/>
      <c r="AH59386" s="5"/>
      <c r="AK59386" s="5"/>
    </row>
    <row r="59396" spans="25:37" x14ac:dyDescent="0.2">
      <c r="Y59396" s="251"/>
      <c r="AB59396" s="251"/>
      <c r="AE59396" s="251"/>
      <c r="AH59396" s="251"/>
      <c r="AK59396" s="251"/>
    </row>
    <row r="59511" spans="25:37" x14ac:dyDescent="0.2">
      <c r="Y59511" s="5"/>
      <c r="AB59511" s="5"/>
      <c r="AE59511" s="5"/>
      <c r="AH59511" s="5"/>
      <c r="AK59511" s="5"/>
    </row>
    <row r="59521" spans="25:37" x14ac:dyDescent="0.2">
      <c r="Y59521" s="251"/>
      <c r="AB59521" s="251"/>
      <c r="AE59521" s="251"/>
      <c r="AH59521" s="251"/>
      <c r="AK59521" s="251"/>
    </row>
    <row r="59636" spans="25:37" x14ac:dyDescent="0.2">
      <c r="Y59636" s="5"/>
      <c r="AB59636" s="5"/>
      <c r="AE59636" s="5"/>
      <c r="AH59636" s="5"/>
      <c r="AK59636" s="5"/>
    </row>
    <row r="59646" spans="25:37" x14ac:dyDescent="0.2">
      <c r="Y59646" s="251"/>
      <c r="AB59646" s="251"/>
      <c r="AE59646" s="251"/>
      <c r="AH59646" s="251"/>
      <c r="AK59646" s="251"/>
    </row>
    <row r="59761" spans="25:37" x14ac:dyDescent="0.2">
      <c r="Y59761" s="5"/>
      <c r="AB59761" s="5"/>
      <c r="AE59761" s="5"/>
      <c r="AH59761" s="5"/>
      <c r="AK59761" s="5"/>
    </row>
    <row r="59771" spans="25:37" x14ac:dyDescent="0.2">
      <c r="Y59771" s="251"/>
      <c r="AB59771" s="251"/>
      <c r="AE59771" s="251"/>
      <c r="AH59771" s="251"/>
      <c r="AK59771" s="251"/>
    </row>
    <row r="59886" spans="25:37" x14ac:dyDescent="0.2">
      <c r="Y59886" s="5"/>
      <c r="AB59886" s="5"/>
      <c r="AE59886" s="5"/>
      <c r="AH59886" s="5"/>
      <c r="AK59886" s="5"/>
    </row>
    <row r="59896" spans="25:37" x14ac:dyDescent="0.2">
      <c r="Y59896" s="251"/>
      <c r="AB59896" s="251"/>
      <c r="AE59896" s="251"/>
      <c r="AH59896" s="251"/>
      <c r="AK59896" s="251"/>
    </row>
    <row r="60011" spans="25:37" x14ac:dyDescent="0.2">
      <c r="Y60011" s="5"/>
      <c r="AB60011" s="5"/>
      <c r="AE60011" s="5"/>
      <c r="AH60011" s="5"/>
      <c r="AK60011" s="5"/>
    </row>
    <row r="60021" spans="25:37" x14ac:dyDescent="0.2">
      <c r="Y60021" s="251"/>
      <c r="AB60021" s="251"/>
      <c r="AE60021" s="251"/>
      <c r="AH60021" s="251"/>
      <c r="AK60021" s="251"/>
    </row>
    <row r="60136" spans="25:37" x14ac:dyDescent="0.2">
      <c r="Y60136" s="5"/>
      <c r="AB60136" s="5"/>
      <c r="AE60136" s="5"/>
      <c r="AH60136" s="5"/>
      <c r="AK60136" s="5"/>
    </row>
    <row r="60146" spans="25:37" x14ac:dyDescent="0.2">
      <c r="Y60146" s="251"/>
      <c r="AB60146" s="251"/>
      <c r="AE60146" s="251"/>
      <c r="AH60146" s="251"/>
      <c r="AK60146" s="251"/>
    </row>
    <row r="60261" spans="25:37" x14ac:dyDescent="0.2">
      <c r="Y60261" s="5"/>
      <c r="AB60261" s="5"/>
      <c r="AE60261" s="5"/>
      <c r="AH60261" s="5"/>
      <c r="AK60261" s="5"/>
    </row>
    <row r="60271" spans="25:37" x14ac:dyDescent="0.2">
      <c r="Y60271" s="251"/>
      <c r="AB60271" s="251"/>
      <c r="AE60271" s="251"/>
      <c r="AH60271" s="251"/>
      <c r="AK60271" s="251"/>
    </row>
    <row r="60386" spans="25:37" x14ac:dyDescent="0.2">
      <c r="Y60386" s="5"/>
      <c r="AB60386" s="5"/>
      <c r="AE60386" s="5"/>
      <c r="AH60386" s="5"/>
      <c r="AK60386" s="5"/>
    </row>
    <row r="60396" spans="25:37" x14ac:dyDescent="0.2">
      <c r="Y60396" s="251"/>
      <c r="AB60396" s="251"/>
      <c r="AE60396" s="251"/>
      <c r="AH60396" s="251"/>
      <c r="AK60396" s="251"/>
    </row>
    <row r="60511" spans="25:37" x14ac:dyDescent="0.2">
      <c r="Y60511" s="5"/>
      <c r="AB60511" s="5"/>
      <c r="AE60511" s="5"/>
      <c r="AH60511" s="5"/>
      <c r="AK60511" s="5"/>
    </row>
    <row r="60521" spans="25:37" x14ac:dyDescent="0.2">
      <c r="Y60521" s="251"/>
      <c r="AB60521" s="251"/>
      <c r="AE60521" s="251"/>
      <c r="AH60521" s="251"/>
      <c r="AK60521" s="251"/>
    </row>
    <row r="60636" spans="25:37" x14ac:dyDescent="0.2">
      <c r="Y60636" s="5"/>
      <c r="AB60636" s="5"/>
      <c r="AE60636" s="5"/>
      <c r="AH60636" s="5"/>
      <c r="AK60636" s="5"/>
    </row>
    <row r="60646" spans="25:37" x14ac:dyDescent="0.2">
      <c r="Y60646" s="251"/>
      <c r="AB60646" s="251"/>
      <c r="AE60646" s="251"/>
      <c r="AH60646" s="251"/>
      <c r="AK60646" s="251"/>
    </row>
    <row r="60761" spans="25:37" x14ac:dyDescent="0.2">
      <c r="Y60761" s="5"/>
      <c r="AB60761" s="5"/>
      <c r="AE60761" s="5"/>
      <c r="AH60761" s="5"/>
      <c r="AK60761" s="5"/>
    </row>
    <row r="60771" spans="25:37" x14ac:dyDescent="0.2">
      <c r="Y60771" s="251"/>
      <c r="AB60771" s="251"/>
      <c r="AE60771" s="251"/>
      <c r="AH60771" s="251"/>
      <c r="AK60771" s="251"/>
    </row>
    <row r="60886" spans="25:37" x14ac:dyDescent="0.2">
      <c r="Y60886" s="5"/>
      <c r="AB60886" s="5"/>
      <c r="AE60886" s="5"/>
      <c r="AH60886" s="5"/>
      <c r="AK60886" s="5"/>
    </row>
    <row r="60896" spans="25:37" x14ac:dyDescent="0.2">
      <c r="Y60896" s="251"/>
      <c r="AB60896" s="251"/>
      <c r="AE60896" s="251"/>
      <c r="AH60896" s="251"/>
      <c r="AK60896" s="251"/>
    </row>
    <row r="61011" spans="25:37" x14ac:dyDescent="0.2">
      <c r="Y61011" s="5"/>
      <c r="AB61011" s="5"/>
      <c r="AE61011" s="5"/>
      <c r="AH61011" s="5"/>
      <c r="AK61011" s="5"/>
    </row>
    <row r="61021" spans="25:37" x14ac:dyDescent="0.2">
      <c r="Y61021" s="251"/>
      <c r="AB61021" s="251"/>
      <c r="AE61021" s="251"/>
      <c r="AH61021" s="251"/>
      <c r="AK61021" s="251"/>
    </row>
    <row r="61136" spans="25:37" x14ac:dyDescent="0.2">
      <c r="Y61136" s="5"/>
      <c r="AB61136" s="5"/>
      <c r="AE61136" s="5"/>
      <c r="AH61136" s="5"/>
      <c r="AK61136" s="5"/>
    </row>
    <row r="61146" spans="25:37" x14ac:dyDescent="0.2">
      <c r="Y61146" s="251"/>
      <c r="AB61146" s="251"/>
      <c r="AE61146" s="251"/>
      <c r="AH61146" s="251"/>
      <c r="AK61146" s="251"/>
    </row>
    <row r="61261" spans="25:37" x14ac:dyDescent="0.2">
      <c r="Y61261" s="5"/>
      <c r="AB61261" s="5"/>
      <c r="AE61261" s="5"/>
      <c r="AH61261" s="5"/>
      <c r="AK61261" s="5"/>
    </row>
    <row r="61271" spans="25:37" x14ac:dyDescent="0.2">
      <c r="Y61271" s="251"/>
      <c r="AB61271" s="251"/>
      <c r="AE61271" s="251"/>
      <c r="AH61271" s="251"/>
      <c r="AK61271" s="251"/>
    </row>
    <row r="61386" spans="25:37" x14ac:dyDescent="0.2">
      <c r="Y61386" s="5"/>
      <c r="AB61386" s="5"/>
      <c r="AE61386" s="5"/>
      <c r="AH61386" s="5"/>
      <c r="AK61386" s="5"/>
    </row>
    <row r="61396" spans="25:37" x14ac:dyDescent="0.2">
      <c r="Y61396" s="251"/>
      <c r="AB61396" s="251"/>
      <c r="AE61396" s="251"/>
      <c r="AH61396" s="251"/>
      <c r="AK61396" s="251"/>
    </row>
    <row r="61511" spans="25:37" x14ac:dyDescent="0.2">
      <c r="Y61511" s="5"/>
      <c r="AB61511" s="5"/>
      <c r="AE61511" s="5"/>
      <c r="AH61511" s="5"/>
      <c r="AK61511" s="5"/>
    </row>
    <row r="61521" spans="25:37" x14ac:dyDescent="0.2">
      <c r="Y61521" s="251"/>
      <c r="AB61521" s="251"/>
      <c r="AE61521" s="251"/>
      <c r="AH61521" s="251"/>
      <c r="AK61521" s="251"/>
    </row>
    <row r="61636" spans="25:37" x14ac:dyDescent="0.2">
      <c r="Y61636" s="5"/>
      <c r="AB61636" s="5"/>
      <c r="AE61636" s="5"/>
      <c r="AH61636" s="5"/>
      <c r="AK61636" s="5"/>
    </row>
    <row r="61646" spans="25:37" x14ac:dyDescent="0.2">
      <c r="Y61646" s="251"/>
      <c r="AB61646" s="251"/>
      <c r="AE61646" s="251"/>
      <c r="AH61646" s="251"/>
      <c r="AK61646" s="251"/>
    </row>
    <row r="61761" spans="25:37" x14ac:dyDescent="0.2">
      <c r="Y61761" s="5"/>
      <c r="AB61761" s="5"/>
      <c r="AE61761" s="5"/>
      <c r="AH61761" s="5"/>
      <c r="AK61761" s="5"/>
    </row>
    <row r="61771" spans="25:37" x14ac:dyDescent="0.2">
      <c r="Y61771" s="251"/>
      <c r="AB61771" s="251"/>
      <c r="AE61771" s="251"/>
      <c r="AH61771" s="251"/>
      <c r="AK61771" s="251"/>
    </row>
    <row r="61886" spans="25:37" x14ac:dyDescent="0.2">
      <c r="Y61886" s="5"/>
      <c r="AB61886" s="5"/>
      <c r="AE61886" s="5"/>
      <c r="AH61886" s="5"/>
      <c r="AK61886" s="5"/>
    </row>
    <row r="61896" spans="25:37" x14ac:dyDescent="0.2">
      <c r="Y61896" s="251"/>
      <c r="AB61896" s="251"/>
      <c r="AE61896" s="251"/>
      <c r="AH61896" s="251"/>
      <c r="AK61896" s="251"/>
    </row>
    <row r="62011" spans="25:37" x14ac:dyDescent="0.2">
      <c r="Y62011" s="5"/>
      <c r="AB62011" s="5"/>
      <c r="AE62011" s="5"/>
      <c r="AH62011" s="5"/>
      <c r="AK62011" s="5"/>
    </row>
    <row r="62021" spans="25:37" x14ac:dyDescent="0.2">
      <c r="Y62021" s="251"/>
      <c r="AB62021" s="251"/>
      <c r="AE62021" s="251"/>
      <c r="AH62021" s="251"/>
      <c r="AK62021" s="251"/>
    </row>
    <row r="62136" spans="25:37" x14ac:dyDescent="0.2">
      <c r="Y62136" s="5"/>
      <c r="AB62136" s="5"/>
      <c r="AE62136" s="5"/>
      <c r="AH62136" s="5"/>
      <c r="AK62136" s="5"/>
    </row>
    <row r="62146" spans="25:37" x14ac:dyDescent="0.2">
      <c r="Y62146" s="251"/>
      <c r="AB62146" s="251"/>
      <c r="AE62146" s="251"/>
      <c r="AH62146" s="251"/>
      <c r="AK62146" s="251"/>
    </row>
    <row r="62261" spans="25:37" x14ac:dyDescent="0.2">
      <c r="Y62261" s="5"/>
      <c r="AB62261" s="5"/>
      <c r="AE62261" s="5"/>
      <c r="AH62261" s="5"/>
      <c r="AK62261" s="5"/>
    </row>
    <row r="62271" spans="25:37" x14ac:dyDescent="0.2">
      <c r="Y62271" s="251"/>
      <c r="AB62271" s="251"/>
      <c r="AE62271" s="251"/>
      <c r="AH62271" s="251"/>
      <c r="AK62271" s="251"/>
    </row>
    <row r="62386" spans="25:37" x14ac:dyDescent="0.2">
      <c r="Y62386" s="5"/>
      <c r="AB62386" s="5"/>
      <c r="AE62386" s="5"/>
      <c r="AH62386" s="5"/>
      <c r="AK62386" s="5"/>
    </row>
    <row r="62396" spans="25:37" x14ac:dyDescent="0.2">
      <c r="Y62396" s="251"/>
      <c r="AB62396" s="251"/>
      <c r="AE62396" s="251"/>
      <c r="AH62396" s="251"/>
      <c r="AK62396" s="251"/>
    </row>
    <row r="62511" spans="25:37" x14ac:dyDescent="0.2">
      <c r="Y62511" s="5"/>
      <c r="AB62511" s="5"/>
      <c r="AE62511" s="5"/>
      <c r="AH62511" s="5"/>
      <c r="AK62511" s="5"/>
    </row>
    <row r="62521" spans="25:37" x14ac:dyDescent="0.2">
      <c r="Y62521" s="251"/>
      <c r="AB62521" s="251"/>
      <c r="AE62521" s="251"/>
      <c r="AH62521" s="251"/>
      <c r="AK62521" s="251"/>
    </row>
    <row r="62636" spans="25:37" x14ac:dyDescent="0.2">
      <c r="Y62636" s="5"/>
      <c r="AB62636" s="5"/>
      <c r="AE62636" s="5"/>
      <c r="AH62636" s="5"/>
      <c r="AK62636" s="5"/>
    </row>
    <row r="62646" spans="25:37" x14ac:dyDescent="0.2">
      <c r="Y62646" s="251"/>
      <c r="AB62646" s="251"/>
      <c r="AE62646" s="251"/>
      <c r="AH62646" s="251"/>
      <c r="AK62646" s="251"/>
    </row>
    <row r="62761" spans="25:37" x14ac:dyDescent="0.2">
      <c r="Y62761" s="5"/>
      <c r="AB62761" s="5"/>
      <c r="AE62761" s="5"/>
      <c r="AH62761" s="5"/>
      <c r="AK62761" s="5"/>
    </row>
    <row r="62771" spans="25:37" x14ac:dyDescent="0.2">
      <c r="Y62771" s="251"/>
      <c r="AB62771" s="251"/>
      <c r="AE62771" s="251"/>
      <c r="AH62771" s="251"/>
      <c r="AK62771" s="251"/>
    </row>
    <row r="62886" spans="25:37" x14ac:dyDescent="0.2">
      <c r="Y62886" s="5"/>
      <c r="AB62886" s="5"/>
      <c r="AE62886" s="5"/>
      <c r="AH62886" s="5"/>
      <c r="AK62886" s="5"/>
    </row>
    <row r="62896" spans="25:37" x14ac:dyDescent="0.2">
      <c r="Y62896" s="251"/>
      <c r="AB62896" s="251"/>
      <c r="AE62896" s="251"/>
      <c r="AH62896" s="251"/>
      <c r="AK62896" s="251"/>
    </row>
    <row r="63011" spans="25:37" x14ac:dyDescent="0.2">
      <c r="Y63011" s="5"/>
      <c r="AB63011" s="5"/>
      <c r="AE63011" s="5"/>
      <c r="AH63011" s="5"/>
      <c r="AK63011" s="5"/>
    </row>
    <row r="63021" spans="25:37" x14ac:dyDescent="0.2">
      <c r="Y63021" s="251"/>
      <c r="AB63021" s="251"/>
      <c r="AE63021" s="251"/>
      <c r="AH63021" s="251"/>
      <c r="AK63021" s="251"/>
    </row>
    <row r="63136" spans="25:37" x14ac:dyDescent="0.2">
      <c r="Y63136" s="5"/>
      <c r="AB63136" s="5"/>
      <c r="AE63136" s="5"/>
      <c r="AH63136" s="5"/>
      <c r="AK63136" s="5"/>
    </row>
    <row r="63146" spans="25:37" x14ac:dyDescent="0.2">
      <c r="Y63146" s="251"/>
      <c r="AB63146" s="251"/>
      <c r="AE63146" s="251"/>
      <c r="AH63146" s="251"/>
      <c r="AK63146" s="251"/>
    </row>
    <row r="63261" spans="25:37" x14ac:dyDescent="0.2">
      <c r="Y63261" s="5"/>
      <c r="AB63261" s="5"/>
      <c r="AE63261" s="5"/>
      <c r="AH63261" s="5"/>
      <c r="AK63261" s="5"/>
    </row>
    <row r="63271" spans="25:37" x14ac:dyDescent="0.2">
      <c r="Y63271" s="251"/>
      <c r="AB63271" s="251"/>
      <c r="AE63271" s="251"/>
      <c r="AH63271" s="251"/>
      <c r="AK63271" s="251"/>
    </row>
    <row r="63386" spans="25:37" x14ac:dyDescent="0.2">
      <c r="Y63386" s="5"/>
      <c r="AB63386" s="5"/>
      <c r="AE63386" s="5"/>
      <c r="AH63386" s="5"/>
      <c r="AK63386" s="5"/>
    </row>
    <row r="63396" spans="25:37" x14ac:dyDescent="0.2">
      <c r="Y63396" s="251"/>
      <c r="AB63396" s="251"/>
      <c r="AE63396" s="251"/>
      <c r="AH63396" s="251"/>
      <c r="AK63396" s="251"/>
    </row>
    <row r="63511" spans="25:37" x14ac:dyDescent="0.2">
      <c r="Y63511" s="5"/>
      <c r="AB63511" s="5"/>
      <c r="AE63511" s="5"/>
      <c r="AH63511" s="5"/>
      <c r="AK63511" s="5"/>
    </row>
    <row r="63521" spans="25:37" x14ac:dyDescent="0.2">
      <c r="Y63521" s="251"/>
      <c r="AB63521" s="251"/>
      <c r="AE63521" s="251"/>
      <c r="AH63521" s="251"/>
      <c r="AK63521" s="251"/>
    </row>
    <row r="63636" spans="25:37" x14ac:dyDescent="0.2">
      <c r="Y63636" s="5"/>
      <c r="AB63636" s="5"/>
      <c r="AE63636" s="5"/>
      <c r="AH63636" s="5"/>
      <c r="AK63636" s="5"/>
    </row>
    <row r="63646" spans="25:37" x14ac:dyDescent="0.2">
      <c r="Y63646" s="251"/>
      <c r="AB63646" s="251"/>
      <c r="AE63646" s="251"/>
      <c r="AH63646" s="251"/>
      <c r="AK63646" s="251"/>
    </row>
    <row r="63761" spans="25:37" x14ac:dyDescent="0.2">
      <c r="Y63761" s="5"/>
      <c r="AB63761" s="5"/>
      <c r="AE63761" s="5"/>
      <c r="AH63761" s="5"/>
      <c r="AK63761" s="5"/>
    </row>
    <row r="63771" spans="25:37" x14ac:dyDescent="0.2">
      <c r="Y63771" s="251"/>
      <c r="AB63771" s="251"/>
      <c r="AE63771" s="251"/>
      <c r="AH63771" s="251"/>
      <c r="AK63771" s="251"/>
    </row>
    <row r="63886" spans="25:37" x14ac:dyDescent="0.2">
      <c r="Y63886" s="5"/>
      <c r="AB63886" s="5"/>
      <c r="AE63886" s="5"/>
      <c r="AH63886" s="5"/>
      <c r="AK63886" s="5"/>
    </row>
    <row r="63896" spans="25:37" x14ac:dyDescent="0.2">
      <c r="Y63896" s="251"/>
      <c r="AB63896" s="251"/>
      <c r="AE63896" s="251"/>
      <c r="AH63896" s="251"/>
      <c r="AK63896" s="251"/>
    </row>
    <row r="64011" spans="25:37" x14ac:dyDescent="0.2">
      <c r="Y64011" s="5"/>
      <c r="AB64011" s="5"/>
      <c r="AE64011" s="5"/>
      <c r="AH64011" s="5"/>
      <c r="AK64011" s="5"/>
    </row>
    <row r="64021" spans="25:37" x14ac:dyDescent="0.2">
      <c r="Y64021" s="251"/>
      <c r="AB64021" s="251"/>
      <c r="AE64021" s="251"/>
      <c r="AH64021" s="251"/>
      <c r="AK64021" s="251"/>
    </row>
    <row r="64136" spans="25:37" x14ac:dyDescent="0.2">
      <c r="Y64136" s="5"/>
      <c r="AB64136" s="5"/>
      <c r="AE64136" s="5"/>
      <c r="AH64136" s="5"/>
      <c r="AK64136" s="5"/>
    </row>
    <row r="64146" spans="25:37" x14ac:dyDescent="0.2">
      <c r="Y64146" s="251"/>
      <c r="AB64146" s="251"/>
      <c r="AE64146" s="251"/>
      <c r="AH64146" s="251"/>
      <c r="AK64146" s="251"/>
    </row>
    <row r="64261" spans="25:37" x14ac:dyDescent="0.2">
      <c r="Y64261" s="5"/>
      <c r="AB64261" s="5"/>
      <c r="AE64261" s="5"/>
      <c r="AH64261" s="5"/>
      <c r="AK64261" s="5"/>
    </row>
    <row r="64271" spans="25:37" x14ac:dyDescent="0.2">
      <c r="Y64271" s="251"/>
      <c r="AB64271" s="251"/>
      <c r="AE64271" s="251"/>
      <c r="AH64271" s="251"/>
      <c r="AK64271" s="251"/>
    </row>
    <row r="64386" spans="25:37" x14ac:dyDescent="0.2">
      <c r="Y64386" s="5"/>
      <c r="AB64386" s="5"/>
      <c r="AE64386" s="5"/>
      <c r="AH64386" s="5"/>
      <c r="AK64386" s="5"/>
    </row>
    <row r="64396" spans="25:37" x14ac:dyDescent="0.2">
      <c r="Y64396" s="251"/>
      <c r="AB64396" s="251"/>
      <c r="AE64396" s="251"/>
      <c r="AH64396" s="251"/>
      <c r="AK64396" s="251"/>
    </row>
    <row r="64511" spans="25:37" x14ac:dyDescent="0.2">
      <c r="Y64511" s="5"/>
      <c r="AB64511" s="5"/>
      <c r="AE64511" s="5"/>
      <c r="AH64511" s="5"/>
      <c r="AK64511" s="5"/>
    </row>
    <row r="64521" spans="25:37" x14ac:dyDescent="0.2">
      <c r="Y64521" s="251"/>
      <c r="AB64521" s="251"/>
      <c r="AE64521" s="251"/>
      <c r="AH64521" s="251"/>
      <c r="AK64521" s="251"/>
    </row>
    <row r="64636" spans="25:37" x14ac:dyDescent="0.2">
      <c r="Y64636" s="5"/>
      <c r="AB64636" s="5"/>
      <c r="AE64636" s="5"/>
      <c r="AH64636" s="5"/>
      <c r="AK64636" s="5"/>
    </row>
    <row r="64646" spans="25:37" x14ac:dyDescent="0.2">
      <c r="Y64646" s="251"/>
      <c r="AB64646" s="251"/>
      <c r="AE64646" s="251"/>
      <c r="AH64646" s="251"/>
      <c r="AK64646" s="251"/>
    </row>
    <row r="64761" spans="25:37" x14ac:dyDescent="0.2">
      <c r="Y64761" s="5"/>
      <c r="AB64761" s="5"/>
      <c r="AE64761" s="5"/>
      <c r="AH64761" s="5"/>
      <c r="AK64761" s="5"/>
    </row>
    <row r="64771" spans="25:37" x14ac:dyDescent="0.2">
      <c r="Y64771" s="251"/>
      <c r="AB64771" s="251"/>
      <c r="AE64771" s="251"/>
      <c r="AH64771" s="251"/>
      <c r="AK64771" s="251"/>
    </row>
    <row r="64886" spans="25:37" x14ac:dyDescent="0.2">
      <c r="Y64886" s="5"/>
      <c r="AB64886" s="5"/>
      <c r="AE64886" s="5"/>
      <c r="AH64886" s="5"/>
      <c r="AK64886" s="5"/>
    </row>
    <row r="64896" spans="25:37" x14ac:dyDescent="0.2">
      <c r="Y64896" s="251"/>
      <c r="AB64896" s="251"/>
      <c r="AE64896" s="251"/>
      <c r="AH64896" s="251"/>
      <c r="AK64896" s="251"/>
    </row>
    <row r="65011" spans="25:37" x14ac:dyDescent="0.2">
      <c r="Y65011" s="5"/>
      <c r="AB65011" s="5"/>
      <c r="AE65011" s="5"/>
      <c r="AH65011" s="5"/>
      <c r="AK65011" s="5"/>
    </row>
    <row r="65021" spans="25:37" x14ac:dyDescent="0.2">
      <c r="Y65021" s="251"/>
      <c r="AB65021" s="251"/>
      <c r="AE65021" s="251"/>
      <c r="AH65021" s="251"/>
      <c r="AK65021" s="251"/>
    </row>
    <row r="65136" spans="25:37" x14ac:dyDescent="0.2">
      <c r="Y65136" s="5"/>
      <c r="AB65136" s="5"/>
      <c r="AE65136" s="5"/>
      <c r="AH65136" s="5"/>
      <c r="AK65136" s="5"/>
    </row>
    <row r="65146" spans="25:37" x14ac:dyDescent="0.2">
      <c r="Y65146" s="251"/>
      <c r="AB65146" s="251"/>
      <c r="AE65146" s="251"/>
      <c r="AH65146" s="251"/>
      <c r="AK65146" s="251"/>
    </row>
    <row r="65261" spans="25:37" x14ac:dyDescent="0.2">
      <c r="Y65261" s="5"/>
      <c r="AB65261" s="5"/>
      <c r="AE65261" s="5"/>
      <c r="AH65261" s="5"/>
      <c r="AK65261" s="5"/>
    </row>
    <row r="65271" spans="25:37" x14ac:dyDescent="0.2">
      <c r="Y65271" s="251"/>
      <c r="AB65271" s="251"/>
      <c r="AE65271" s="251"/>
      <c r="AH65271" s="251"/>
      <c r="AK65271" s="251"/>
    </row>
    <row r="65386" spans="25:37" x14ac:dyDescent="0.2">
      <c r="Y65386" s="5"/>
      <c r="AB65386" s="5"/>
      <c r="AE65386" s="5"/>
      <c r="AH65386" s="5"/>
      <c r="AK65386" s="5"/>
    </row>
    <row r="65396" spans="25:37" x14ac:dyDescent="0.2">
      <c r="Y65396" s="251"/>
      <c r="AB65396" s="251"/>
      <c r="AE65396" s="251"/>
      <c r="AH65396" s="251"/>
      <c r="AK65396" s="251"/>
    </row>
    <row r="65511" spans="25:37" x14ac:dyDescent="0.2">
      <c r="Y65511" s="5"/>
      <c r="AB65511" s="5"/>
      <c r="AE65511" s="5"/>
      <c r="AH65511" s="5"/>
      <c r="AK65511" s="5"/>
    </row>
    <row r="65521" spans="25:37" x14ac:dyDescent="0.2">
      <c r="Y65521" s="251"/>
      <c r="AB65521" s="251"/>
      <c r="AE65521" s="251"/>
      <c r="AH65521" s="251"/>
      <c r="AK65521" s="251"/>
    </row>
    <row r="65636" spans="25:37" x14ac:dyDescent="0.2">
      <c r="Y65636" s="5"/>
      <c r="AB65636" s="5"/>
      <c r="AE65636" s="5"/>
      <c r="AH65636" s="5"/>
      <c r="AK65636" s="5"/>
    </row>
    <row r="65646" spans="25:37" x14ac:dyDescent="0.2">
      <c r="Y65646" s="251"/>
      <c r="AB65646" s="251"/>
      <c r="AE65646" s="251"/>
      <c r="AH65646" s="251"/>
      <c r="AK65646" s="251"/>
    </row>
    <row r="65761" spans="25:37" x14ac:dyDescent="0.2">
      <c r="Y65761" s="5"/>
      <c r="AB65761" s="5"/>
      <c r="AE65761" s="5"/>
      <c r="AH65761" s="5"/>
      <c r="AK65761" s="5"/>
    </row>
    <row r="65771" spans="25:37" x14ac:dyDescent="0.2">
      <c r="Y65771" s="251"/>
      <c r="AB65771" s="251"/>
      <c r="AE65771" s="251"/>
      <c r="AH65771" s="251"/>
      <c r="AK65771" s="251"/>
    </row>
    <row r="65886" spans="25:37" x14ac:dyDescent="0.2">
      <c r="Y65886" s="5"/>
      <c r="AB65886" s="5"/>
      <c r="AE65886" s="5"/>
      <c r="AH65886" s="5"/>
      <c r="AK65886" s="5"/>
    </row>
    <row r="65896" spans="25:37" x14ac:dyDescent="0.2">
      <c r="Y65896" s="251"/>
      <c r="AB65896" s="251"/>
      <c r="AE65896" s="251"/>
      <c r="AH65896" s="251"/>
      <c r="AK65896" s="251"/>
    </row>
    <row r="66011" spans="25:37" x14ac:dyDescent="0.2">
      <c r="Y66011" s="5"/>
      <c r="AB66011" s="5"/>
      <c r="AE66011" s="5"/>
      <c r="AH66011" s="5"/>
      <c r="AK66011" s="5"/>
    </row>
    <row r="66021" spans="25:37" x14ac:dyDescent="0.2">
      <c r="Y66021" s="251"/>
      <c r="AB66021" s="251"/>
      <c r="AE66021" s="251"/>
      <c r="AH66021" s="251"/>
      <c r="AK66021" s="251"/>
    </row>
    <row r="66136" spans="25:37" x14ac:dyDescent="0.2">
      <c r="Y66136" s="5"/>
      <c r="AB66136" s="5"/>
      <c r="AE66136" s="5"/>
      <c r="AH66136" s="5"/>
      <c r="AK66136" s="5"/>
    </row>
    <row r="66146" spans="25:37" x14ac:dyDescent="0.2">
      <c r="Y66146" s="251"/>
      <c r="AB66146" s="251"/>
      <c r="AE66146" s="251"/>
      <c r="AH66146" s="251"/>
      <c r="AK66146" s="251"/>
    </row>
    <row r="66261" spans="25:37" x14ac:dyDescent="0.2">
      <c r="Y66261" s="5"/>
      <c r="AB66261" s="5"/>
      <c r="AE66261" s="5"/>
      <c r="AH66261" s="5"/>
      <c r="AK66261" s="5"/>
    </row>
    <row r="66271" spans="25:37" x14ac:dyDescent="0.2">
      <c r="Y66271" s="251"/>
      <c r="AB66271" s="251"/>
      <c r="AE66271" s="251"/>
      <c r="AH66271" s="251"/>
      <c r="AK66271" s="251"/>
    </row>
    <row r="66386" spans="25:37" x14ac:dyDescent="0.2">
      <c r="Y66386" s="5"/>
      <c r="AB66386" s="5"/>
      <c r="AE66386" s="5"/>
      <c r="AH66386" s="5"/>
      <c r="AK66386" s="5"/>
    </row>
    <row r="66396" spans="25:37" x14ac:dyDescent="0.2">
      <c r="Y66396" s="251"/>
      <c r="AB66396" s="251"/>
      <c r="AE66396" s="251"/>
      <c r="AH66396" s="251"/>
      <c r="AK66396" s="251"/>
    </row>
    <row r="66511" spans="25:37" x14ac:dyDescent="0.2">
      <c r="Y66511" s="5"/>
      <c r="AB66511" s="5"/>
      <c r="AE66511" s="5"/>
      <c r="AH66511" s="5"/>
      <c r="AK66511" s="5"/>
    </row>
    <row r="66521" spans="25:37" x14ac:dyDescent="0.2">
      <c r="Y66521" s="251"/>
      <c r="AB66521" s="251"/>
      <c r="AE66521" s="251"/>
      <c r="AH66521" s="251"/>
      <c r="AK66521" s="251"/>
    </row>
    <row r="66636" spans="25:37" x14ac:dyDescent="0.2">
      <c r="Y66636" s="5"/>
      <c r="AB66636" s="5"/>
      <c r="AE66636" s="5"/>
      <c r="AH66636" s="5"/>
      <c r="AK66636" s="5"/>
    </row>
    <row r="66646" spans="25:37" x14ac:dyDescent="0.2">
      <c r="Y66646" s="251"/>
      <c r="AB66646" s="251"/>
      <c r="AE66646" s="251"/>
      <c r="AH66646" s="251"/>
      <c r="AK66646" s="251"/>
    </row>
    <row r="66761" spans="25:37" x14ac:dyDescent="0.2">
      <c r="Y66761" s="5"/>
      <c r="AB66761" s="5"/>
      <c r="AE66761" s="5"/>
      <c r="AH66761" s="5"/>
      <c r="AK66761" s="5"/>
    </row>
    <row r="66771" spans="25:37" x14ac:dyDescent="0.2">
      <c r="Y66771" s="251"/>
      <c r="AB66771" s="251"/>
      <c r="AE66771" s="251"/>
      <c r="AH66771" s="251"/>
      <c r="AK66771" s="251"/>
    </row>
    <row r="66886" spans="25:37" x14ac:dyDescent="0.2">
      <c r="Y66886" s="5"/>
      <c r="AB66886" s="5"/>
      <c r="AE66886" s="5"/>
      <c r="AH66886" s="5"/>
      <c r="AK66886" s="5"/>
    </row>
    <row r="66896" spans="25:37" x14ac:dyDescent="0.2">
      <c r="Y66896" s="251"/>
      <c r="AB66896" s="251"/>
      <c r="AE66896" s="251"/>
      <c r="AH66896" s="251"/>
      <c r="AK66896" s="251"/>
    </row>
    <row r="67011" spans="25:37" x14ac:dyDescent="0.2">
      <c r="Y67011" s="5"/>
      <c r="AB67011" s="5"/>
      <c r="AE67011" s="5"/>
      <c r="AH67011" s="5"/>
      <c r="AK67011" s="5"/>
    </row>
    <row r="67021" spans="25:37" x14ac:dyDescent="0.2">
      <c r="Y67021" s="251"/>
      <c r="AB67021" s="251"/>
      <c r="AE67021" s="251"/>
      <c r="AH67021" s="251"/>
      <c r="AK67021" s="251"/>
    </row>
    <row r="67136" spans="25:37" x14ac:dyDescent="0.2">
      <c r="Y67136" s="5"/>
      <c r="AB67136" s="5"/>
      <c r="AE67136" s="5"/>
      <c r="AH67136" s="5"/>
      <c r="AK67136" s="5"/>
    </row>
    <row r="67146" spans="25:37" x14ac:dyDescent="0.2">
      <c r="Y67146" s="251"/>
      <c r="AB67146" s="251"/>
      <c r="AE67146" s="251"/>
      <c r="AH67146" s="251"/>
      <c r="AK67146" s="251"/>
    </row>
    <row r="67261" spans="25:37" x14ac:dyDescent="0.2">
      <c r="Y67261" s="5"/>
      <c r="AB67261" s="5"/>
      <c r="AE67261" s="5"/>
      <c r="AH67261" s="5"/>
      <c r="AK67261" s="5"/>
    </row>
    <row r="67271" spans="25:37" x14ac:dyDescent="0.2">
      <c r="Y67271" s="251"/>
      <c r="AB67271" s="251"/>
      <c r="AE67271" s="251"/>
      <c r="AH67271" s="251"/>
      <c r="AK67271" s="251"/>
    </row>
    <row r="67386" spans="25:37" x14ac:dyDescent="0.2">
      <c r="Y67386" s="5"/>
      <c r="AB67386" s="5"/>
      <c r="AE67386" s="5"/>
      <c r="AH67386" s="5"/>
      <c r="AK67386" s="5"/>
    </row>
    <row r="67396" spans="25:37" x14ac:dyDescent="0.2">
      <c r="Y67396" s="251"/>
      <c r="AB67396" s="251"/>
      <c r="AE67396" s="251"/>
      <c r="AH67396" s="251"/>
      <c r="AK67396" s="251"/>
    </row>
    <row r="67511" spans="25:37" x14ac:dyDescent="0.2">
      <c r="Y67511" s="5"/>
      <c r="AB67511" s="5"/>
      <c r="AE67511" s="5"/>
      <c r="AH67511" s="5"/>
      <c r="AK67511" s="5"/>
    </row>
    <row r="67521" spans="25:37" x14ac:dyDescent="0.2">
      <c r="Y67521" s="251"/>
      <c r="AB67521" s="251"/>
      <c r="AE67521" s="251"/>
      <c r="AH67521" s="251"/>
      <c r="AK67521" s="251"/>
    </row>
    <row r="67636" spans="25:37" x14ac:dyDescent="0.2">
      <c r="Y67636" s="5"/>
      <c r="AB67636" s="5"/>
      <c r="AE67636" s="5"/>
      <c r="AH67636" s="5"/>
      <c r="AK67636" s="5"/>
    </row>
    <row r="67646" spans="25:37" x14ac:dyDescent="0.2">
      <c r="Y67646" s="251"/>
      <c r="AB67646" s="251"/>
      <c r="AE67646" s="251"/>
      <c r="AH67646" s="251"/>
      <c r="AK67646" s="251"/>
    </row>
    <row r="67761" spans="25:37" x14ac:dyDescent="0.2">
      <c r="Y67761" s="5"/>
      <c r="AB67761" s="5"/>
      <c r="AE67761" s="5"/>
      <c r="AH67761" s="5"/>
      <c r="AK67761" s="5"/>
    </row>
    <row r="67771" spans="25:37" x14ac:dyDescent="0.2">
      <c r="Y67771" s="251"/>
      <c r="AB67771" s="251"/>
      <c r="AE67771" s="251"/>
      <c r="AH67771" s="251"/>
      <c r="AK67771" s="251"/>
    </row>
    <row r="67886" spans="25:37" x14ac:dyDescent="0.2">
      <c r="Y67886" s="5"/>
      <c r="AB67886" s="5"/>
      <c r="AE67886" s="5"/>
      <c r="AH67886" s="5"/>
      <c r="AK67886" s="5"/>
    </row>
    <row r="67896" spans="25:37" x14ac:dyDescent="0.2">
      <c r="Y67896" s="251"/>
      <c r="AB67896" s="251"/>
      <c r="AE67896" s="251"/>
      <c r="AH67896" s="251"/>
      <c r="AK67896" s="251"/>
    </row>
    <row r="68011" spans="25:37" x14ac:dyDescent="0.2">
      <c r="Y68011" s="5"/>
      <c r="AB68011" s="5"/>
      <c r="AE68011" s="5"/>
      <c r="AH68011" s="5"/>
      <c r="AK68011" s="5"/>
    </row>
    <row r="68021" spans="25:37" x14ac:dyDescent="0.2">
      <c r="Y68021" s="251"/>
      <c r="AB68021" s="251"/>
      <c r="AE68021" s="251"/>
      <c r="AH68021" s="251"/>
      <c r="AK68021" s="251"/>
    </row>
    <row r="68136" spans="25:37" x14ac:dyDescent="0.2">
      <c r="Y68136" s="5"/>
      <c r="AB68136" s="5"/>
      <c r="AE68136" s="5"/>
      <c r="AH68136" s="5"/>
      <c r="AK68136" s="5"/>
    </row>
    <row r="68146" spans="25:37" x14ac:dyDescent="0.2">
      <c r="Y68146" s="251"/>
      <c r="AB68146" s="251"/>
      <c r="AE68146" s="251"/>
      <c r="AH68146" s="251"/>
      <c r="AK68146" s="251"/>
    </row>
    <row r="68261" spans="25:37" x14ac:dyDescent="0.2">
      <c r="Y68261" s="5"/>
      <c r="AB68261" s="5"/>
      <c r="AE68261" s="5"/>
      <c r="AH68261" s="5"/>
      <c r="AK68261" s="5"/>
    </row>
    <row r="68271" spans="25:37" x14ac:dyDescent="0.2">
      <c r="Y68271" s="251"/>
      <c r="AB68271" s="251"/>
      <c r="AE68271" s="251"/>
      <c r="AH68271" s="251"/>
      <c r="AK68271" s="251"/>
    </row>
    <row r="68386" spans="25:37" x14ac:dyDescent="0.2">
      <c r="Y68386" s="5"/>
      <c r="AB68386" s="5"/>
      <c r="AE68386" s="5"/>
      <c r="AH68386" s="5"/>
      <c r="AK68386" s="5"/>
    </row>
    <row r="68396" spans="25:37" x14ac:dyDescent="0.2">
      <c r="Y68396" s="251"/>
      <c r="AB68396" s="251"/>
      <c r="AE68396" s="251"/>
      <c r="AH68396" s="251"/>
      <c r="AK68396" s="251"/>
    </row>
    <row r="68511" spans="25:37" x14ac:dyDescent="0.2">
      <c r="Y68511" s="5"/>
      <c r="AB68511" s="5"/>
      <c r="AE68511" s="5"/>
      <c r="AH68511" s="5"/>
      <c r="AK68511" s="5"/>
    </row>
    <row r="68521" spans="25:37" x14ac:dyDescent="0.2">
      <c r="Y68521" s="251"/>
      <c r="AB68521" s="251"/>
      <c r="AE68521" s="251"/>
      <c r="AH68521" s="251"/>
      <c r="AK68521" s="251"/>
    </row>
    <row r="68636" spans="25:37" x14ac:dyDescent="0.2">
      <c r="Y68636" s="5"/>
      <c r="AB68636" s="5"/>
      <c r="AE68636" s="5"/>
      <c r="AH68636" s="5"/>
      <c r="AK68636" s="5"/>
    </row>
    <row r="68646" spans="25:37" x14ac:dyDescent="0.2">
      <c r="Y68646" s="251"/>
      <c r="AB68646" s="251"/>
      <c r="AE68646" s="251"/>
      <c r="AH68646" s="251"/>
      <c r="AK68646" s="251"/>
    </row>
    <row r="68761" spans="25:37" x14ac:dyDescent="0.2">
      <c r="Y68761" s="5"/>
      <c r="AB68761" s="5"/>
      <c r="AE68761" s="5"/>
      <c r="AH68761" s="5"/>
      <c r="AK68761" s="5"/>
    </row>
    <row r="68771" spans="25:37" x14ac:dyDescent="0.2">
      <c r="Y68771" s="251"/>
      <c r="AB68771" s="251"/>
      <c r="AE68771" s="251"/>
      <c r="AH68771" s="251"/>
      <c r="AK68771" s="251"/>
    </row>
    <row r="68886" spans="25:37" x14ac:dyDescent="0.2">
      <c r="Y68886" s="5"/>
      <c r="AB68886" s="5"/>
      <c r="AE68886" s="5"/>
      <c r="AH68886" s="5"/>
      <c r="AK68886" s="5"/>
    </row>
    <row r="68896" spans="25:37" x14ac:dyDescent="0.2">
      <c r="Y68896" s="251"/>
      <c r="AB68896" s="251"/>
      <c r="AE68896" s="251"/>
      <c r="AH68896" s="251"/>
      <c r="AK68896" s="251"/>
    </row>
    <row r="69011" spans="25:37" x14ac:dyDescent="0.2">
      <c r="Y69011" s="5"/>
      <c r="AB69011" s="5"/>
      <c r="AE69011" s="5"/>
      <c r="AH69011" s="5"/>
      <c r="AK69011" s="5"/>
    </row>
    <row r="69021" spans="25:37" x14ac:dyDescent="0.2">
      <c r="Y69021" s="251"/>
      <c r="AB69021" s="251"/>
      <c r="AE69021" s="251"/>
      <c r="AH69021" s="251"/>
      <c r="AK69021" s="251"/>
    </row>
    <row r="69136" spans="25:37" x14ac:dyDescent="0.2">
      <c r="Y69136" s="5"/>
      <c r="AB69136" s="5"/>
      <c r="AE69136" s="5"/>
      <c r="AH69136" s="5"/>
      <c r="AK69136" s="5"/>
    </row>
    <row r="69146" spans="25:37" x14ac:dyDescent="0.2">
      <c r="Y69146" s="251"/>
      <c r="AB69146" s="251"/>
      <c r="AE69146" s="251"/>
      <c r="AH69146" s="251"/>
      <c r="AK69146" s="251"/>
    </row>
    <row r="69261" spans="25:37" x14ac:dyDescent="0.2">
      <c r="Y69261" s="5"/>
      <c r="AB69261" s="5"/>
      <c r="AE69261" s="5"/>
      <c r="AH69261" s="5"/>
      <c r="AK69261" s="5"/>
    </row>
    <row r="69271" spans="25:37" x14ac:dyDescent="0.2">
      <c r="Y69271" s="251"/>
      <c r="AB69271" s="251"/>
      <c r="AE69271" s="251"/>
      <c r="AH69271" s="251"/>
      <c r="AK69271" s="251"/>
    </row>
    <row r="69386" spans="25:37" x14ac:dyDescent="0.2">
      <c r="Y69386" s="5"/>
      <c r="AB69386" s="5"/>
      <c r="AE69386" s="5"/>
      <c r="AH69386" s="5"/>
      <c r="AK69386" s="5"/>
    </row>
    <row r="69396" spans="25:37" x14ac:dyDescent="0.2">
      <c r="Y69396" s="251"/>
      <c r="AB69396" s="251"/>
      <c r="AE69396" s="251"/>
      <c r="AH69396" s="251"/>
      <c r="AK69396" s="251"/>
    </row>
    <row r="69511" spans="25:37" x14ac:dyDescent="0.2">
      <c r="Y69511" s="5"/>
      <c r="AB69511" s="5"/>
      <c r="AE69511" s="5"/>
      <c r="AH69511" s="5"/>
      <c r="AK69511" s="5"/>
    </row>
    <row r="69521" spans="25:37" x14ac:dyDescent="0.2">
      <c r="Y69521" s="251"/>
      <c r="AB69521" s="251"/>
      <c r="AE69521" s="251"/>
      <c r="AH69521" s="251"/>
      <c r="AK69521" s="251"/>
    </row>
    <row r="69636" spans="25:37" x14ac:dyDescent="0.2">
      <c r="Y69636" s="5"/>
      <c r="AB69636" s="5"/>
      <c r="AE69636" s="5"/>
      <c r="AH69636" s="5"/>
      <c r="AK69636" s="5"/>
    </row>
    <row r="69646" spans="25:37" x14ac:dyDescent="0.2">
      <c r="Y69646" s="251"/>
      <c r="AB69646" s="251"/>
      <c r="AE69646" s="251"/>
      <c r="AH69646" s="251"/>
      <c r="AK69646" s="251"/>
    </row>
    <row r="69761" spans="25:37" x14ac:dyDescent="0.2">
      <c r="Y69761" s="5"/>
      <c r="AB69761" s="5"/>
      <c r="AE69761" s="5"/>
      <c r="AH69761" s="5"/>
      <c r="AK69761" s="5"/>
    </row>
    <row r="69771" spans="25:37" x14ac:dyDescent="0.2">
      <c r="Y69771" s="251"/>
      <c r="AB69771" s="251"/>
      <c r="AE69771" s="251"/>
      <c r="AH69771" s="251"/>
      <c r="AK69771" s="251"/>
    </row>
    <row r="69886" spans="25:37" x14ac:dyDescent="0.2">
      <c r="Y69886" s="5"/>
      <c r="AB69886" s="5"/>
      <c r="AE69886" s="5"/>
      <c r="AH69886" s="5"/>
      <c r="AK69886" s="5"/>
    </row>
    <row r="69896" spans="25:37" x14ac:dyDescent="0.2">
      <c r="Y69896" s="251"/>
      <c r="AB69896" s="251"/>
      <c r="AE69896" s="251"/>
      <c r="AH69896" s="251"/>
      <c r="AK69896" s="251"/>
    </row>
    <row r="70011" spans="25:37" x14ac:dyDescent="0.2">
      <c r="Y70011" s="5"/>
      <c r="AB70011" s="5"/>
      <c r="AE70011" s="5"/>
      <c r="AH70011" s="5"/>
      <c r="AK70011" s="5"/>
    </row>
    <row r="70021" spans="25:37" x14ac:dyDescent="0.2">
      <c r="Y70021" s="251"/>
      <c r="AB70021" s="251"/>
      <c r="AE70021" s="251"/>
      <c r="AH70021" s="251"/>
      <c r="AK70021" s="251"/>
    </row>
    <row r="70136" spans="25:37" x14ac:dyDescent="0.2">
      <c r="Y70136" s="5"/>
      <c r="AB70136" s="5"/>
      <c r="AE70136" s="5"/>
      <c r="AH70136" s="5"/>
      <c r="AK70136" s="5"/>
    </row>
    <row r="70146" spans="25:37" x14ac:dyDescent="0.2">
      <c r="Y70146" s="251"/>
      <c r="AB70146" s="251"/>
      <c r="AE70146" s="251"/>
      <c r="AH70146" s="251"/>
      <c r="AK70146" s="251"/>
    </row>
    <row r="70261" spans="25:37" x14ac:dyDescent="0.2">
      <c r="Y70261" s="5"/>
      <c r="AB70261" s="5"/>
      <c r="AE70261" s="5"/>
      <c r="AH70261" s="5"/>
      <c r="AK70261" s="5"/>
    </row>
    <row r="70271" spans="25:37" x14ac:dyDescent="0.2">
      <c r="Y70271" s="251"/>
      <c r="AB70271" s="251"/>
      <c r="AE70271" s="251"/>
      <c r="AH70271" s="251"/>
      <c r="AK70271" s="251"/>
    </row>
    <row r="70386" spans="25:37" x14ac:dyDescent="0.2">
      <c r="Y70386" s="5"/>
      <c r="AB70386" s="5"/>
      <c r="AE70386" s="5"/>
      <c r="AH70386" s="5"/>
      <c r="AK70386" s="5"/>
    </row>
    <row r="70396" spans="25:37" x14ac:dyDescent="0.2">
      <c r="Y70396" s="251"/>
      <c r="AB70396" s="251"/>
      <c r="AE70396" s="251"/>
      <c r="AH70396" s="251"/>
      <c r="AK70396" s="251"/>
    </row>
    <row r="70511" spans="25:37" x14ac:dyDescent="0.2">
      <c r="Y70511" s="5"/>
      <c r="AB70511" s="5"/>
      <c r="AE70511" s="5"/>
      <c r="AH70511" s="5"/>
      <c r="AK70511" s="5"/>
    </row>
    <row r="70521" spans="25:37" x14ac:dyDescent="0.2">
      <c r="Y70521" s="251"/>
      <c r="AB70521" s="251"/>
      <c r="AE70521" s="251"/>
      <c r="AH70521" s="251"/>
      <c r="AK70521" s="251"/>
    </row>
    <row r="70636" spans="25:37" x14ac:dyDescent="0.2">
      <c r="Y70636" s="5"/>
      <c r="AB70636" s="5"/>
      <c r="AE70636" s="5"/>
      <c r="AH70636" s="5"/>
      <c r="AK70636" s="5"/>
    </row>
    <row r="70646" spans="25:37" x14ac:dyDescent="0.2">
      <c r="Y70646" s="251"/>
      <c r="AB70646" s="251"/>
      <c r="AE70646" s="251"/>
      <c r="AH70646" s="251"/>
      <c r="AK70646" s="251"/>
    </row>
    <row r="70761" spans="25:37" x14ac:dyDescent="0.2">
      <c r="Y70761" s="5"/>
      <c r="AB70761" s="5"/>
      <c r="AE70761" s="5"/>
      <c r="AH70761" s="5"/>
      <c r="AK70761" s="5"/>
    </row>
    <row r="70771" spans="25:37" x14ac:dyDescent="0.2">
      <c r="Y70771" s="251"/>
      <c r="AB70771" s="251"/>
      <c r="AE70771" s="251"/>
      <c r="AH70771" s="251"/>
      <c r="AK70771" s="251"/>
    </row>
    <row r="70886" spans="25:37" x14ac:dyDescent="0.2">
      <c r="Y70886" s="5"/>
      <c r="AB70886" s="5"/>
      <c r="AE70886" s="5"/>
      <c r="AH70886" s="5"/>
      <c r="AK70886" s="5"/>
    </row>
    <row r="70896" spans="25:37" x14ac:dyDescent="0.2">
      <c r="Y70896" s="251"/>
      <c r="AB70896" s="251"/>
      <c r="AE70896" s="251"/>
      <c r="AH70896" s="251"/>
      <c r="AK70896" s="251"/>
    </row>
    <row r="71011" spans="25:37" x14ac:dyDescent="0.2">
      <c r="Y71011" s="5"/>
      <c r="AB71011" s="5"/>
      <c r="AE71011" s="5"/>
      <c r="AH71011" s="5"/>
      <c r="AK71011" s="5"/>
    </row>
    <row r="71021" spans="25:37" x14ac:dyDescent="0.2">
      <c r="Y71021" s="251"/>
      <c r="AB71021" s="251"/>
      <c r="AE71021" s="251"/>
      <c r="AH71021" s="251"/>
      <c r="AK71021" s="251"/>
    </row>
    <row r="71136" spans="25:37" x14ac:dyDescent="0.2">
      <c r="Y71136" s="5"/>
      <c r="AB71136" s="5"/>
      <c r="AE71136" s="5"/>
      <c r="AH71136" s="5"/>
      <c r="AK71136" s="5"/>
    </row>
    <row r="71146" spans="25:37" x14ac:dyDescent="0.2">
      <c r="Y71146" s="251"/>
      <c r="AB71146" s="251"/>
      <c r="AE71146" s="251"/>
      <c r="AH71146" s="251"/>
      <c r="AK71146" s="251"/>
    </row>
    <row r="71261" spans="25:37" x14ac:dyDescent="0.2">
      <c r="Y71261" s="5"/>
      <c r="AB71261" s="5"/>
      <c r="AE71261" s="5"/>
      <c r="AH71261" s="5"/>
      <c r="AK71261" s="5"/>
    </row>
    <row r="71271" spans="25:37" x14ac:dyDescent="0.2">
      <c r="Y71271" s="251"/>
      <c r="AB71271" s="251"/>
      <c r="AE71271" s="251"/>
      <c r="AH71271" s="251"/>
      <c r="AK71271" s="251"/>
    </row>
    <row r="71386" spans="25:37" x14ac:dyDescent="0.2">
      <c r="Y71386" s="5"/>
      <c r="AB71386" s="5"/>
      <c r="AE71386" s="5"/>
      <c r="AH71386" s="5"/>
      <c r="AK71386" s="5"/>
    </row>
    <row r="71396" spans="25:37" x14ac:dyDescent="0.2">
      <c r="Y71396" s="251"/>
      <c r="AB71396" s="251"/>
      <c r="AE71396" s="251"/>
      <c r="AH71396" s="251"/>
      <c r="AK71396" s="251"/>
    </row>
    <row r="71511" spans="25:37" x14ac:dyDescent="0.2">
      <c r="Y71511" s="5"/>
      <c r="AB71511" s="5"/>
      <c r="AE71511" s="5"/>
      <c r="AH71511" s="5"/>
      <c r="AK71511" s="5"/>
    </row>
    <row r="71521" spans="25:37" x14ac:dyDescent="0.2">
      <c r="Y71521" s="251"/>
      <c r="AB71521" s="251"/>
      <c r="AE71521" s="251"/>
      <c r="AH71521" s="251"/>
      <c r="AK71521" s="251"/>
    </row>
    <row r="71636" spans="25:37" x14ac:dyDescent="0.2">
      <c r="Y71636" s="5"/>
      <c r="AB71636" s="5"/>
      <c r="AE71636" s="5"/>
      <c r="AH71636" s="5"/>
      <c r="AK71636" s="5"/>
    </row>
    <row r="71646" spans="25:37" x14ac:dyDescent="0.2">
      <c r="Y71646" s="251"/>
      <c r="AB71646" s="251"/>
      <c r="AE71646" s="251"/>
      <c r="AH71646" s="251"/>
      <c r="AK71646" s="251"/>
    </row>
    <row r="71761" spans="25:37" x14ac:dyDescent="0.2">
      <c r="Y71761" s="5"/>
      <c r="AB71761" s="5"/>
      <c r="AE71761" s="5"/>
      <c r="AH71761" s="5"/>
      <c r="AK71761" s="5"/>
    </row>
    <row r="71771" spans="25:37" x14ac:dyDescent="0.2">
      <c r="Y71771" s="251"/>
      <c r="AB71771" s="251"/>
      <c r="AE71771" s="251"/>
      <c r="AH71771" s="251"/>
      <c r="AK71771" s="251"/>
    </row>
    <row r="71886" spans="25:37" x14ac:dyDescent="0.2">
      <c r="Y71886" s="5"/>
      <c r="AB71886" s="5"/>
      <c r="AE71886" s="5"/>
      <c r="AH71886" s="5"/>
      <c r="AK71886" s="5"/>
    </row>
    <row r="71896" spans="25:37" x14ac:dyDescent="0.2">
      <c r="Y71896" s="251"/>
      <c r="AB71896" s="251"/>
      <c r="AE71896" s="251"/>
      <c r="AH71896" s="251"/>
      <c r="AK71896" s="251"/>
    </row>
    <row r="72011" spans="25:37" x14ac:dyDescent="0.2">
      <c r="Y72011" s="5"/>
      <c r="AB72011" s="5"/>
      <c r="AE72011" s="5"/>
      <c r="AH72011" s="5"/>
      <c r="AK72011" s="5"/>
    </row>
    <row r="72021" spans="25:37" x14ac:dyDescent="0.2">
      <c r="Y72021" s="251"/>
      <c r="AB72021" s="251"/>
      <c r="AE72021" s="251"/>
      <c r="AH72021" s="251"/>
      <c r="AK72021" s="251"/>
    </row>
    <row r="72136" spans="25:37" x14ac:dyDescent="0.2">
      <c r="Y72136" s="5"/>
      <c r="AB72136" s="5"/>
      <c r="AE72136" s="5"/>
      <c r="AH72136" s="5"/>
      <c r="AK72136" s="5"/>
    </row>
    <row r="72146" spans="25:37" x14ac:dyDescent="0.2">
      <c r="Y72146" s="251"/>
      <c r="AB72146" s="251"/>
      <c r="AE72146" s="251"/>
      <c r="AH72146" s="251"/>
      <c r="AK72146" s="251"/>
    </row>
    <row r="72261" spans="25:37" x14ac:dyDescent="0.2">
      <c r="Y72261" s="5"/>
      <c r="AB72261" s="5"/>
      <c r="AE72261" s="5"/>
      <c r="AH72261" s="5"/>
      <c r="AK72261" s="5"/>
    </row>
    <row r="72271" spans="25:37" x14ac:dyDescent="0.2">
      <c r="Y72271" s="251"/>
      <c r="AB72271" s="251"/>
      <c r="AE72271" s="251"/>
      <c r="AH72271" s="251"/>
      <c r="AK72271" s="251"/>
    </row>
    <row r="72386" spans="25:37" x14ac:dyDescent="0.2">
      <c r="Y72386" s="5"/>
      <c r="AB72386" s="5"/>
      <c r="AE72386" s="5"/>
      <c r="AH72386" s="5"/>
      <c r="AK72386" s="5"/>
    </row>
    <row r="72396" spans="25:37" x14ac:dyDescent="0.2">
      <c r="Y72396" s="251"/>
      <c r="AB72396" s="251"/>
      <c r="AE72396" s="251"/>
      <c r="AH72396" s="251"/>
      <c r="AK72396" s="251"/>
    </row>
    <row r="72511" spans="25:37" x14ac:dyDescent="0.2">
      <c r="Y72511" s="5"/>
      <c r="AB72511" s="5"/>
      <c r="AE72511" s="5"/>
      <c r="AH72511" s="5"/>
      <c r="AK72511" s="5"/>
    </row>
    <row r="72521" spans="25:37" x14ac:dyDescent="0.2">
      <c r="Y72521" s="251"/>
      <c r="AB72521" s="251"/>
      <c r="AE72521" s="251"/>
      <c r="AH72521" s="251"/>
      <c r="AK72521" s="251"/>
    </row>
    <row r="72636" spans="25:37" x14ac:dyDescent="0.2">
      <c r="Y72636" s="5"/>
      <c r="AB72636" s="5"/>
      <c r="AE72636" s="5"/>
      <c r="AH72636" s="5"/>
      <c r="AK72636" s="5"/>
    </row>
    <row r="72646" spans="25:37" x14ac:dyDescent="0.2">
      <c r="Y72646" s="251"/>
      <c r="AB72646" s="251"/>
      <c r="AE72646" s="251"/>
      <c r="AH72646" s="251"/>
      <c r="AK72646" s="251"/>
    </row>
    <row r="72761" spans="25:37" x14ac:dyDescent="0.2">
      <c r="Y72761" s="5"/>
      <c r="AB72761" s="5"/>
      <c r="AE72761" s="5"/>
      <c r="AH72761" s="5"/>
      <c r="AK72761" s="5"/>
    </row>
    <row r="72771" spans="25:37" x14ac:dyDescent="0.2">
      <c r="Y72771" s="251"/>
      <c r="AB72771" s="251"/>
      <c r="AE72771" s="251"/>
      <c r="AH72771" s="251"/>
      <c r="AK72771" s="251"/>
    </row>
    <row r="72886" spans="25:37" x14ac:dyDescent="0.2">
      <c r="Y72886" s="5"/>
      <c r="AB72886" s="5"/>
      <c r="AE72886" s="5"/>
      <c r="AH72886" s="5"/>
      <c r="AK72886" s="5"/>
    </row>
    <row r="72896" spans="25:37" x14ac:dyDescent="0.2">
      <c r="Y72896" s="251"/>
      <c r="AB72896" s="251"/>
      <c r="AE72896" s="251"/>
      <c r="AH72896" s="251"/>
      <c r="AK72896" s="251"/>
    </row>
    <row r="73011" spans="25:37" x14ac:dyDescent="0.2">
      <c r="Y73011" s="5"/>
      <c r="AB73011" s="5"/>
      <c r="AE73011" s="5"/>
      <c r="AH73011" s="5"/>
      <c r="AK73011" s="5"/>
    </row>
    <row r="73021" spans="25:37" x14ac:dyDescent="0.2">
      <c r="Y73021" s="251"/>
      <c r="AB73021" s="251"/>
      <c r="AE73021" s="251"/>
      <c r="AH73021" s="251"/>
      <c r="AK73021" s="251"/>
    </row>
    <row r="73136" spans="25:37" x14ac:dyDescent="0.2">
      <c r="Y73136" s="5"/>
      <c r="AB73136" s="5"/>
      <c r="AE73136" s="5"/>
      <c r="AH73136" s="5"/>
      <c r="AK73136" s="5"/>
    </row>
    <row r="73146" spans="25:37" x14ac:dyDescent="0.2">
      <c r="Y73146" s="251"/>
      <c r="AB73146" s="251"/>
      <c r="AE73146" s="251"/>
      <c r="AH73146" s="251"/>
      <c r="AK73146" s="251"/>
    </row>
    <row r="73261" spans="25:37" x14ac:dyDescent="0.2">
      <c r="Y73261" s="5"/>
      <c r="AB73261" s="5"/>
      <c r="AE73261" s="5"/>
      <c r="AH73261" s="5"/>
      <c r="AK73261" s="5"/>
    </row>
    <row r="73271" spans="25:37" x14ac:dyDescent="0.2">
      <c r="Y73271" s="251"/>
      <c r="AB73271" s="251"/>
      <c r="AE73271" s="251"/>
      <c r="AH73271" s="251"/>
      <c r="AK73271" s="251"/>
    </row>
    <row r="73386" spans="25:37" x14ac:dyDescent="0.2">
      <c r="Y73386" s="5"/>
      <c r="AB73386" s="5"/>
      <c r="AE73386" s="5"/>
      <c r="AH73386" s="5"/>
      <c r="AK73386" s="5"/>
    </row>
    <row r="73396" spans="25:37" x14ac:dyDescent="0.2">
      <c r="Y73396" s="251"/>
      <c r="AB73396" s="251"/>
      <c r="AE73396" s="251"/>
      <c r="AH73396" s="251"/>
      <c r="AK73396" s="251"/>
    </row>
    <row r="73511" spans="25:37" x14ac:dyDescent="0.2">
      <c r="Y73511" s="5"/>
      <c r="AB73511" s="5"/>
      <c r="AE73511" s="5"/>
      <c r="AH73511" s="5"/>
      <c r="AK73511" s="5"/>
    </row>
    <row r="73521" spans="25:37" x14ac:dyDescent="0.2">
      <c r="Y73521" s="251"/>
      <c r="AB73521" s="251"/>
      <c r="AE73521" s="251"/>
      <c r="AH73521" s="251"/>
      <c r="AK73521" s="251"/>
    </row>
    <row r="73636" spans="25:37" x14ac:dyDescent="0.2">
      <c r="Y73636" s="5"/>
      <c r="AB73636" s="5"/>
      <c r="AE73636" s="5"/>
      <c r="AH73636" s="5"/>
      <c r="AK73636" s="5"/>
    </row>
    <row r="73646" spans="25:37" x14ac:dyDescent="0.2">
      <c r="Y73646" s="251"/>
      <c r="AB73646" s="251"/>
      <c r="AE73646" s="251"/>
      <c r="AH73646" s="251"/>
      <c r="AK73646" s="251"/>
    </row>
    <row r="73761" spans="25:37" x14ac:dyDescent="0.2">
      <c r="Y73761" s="5"/>
      <c r="AB73761" s="5"/>
      <c r="AE73761" s="5"/>
      <c r="AH73761" s="5"/>
      <c r="AK73761" s="5"/>
    </row>
    <row r="73771" spans="25:37" x14ac:dyDescent="0.2">
      <c r="Y73771" s="251"/>
      <c r="AB73771" s="251"/>
      <c r="AE73771" s="251"/>
      <c r="AH73771" s="251"/>
      <c r="AK73771" s="251"/>
    </row>
    <row r="73886" spans="25:37" x14ac:dyDescent="0.2">
      <c r="Y73886" s="5"/>
      <c r="AB73886" s="5"/>
      <c r="AE73886" s="5"/>
      <c r="AH73886" s="5"/>
      <c r="AK73886" s="5"/>
    </row>
    <row r="73896" spans="25:37" x14ac:dyDescent="0.2">
      <c r="Y73896" s="251"/>
      <c r="AB73896" s="251"/>
      <c r="AE73896" s="251"/>
      <c r="AH73896" s="251"/>
      <c r="AK73896" s="251"/>
    </row>
    <row r="74011" spans="25:37" x14ac:dyDescent="0.2">
      <c r="Y74011" s="5"/>
      <c r="AB74011" s="5"/>
      <c r="AE74011" s="5"/>
      <c r="AH74011" s="5"/>
      <c r="AK74011" s="5"/>
    </row>
    <row r="74021" spans="25:37" x14ac:dyDescent="0.2">
      <c r="Y74021" s="251"/>
      <c r="AB74021" s="251"/>
      <c r="AE74021" s="251"/>
      <c r="AH74021" s="251"/>
      <c r="AK74021" s="251"/>
    </row>
    <row r="74136" spans="25:37" x14ac:dyDescent="0.2">
      <c r="Y74136" s="5"/>
      <c r="AB74136" s="5"/>
      <c r="AE74136" s="5"/>
      <c r="AH74136" s="5"/>
      <c r="AK74136" s="5"/>
    </row>
    <row r="74146" spans="25:37" x14ac:dyDescent="0.2">
      <c r="Y74146" s="251"/>
      <c r="AB74146" s="251"/>
      <c r="AE74146" s="251"/>
      <c r="AH74146" s="251"/>
      <c r="AK74146" s="251"/>
    </row>
    <row r="74261" spans="25:37" x14ac:dyDescent="0.2">
      <c r="Y74261" s="5"/>
      <c r="AB74261" s="5"/>
      <c r="AE74261" s="5"/>
      <c r="AH74261" s="5"/>
      <c r="AK74261" s="5"/>
    </row>
    <row r="74271" spans="25:37" x14ac:dyDescent="0.2">
      <c r="Y74271" s="251"/>
      <c r="AB74271" s="251"/>
      <c r="AE74271" s="251"/>
      <c r="AH74271" s="251"/>
      <c r="AK74271" s="251"/>
    </row>
    <row r="74386" spans="25:37" x14ac:dyDescent="0.2">
      <c r="Y74386" s="5"/>
      <c r="AB74386" s="5"/>
      <c r="AE74386" s="5"/>
      <c r="AH74386" s="5"/>
      <c r="AK74386" s="5"/>
    </row>
    <row r="74396" spans="25:37" x14ac:dyDescent="0.2">
      <c r="Y74396" s="251"/>
      <c r="AB74396" s="251"/>
      <c r="AE74396" s="251"/>
      <c r="AH74396" s="251"/>
      <c r="AK74396" s="251"/>
    </row>
    <row r="74511" spans="25:37" x14ac:dyDescent="0.2">
      <c r="Y74511" s="5"/>
      <c r="AB74511" s="5"/>
      <c r="AE74511" s="5"/>
      <c r="AH74511" s="5"/>
      <c r="AK74511" s="5"/>
    </row>
    <row r="74521" spans="25:37" x14ac:dyDescent="0.2">
      <c r="Y74521" s="251"/>
      <c r="AB74521" s="251"/>
      <c r="AE74521" s="251"/>
      <c r="AH74521" s="251"/>
      <c r="AK74521" s="251"/>
    </row>
    <row r="74636" spans="25:37" x14ac:dyDescent="0.2">
      <c r="Y74636" s="5"/>
      <c r="AB74636" s="5"/>
      <c r="AE74636" s="5"/>
      <c r="AH74636" s="5"/>
      <c r="AK74636" s="5"/>
    </row>
    <row r="74646" spans="25:37" x14ac:dyDescent="0.2">
      <c r="Y74646" s="251"/>
      <c r="AB74646" s="251"/>
      <c r="AE74646" s="251"/>
      <c r="AH74646" s="251"/>
      <c r="AK74646" s="251"/>
    </row>
    <row r="74761" spans="25:37" x14ac:dyDescent="0.2">
      <c r="Y74761" s="5"/>
      <c r="AB74761" s="5"/>
      <c r="AE74761" s="5"/>
      <c r="AH74761" s="5"/>
      <c r="AK74761" s="5"/>
    </row>
    <row r="74771" spans="25:37" x14ac:dyDescent="0.2">
      <c r="Y74771" s="251"/>
      <c r="AB74771" s="251"/>
      <c r="AE74771" s="251"/>
      <c r="AH74771" s="251"/>
      <c r="AK74771" s="251"/>
    </row>
    <row r="74886" spans="25:37" x14ac:dyDescent="0.2">
      <c r="Y74886" s="5"/>
      <c r="AB74886" s="5"/>
      <c r="AE74886" s="5"/>
      <c r="AH74886" s="5"/>
      <c r="AK74886" s="5"/>
    </row>
    <row r="74896" spans="25:37" x14ac:dyDescent="0.2">
      <c r="Y74896" s="251"/>
      <c r="AB74896" s="251"/>
      <c r="AE74896" s="251"/>
      <c r="AH74896" s="251"/>
      <c r="AK74896" s="251"/>
    </row>
    <row r="75011" spans="25:37" x14ac:dyDescent="0.2">
      <c r="Y75011" s="5"/>
      <c r="AB75011" s="5"/>
      <c r="AE75011" s="5"/>
      <c r="AH75011" s="5"/>
      <c r="AK75011" s="5"/>
    </row>
    <row r="75021" spans="25:37" x14ac:dyDescent="0.2">
      <c r="Y75021" s="251"/>
      <c r="AB75021" s="251"/>
      <c r="AE75021" s="251"/>
      <c r="AH75021" s="251"/>
      <c r="AK75021" s="251"/>
    </row>
    <row r="75136" spans="25:37" x14ac:dyDescent="0.2">
      <c r="Y75136" s="5"/>
      <c r="AB75136" s="5"/>
      <c r="AE75136" s="5"/>
      <c r="AH75136" s="5"/>
      <c r="AK75136" s="5"/>
    </row>
    <row r="75146" spans="25:37" x14ac:dyDescent="0.2">
      <c r="Y75146" s="251"/>
      <c r="AB75146" s="251"/>
      <c r="AE75146" s="251"/>
      <c r="AH75146" s="251"/>
      <c r="AK75146" s="251"/>
    </row>
    <row r="75261" spans="25:37" x14ac:dyDescent="0.2">
      <c r="Y75261" s="5"/>
      <c r="AB75261" s="5"/>
      <c r="AE75261" s="5"/>
      <c r="AH75261" s="5"/>
      <c r="AK75261" s="5"/>
    </row>
    <row r="75271" spans="25:37" x14ac:dyDescent="0.2">
      <c r="Y75271" s="251"/>
      <c r="AB75271" s="251"/>
      <c r="AE75271" s="251"/>
      <c r="AH75271" s="251"/>
      <c r="AK75271" s="251"/>
    </row>
    <row r="75386" spans="25:37" x14ac:dyDescent="0.2">
      <c r="Y75386" s="5"/>
      <c r="AB75386" s="5"/>
      <c r="AE75386" s="5"/>
      <c r="AH75386" s="5"/>
      <c r="AK75386" s="5"/>
    </row>
    <row r="75396" spans="25:37" x14ac:dyDescent="0.2">
      <c r="Y75396" s="251"/>
      <c r="AB75396" s="251"/>
      <c r="AE75396" s="251"/>
      <c r="AH75396" s="251"/>
      <c r="AK75396" s="251"/>
    </row>
    <row r="75511" spans="25:37" x14ac:dyDescent="0.2">
      <c r="Y75511" s="5"/>
      <c r="AB75511" s="5"/>
      <c r="AE75511" s="5"/>
      <c r="AH75511" s="5"/>
      <c r="AK75511" s="5"/>
    </row>
    <row r="75521" spans="25:37" x14ac:dyDescent="0.2">
      <c r="Y75521" s="251"/>
      <c r="AB75521" s="251"/>
      <c r="AE75521" s="251"/>
      <c r="AH75521" s="251"/>
      <c r="AK75521" s="251"/>
    </row>
    <row r="75636" spans="25:37" x14ac:dyDescent="0.2">
      <c r="Y75636" s="5"/>
      <c r="AB75636" s="5"/>
      <c r="AE75636" s="5"/>
      <c r="AH75636" s="5"/>
      <c r="AK75636" s="5"/>
    </row>
    <row r="75646" spans="25:37" x14ac:dyDescent="0.2">
      <c r="Y75646" s="251"/>
      <c r="AB75646" s="251"/>
      <c r="AE75646" s="251"/>
      <c r="AH75646" s="251"/>
      <c r="AK75646" s="251"/>
    </row>
    <row r="75761" spans="25:37" x14ac:dyDescent="0.2">
      <c r="Y75761" s="5"/>
      <c r="AB75761" s="5"/>
      <c r="AE75761" s="5"/>
      <c r="AH75761" s="5"/>
      <c r="AK75761" s="5"/>
    </row>
    <row r="75771" spans="25:37" x14ac:dyDescent="0.2">
      <c r="Y75771" s="251"/>
      <c r="AB75771" s="251"/>
      <c r="AE75771" s="251"/>
      <c r="AH75771" s="251"/>
      <c r="AK75771" s="251"/>
    </row>
    <row r="75886" spans="25:37" x14ac:dyDescent="0.2">
      <c r="Y75886" s="5"/>
      <c r="AB75886" s="5"/>
      <c r="AE75886" s="5"/>
      <c r="AH75886" s="5"/>
      <c r="AK75886" s="5"/>
    </row>
    <row r="75896" spans="25:37" x14ac:dyDescent="0.2">
      <c r="Y75896" s="251"/>
      <c r="AB75896" s="251"/>
      <c r="AE75896" s="251"/>
      <c r="AH75896" s="251"/>
      <c r="AK75896" s="251"/>
    </row>
    <row r="76011" spans="25:37" x14ac:dyDescent="0.2">
      <c r="Y76011" s="5"/>
      <c r="AB76011" s="5"/>
      <c r="AE76011" s="5"/>
      <c r="AH76011" s="5"/>
      <c r="AK76011" s="5"/>
    </row>
    <row r="76021" spans="25:37" x14ac:dyDescent="0.2">
      <c r="Y76021" s="251"/>
      <c r="AB76021" s="251"/>
      <c r="AE76021" s="251"/>
      <c r="AH76021" s="251"/>
      <c r="AK76021" s="251"/>
    </row>
    <row r="76136" spans="25:37" x14ac:dyDescent="0.2">
      <c r="Y76136" s="5"/>
      <c r="AB76136" s="5"/>
      <c r="AE76136" s="5"/>
      <c r="AH76136" s="5"/>
      <c r="AK76136" s="5"/>
    </row>
    <row r="76146" spans="25:37" x14ac:dyDescent="0.2">
      <c r="Y76146" s="251"/>
      <c r="AB76146" s="251"/>
      <c r="AE76146" s="251"/>
      <c r="AH76146" s="251"/>
      <c r="AK76146" s="251"/>
    </row>
    <row r="76261" spans="25:37" x14ac:dyDescent="0.2">
      <c r="Y76261" s="5"/>
      <c r="AB76261" s="5"/>
      <c r="AE76261" s="5"/>
      <c r="AH76261" s="5"/>
      <c r="AK76261" s="5"/>
    </row>
    <row r="76271" spans="25:37" x14ac:dyDescent="0.2">
      <c r="Y76271" s="251"/>
      <c r="AB76271" s="251"/>
      <c r="AE76271" s="251"/>
      <c r="AH76271" s="251"/>
      <c r="AK76271" s="251"/>
    </row>
    <row r="76386" spans="25:37" x14ac:dyDescent="0.2">
      <c r="Y76386" s="5"/>
      <c r="AB76386" s="5"/>
      <c r="AE76386" s="5"/>
      <c r="AH76386" s="5"/>
      <c r="AK76386" s="5"/>
    </row>
    <row r="76396" spans="25:37" x14ac:dyDescent="0.2">
      <c r="Y76396" s="251"/>
      <c r="AB76396" s="251"/>
      <c r="AE76396" s="251"/>
      <c r="AH76396" s="251"/>
      <c r="AK76396" s="251"/>
    </row>
    <row r="76511" spans="25:37" x14ac:dyDescent="0.2">
      <c r="Y76511" s="5"/>
      <c r="AB76511" s="5"/>
      <c r="AE76511" s="5"/>
      <c r="AH76511" s="5"/>
      <c r="AK76511" s="5"/>
    </row>
    <row r="76521" spans="25:37" x14ac:dyDescent="0.2">
      <c r="Y76521" s="251"/>
      <c r="AB76521" s="251"/>
      <c r="AE76521" s="251"/>
      <c r="AH76521" s="251"/>
      <c r="AK76521" s="251"/>
    </row>
    <row r="76636" spans="25:37" x14ac:dyDescent="0.2">
      <c r="Y76636" s="5"/>
      <c r="AB76636" s="5"/>
      <c r="AE76636" s="5"/>
      <c r="AH76636" s="5"/>
      <c r="AK76636" s="5"/>
    </row>
    <row r="76646" spans="25:37" x14ac:dyDescent="0.2">
      <c r="Y76646" s="251"/>
      <c r="AB76646" s="251"/>
      <c r="AE76646" s="251"/>
      <c r="AH76646" s="251"/>
      <c r="AK76646" s="251"/>
    </row>
    <row r="76761" spans="25:37" x14ac:dyDescent="0.2">
      <c r="Y76761" s="5"/>
      <c r="AB76761" s="5"/>
      <c r="AE76761" s="5"/>
      <c r="AH76761" s="5"/>
      <c r="AK76761" s="5"/>
    </row>
    <row r="76771" spans="25:37" x14ac:dyDescent="0.2">
      <c r="Y76771" s="251"/>
      <c r="AB76771" s="251"/>
      <c r="AE76771" s="251"/>
      <c r="AH76771" s="251"/>
      <c r="AK76771" s="251"/>
    </row>
    <row r="76886" spans="25:37" x14ac:dyDescent="0.2">
      <c r="Y76886" s="5"/>
      <c r="AB76886" s="5"/>
      <c r="AE76886" s="5"/>
      <c r="AH76886" s="5"/>
      <c r="AK76886" s="5"/>
    </row>
    <row r="76896" spans="25:37" x14ac:dyDescent="0.2">
      <c r="Y76896" s="251"/>
      <c r="AB76896" s="251"/>
      <c r="AE76896" s="251"/>
      <c r="AH76896" s="251"/>
      <c r="AK76896" s="251"/>
    </row>
    <row r="77011" spans="25:37" x14ac:dyDescent="0.2">
      <c r="Y77011" s="5"/>
      <c r="AB77011" s="5"/>
      <c r="AE77011" s="5"/>
      <c r="AH77011" s="5"/>
      <c r="AK77011" s="5"/>
    </row>
    <row r="77021" spans="25:37" x14ac:dyDescent="0.2">
      <c r="Y77021" s="251"/>
      <c r="AB77021" s="251"/>
      <c r="AE77021" s="251"/>
      <c r="AH77021" s="251"/>
      <c r="AK77021" s="251"/>
    </row>
    <row r="77136" spans="25:37" x14ac:dyDescent="0.2">
      <c r="Y77136" s="5"/>
      <c r="AB77136" s="5"/>
      <c r="AE77136" s="5"/>
      <c r="AH77136" s="5"/>
      <c r="AK77136" s="5"/>
    </row>
    <row r="77146" spans="25:37" x14ac:dyDescent="0.2">
      <c r="Y77146" s="251"/>
      <c r="AB77146" s="251"/>
      <c r="AE77146" s="251"/>
      <c r="AH77146" s="251"/>
      <c r="AK77146" s="251"/>
    </row>
    <row r="77261" spans="25:37" x14ac:dyDescent="0.2">
      <c r="Y77261" s="5"/>
      <c r="AB77261" s="5"/>
      <c r="AE77261" s="5"/>
      <c r="AH77261" s="5"/>
      <c r="AK77261" s="5"/>
    </row>
    <row r="77271" spans="25:37" x14ac:dyDescent="0.2">
      <c r="Y77271" s="251"/>
      <c r="AB77271" s="251"/>
      <c r="AE77271" s="251"/>
      <c r="AH77271" s="251"/>
      <c r="AK77271" s="251"/>
    </row>
    <row r="77386" spans="25:37" x14ac:dyDescent="0.2">
      <c r="Y77386" s="5"/>
      <c r="AB77386" s="5"/>
      <c r="AE77386" s="5"/>
      <c r="AH77386" s="5"/>
      <c r="AK77386" s="5"/>
    </row>
    <row r="77396" spans="25:37" x14ac:dyDescent="0.2">
      <c r="Y77396" s="251"/>
      <c r="AB77396" s="251"/>
      <c r="AE77396" s="251"/>
      <c r="AH77396" s="251"/>
      <c r="AK77396" s="251"/>
    </row>
    <row r="77511" spans="25:37" x14ac:dyDescent="0.2">
      <c r="Y77511" s="5"/>
      <c r="AB77511" s="5"/>
      <c r="AE77511" s="5"/>
      <c r="AH77511" s="5"/>
      <c r="AK77511" s="5"/>
    </row>
    <row r="77521" spans="25:37" x14ac:dyDescent="0.2">
      <c r="Y77521" s="251"/>
      <c r="AB77521" s="251"/>
      <c r="AE77521" s="251"/>
      <c r="AH77521" s="251"/>
      <c r="AK77521" s="251"/>
    </row>
    <row r="77636" spans="25:37" x14ac:dyDescent="0.2">
      <c r="Y77636" s="5"/>
      <c r="AB77636" s="5"/>
      <c r="AE77636" s="5"/>
      <c r="AH77636" s="5"/>
      <c r="AK77636" s="5"/>
    </row>
    <row r="77646" spans="25:37" x14ac:dyDescent="0.2">
      <c r="Y77646" s="251"/>
      <c r="AB77646" s="251"/>
      <c r="AE77646" s="251"/>
      <c r="AH77646" s="251"/>
      <c r="AK77646" s="251"/>
    </row>
    <row r="77761" spans="25:37" x14ac:dyDescent="0.2">
      <c r="Y77761" s="5"/>
      <c r="AB77761" s="5"/>
      <c r="AE77761" s="5"/>
      <c r="AH77761" s="5"/>
      <c r="AK77761" s="5"/>
    </row>
    <row r="77771" spans="25:37" x14ac:dyDescent="0.2">
      <c r="Y77771" s="251"/>
      <c r="AB77771" s="251"/>
      <c r="AE77771" s="251"/>
      <c r="AH77771" s="251"/>
      <c r="AK77771" s="251"/>
    </row>
    <row r="77886" spans="25:37" x14ac:dyDescent="0.2">
      <c r="Y77886" s="5"/>
      <c r="AB77886" s="5"/>
      <c r="AE77886" s="5"/>
      <c r="AH77886" s="5"/>
      <c r="AK77886" s="5"/>
    </row>
    <row r="77896" spans="25:37" x14ac:dyDescent="0.2">
      <c r="Y77896" s="251"/>
      <c r="AB77896" s="251"/>
      <c r="AE77896" s="251"/>
      <c r="AH77896" s="251"/>
      <c r="AK77896" s="251"/>
    </row>
    <row r="78011" spans="25:37" x14ac:dyDescent="0.2">
      <c r="Y78011" s="5"/>
      <c r="AB78011" s="5"/>
      <c r="AE78011" s="5"/>
      <c r="AH78011" s="5"/>
      <c r="AK78011" s="5"/>
    </row>
    <row r="78021" spans="25:37" x14ac:dyDescent="0.2">
      <c r="Y78021" s="251"/>
      <c r="AB78021" s="251"/>
      <c r="AE78021" s="251"/>
      <c r="AH78021" s="251"/>
      <c r="AK78021" s="251"/>
    </row>
    <row r="78136" spans="25:37" x14ac:dyDescent="0.2">
      <c r="Y78136" s="5"/>
      <c r="AB78136" s="5"/>
      <c r="AE78136" s="5"/>
      <c r="AH78136" s="5"/>
      <c r="AK78136" s="5"/>
    </row>
    <row r="78146" spans="25:37" x14ac:dyDescent="0.2">
      <c r="Y78146" s="251"/>
      <c r="AB78146" s="251"/>
      <c r="AE78146" s="251"/>
      <c r="AH78146" s="251"/>
      <c r="AK78146" s="251"/>
    </row>
    <row r="78261" spans="25:37" x14ac:dyDescent="0.2">
      <c r="Y78261" s="5"/>
      <c r="AB78261" s="5"/>
      <c r="AE78261" s="5"/>
      <c r="AH78261" s="5"/>
      <c r="AK78261" s="5"/>
    </row>
    <row r="78271" spans="25:37" x14ac:dyDescent="0.2">
      <c r="Y78271" s="251"/>
      <c r="AB78271" s="251"/>
      <c r="AE78271" s="251"/>
      <c r="AH78271" s="251"/>
      <c r="AK78271" s="251"/>
    </row>
    <row r="78386" spans="25:37" x14ac:dyDescent="0.2">
      <c r="Y78386" s="5"/>
      <c r="AB78386" s="5"/>
      <c r="AE78386" s="5"/>
      <c r="AH78386" s="5"/>
      <c r="AK78386" s="5"/>
    </row>
    <row r="78396" spans="25:37" x14ac:dyDescent="0.2">
      <c r="Y78396" s="251"/>
      <c r="AB78396" s="251"/>
      <c r="AE78396" s="251"/>
      <c r="AH78396" s="251"/>
      <c r="AK78396" s="251"/>
    </row>
    <row r="78511" spans="25:37" x14ac:dyDescent="0.2">
      <c r="Y78511" s="5"/>
      <c r="AB78511" s="5"/>
      <c r="AE78511" s="5"/>
      <c r="AH78511" s="5"/>
      <c r="AK78511" s="5"/>
    </row>
    <row r="78521" spans="25:37" x14ac:dyDescent="0.2">
      <c r="Y78521" s="251"/>
      <c r="AB78521" s="251"/>
      <c r="AE78521" s="251"/>
      <c r="AH78521" s="251"/>
      <c r="AK78521" s="251"/>
    </row>
    <row r="78636" spans="25:37" x14ac:dyDescent="0.2">
      <c r="Y78636" s="5"/>
      <c r="AB78636" s="5"/>
      <c r="AE78636" s="5"/>
      <c r="AH78636" s="5"/>
      <c r="AK78636" s="5"/>
    </row>
    <row r="78646" spans="25:37" x14ac:dyDescent="0.2">
      <c r="Y78646" s="251"/>
      <c r="AB78646" s="251"/>
      <c r="AE78646" s="251"/>
      <c r="AH78646" s="251"/>
      <c r="AK78646" s="251"/>
    </row>
    <row r="78761" spans="25:37" x14ac:dyDescent="0.2">
      <c r="Y78761" s="5"/>
      <c r="AB78761" s="5"/>
      <c r="AE78761" s="5"/>
      <c r="AH78761" s="5"/>
      <c r="AK78761" s="5"/>
    </row>
    <row r="78771" spans="25:37" x14ac:dyDescent="0.2">
      <c r="Y78771" s="251"/>
      <c r="AB78771" s="251"/>
      <c r="AE78771" s="251"/>
      <c r="AH78771" s="251"/>
      <c r="AK78771" s="251"/>
    </row>
    <row r="78886" spans="25:37" x14ac:dyDescent="0.2">
      <c r="Y78886" s="5"/>
      <c r="AB78886" s="5"/>
      <c r="AE78886" s="5"/>
      <c r="AH78886" s="5"/>
      <c r="AK78886" s="5"/>
    </row>
    <row r="78896" spans="25:37" x14ac:dyDescent="0.2">
      <c r="Y78896" s="251"/>
      <c r="AB78896" s="251"/>
      <c r="AE78896" s="251"/>
      <c r="AH78896" s="251"/>
      <c r="AK78896" s="251"/>
    </row>
    <row r="79011" spans="25:37" x14ac:dyDescent="0.2">
      <c r="Y79011" s="5"/>
      <c r="AB79011" s="5"/>
      <c r="AE79011" s="5"/>
      <c r="AH79011" s="5"/>
      <c r="AK79011" s="5"/>
    </row>
    <row r="79021" spans="25:37" x14ac:dyDescent="0.2">
      <c r="Y79021" s="251"/>
      <c r="AB79021" s="251"/>
      <c r="AE79021" s="251"/>
      <c r="AH79021" s="251"/>
      <c r="AK79021" s="251"/>
    </row>
    <row r="79136" spans="25:37" x14ac:dyDescent="0.2">
      <c r="Y79136" s="5"/>
      <c r="AB79136" s="5"/>
      <c r="AE79136" s="5"/>
      <c r="AH79136" s="5"/>
      <c r="AK79136" s="5"/>
    </row>
    <row r="79146" spans="25:37" x14ac:dyDescent="0.2">
      <c r="Y79146" s="251"/>
      <c r="AB79146" s="251"/>
      <c r="AE79146" s="251"/>
      <c r="AH79146" s="251"/>
      <c r="AK79146" s="251"/>
    </row>
    <row r="79261" spans="25:37" x14ac:dyDescent="0.2">
      <c r="Y79261" s="5"/>
      <c r="AB79261" s="5"/>
      <c r="AE79261" s="5"/>
      <c r="AH79261" s="5"/>
      <c r="AK79261" s="5"/>
    </row>
    <row r="79271" spans="25:37" x14ac:dyDescent="0.2">
      <c r="Y79271" s="251"/>
      <c r="AB79271" s="251"/>
      <c r="AE79271" s="251"/>
      <c r="AH79271" s="251"/>
      <c r="AK79271" s="251"/>
    </row>
    <row r="79386" spans="25:37" x14ac:dyDescent="0.2">
      <c r="Y79386" s="5"/>
      <c r="AB79386" s="5"/>
      <c r="AE79386" s="5"/>
      <c r="AH79386" s="5"/>
      <c r="AK79386" s="5"/>
    </row>
    <row r="79396" spans="25:37" x14ac:dyDescent="0.2">
      <c r="Y79396" s="251"/>
      <c r="AB79396" s="251"/>
      <c r="AE79396" s="251"/>
      <c r="AH79396" s="251"/>
      <c r="AK79396" s="251"/>
    </row>
    <row r="79511" spans="25:37" x14ac:dyDescent="0.2">
      <c r="Y79511" s="5"/>
      <c r="AB79511" s="5"/>
      <c r="AE79511" s="5"/>
      <c r="AH79511" s="5"/>
      <c r="AK79511" s="5"/>
    </row>
    <row r="79521" spans="25:37" x14ac:dyDescent="0.2">
      <c r="Y79521" s="251"/>
      <c r="AB79521" s="251"/>
      <c r="AE79521" s="251"/>
      <c r="AH79521" s="251"/>
      <c r="AK79521" s="251"/>
    </row>
    <row r="79636" spans="25:37" x14ac:dyDescent="0.2">
      <c r="Y79636" s="5"/>
      <c r="AB79636" s="5"/>
      <c r="AE79636" s="5"/>
      <c r="AH79636" s="5"/>
      <c r="AK79636" s="5"/>
    </row>
    <row r="79646" spans="25:37" x14ac:dyDescent="0.2">
      <c r="Y79646" s="251"/>
      <c r="AB79646" s="251"/>
      <c r="AE79646" s="251"/>
      <c r="AH79646" s="251"/>
      <c r="AK79646" s="251"/>
    </row>
    <row r="79761" spans="25:37" x14ac:dyDescent="0.2">
      <c r="Y79761" s="5"/>
      <c r="AB79761" s="5"/>
      <c r="AE79761" s="5"/>
      <c r="AH79761" s="5"/>
      <c r="AK79761" s="5"/>
    </row>
    <row r="79771" spans="25:37" x14ac:dyDescent="0.2">
      <c r="Y79771" s="251"/>
      <c r="AB79771" s="251"/>
      <c r="AE79771" s="251"/>
      <c r="AH79771" s="251"/>
      <c r="AK79771" s="251"/>
    </row>
    <row r="79886" spans="25:37" x14ac:dyDescent="0.2">
      <c r="Y79886" s="5"/>
      <c r="AB79886" s="5"/>
      <c r="AE79886" s="5"/>
      <c r="AH79886" s="5"/>
      <c r="AK79886" s="5"/>
    </row>
    <row r="79896" spans="25:37" x14ac:dyDescent="0.2">
      <c r="Y79896" s="251"/>
      <c r="AB79896" s="251"/>
      <c r="AE79896" s="251"/>
      <c r="AH79896" s="251"/>
      <c r="AK79896" s="251"/>
    </row>
    <row r="80011" spans="25:37" x14ac:dyDescent="0.2">
      <c r="Y80011" s="5"/>
      <c r="AB80011" s="5"/>
      <c r="AE80011" s="5"/>
      <c r="AH80011" s="5"/>
      <c r="AK80011" s="5"/>
    </row>
    <row r="80021" spans="25:37" x14ac:dyDescent="0.2">
      <c r="Y80021" s="251"/>
      <c r="AB80021" s="251"/>
      <c r="AE80021" s="251"/>
      <c r="AH80021" s="251"/>
      <c r="AK80021" s="251"/>
    </row>
    <row r="80136" spans="25:37" x14ac:dyDescent="0.2">
      <c r="Y80136" s="5"/>
      <c r="AB80136" s="5"/>
      <c r="AE80136" s="5"/>
      <c r="AH80136" s="5"/>
      <c r="AK80136" s="5"/>
    </row>
    <row r="80146" spans="25:37" x14ac:dyDescent="0.2">
      <c r="Y80146" s="251"/>
      <c r="AB80146" s="251"/>
      <c r="AE80146" s="251"/>
      <c r="AH80146" s="251"/>
      <c r="AK80146" s="251"/>
    </row>
    <row r="80261" spans="25:37" x14ac:dyDescent="0.2">
      <c r="Y80261" s="5"/>
      <c r="AB80261" s="5"/>
      <c r="AE80261" s="5"/>
      <c r="AH80261" s="5"/>
      <c r="AK80261" s="5"/>
    </row>
    <row r="80271" spans="25:37" x14ac:dyDescent="0.2">
      <c r="Y80271" s="251"/>
      <c r="AB80271" s="251"/>
      <c r="AE80271" s="251"/>
      <c r="AH80271" s="251"/>
      <c r="AK80271" s="251"/>
    </row>
    <row r="80386" spans="25:37" x14ac:dyDescent="0.2">
      <c r="Y80386" s="5"/>
      <c r="AB80386" s="5"/>
      <c r="AE80386" s="5"/>
      <c r="AH80386" s="5"/>
      <c r="AK80386" s="5"/>
    </row>
    <row r="80396" spans="25:37" x14ac:dyDescent="0.2">
      <c r="Y80396" s="251"/>
      <c r="AB80396" s="251"/>
      <c r="AE80396" s="251"/>
      <c r="AH80396" s="251"/>
      <c r="AK80396" s="251"/>
    </row>
    <row r="80511" spans="25:37" x14ac:dyDescent="0.2">
      <c r="Y80511" s="5"/>
      <c r="AB80511" s="5"/>
      <c r="AE80511" s="5"/>
      <c r="AH80511" s="5"/>
      <c r="AK80511" s="5"/>
    </row>
    <row r="80521" spans="25:37" x14ac:dyDescent="0.2">
      <c r="Y80521" s="251"/>
      <c r="AB80521" s="251"/>
      <c r="AE80521" s="251"/>
      <c r="AH80521" s="251"/>
      <c r="AK80521" s="251"/>
    </row>
    <row r="80636" spans="25:37" x14ac:dyDescent="0.2">
      <c r="Y80636" s="5"/>
      <c r="AB80636" s="5"/>
      <c r="AE80636" s="5"/>
      <c r="AH80636" s="5"/>
      <c r="AK80636" s="5"/>
    </row>
    <row r="80646" spans="25:37" x14ac:dyDescent="0.2">
      <c r="Y80646" s="251"/>
      <c r="AB80646" s="251"/>
      <c r="AE80646" s="251"/>
      <c r="AH80646" s="251"/>
      <c r="AK80646" s="251"/>
    </row>
    <row r="80761" spans="25:37" x14ac:dyDescent="0.2">
      <c r="Y80761" s="5"/>
      <c r="AB80761" s="5"/>
      <c r="AE80761" s="5"/>
      <c r="AH80761" s="5"/>
      <c r="AK80761" s="5"/>
    </row>
    <row r="80771" spans="25:37" x14ac:dyDescent="0.2">
      <c r="Y80771" s="251"/>
      <c r="AB80771" s="251"/>
      <c r="AE80771" s="251"/>
      <c r="AH80771" s="251"/>
      <c r="AK80771" s="251"/>
    </row>
    <row r="80886" spans="25:37" x14ac:dyDescent="0.2">
      <c r="Y80886" s="5"/>
      <c r="AB80886" s="5"/>
      <c r="AE80886" s="5"/>
      <c r="AH80886" s="5"/>
      <c r="AK80886" s="5"/>
    </row>
    <row r="80896" spans="25:37" x14ac:dyDescent="0.2">
      <c r="Y80896" s="251"/>
      <c r="AB80896" s="251"/>
      <c r="AE80896" s="251"/>
      <c r="AH80896" s="251"/>
      <c r="AK80896" s="251"/>
    </row>
    <row r="81011" spans="25:37" x14ac:dyDescent="0.2">
      <c r="Y81011" s="5"/>
      <c r="AB81011" s="5"/>
      <c r="AE81011" s="5"/>
      <c r="AH81011" s="5"/>
      <c r="AK81011" s="5"/>
    </row>
    <row r="81021" spans="25:37" x14ac:dyDescent="0.2">
      <c r="Y81021" s="251"/>
      <c r="AB81021" s="251"/>
      <c r="AE81021" s="251"/>
      <c r="AH81021" s="251"/>
      <c r="AK81021" s="251"/>
    </row>
    <row r="81136" spans="25:37" x14ac:dyDescent="0.2">
      <c r="Y81136" s="5"/>
      <c r="AB81136" s="5"/>
      <c r="AE81136" s="5"/>
      <c r="AH81136" s="5"/>
      <c r="AK81136" s="5"/>
    </row>
    <row r="81146" spans="25:37" x14ac:dyDescent="0.2">
      <c r="Y81146" s="251"/>
      <c r="AB81146" s="251"/>
      <c r="AE81146" s="251"/>
      <c r="AH81146" s="251"/>
      <c r="AK81146" s="251"/>
    </row>
    <row r="81261" spans="25:37" x14ac:dyDescent="0.2">
      <c r="Y81261" s="5"/>
      <c r="AB81261" s="5"/>
      <c r="AE81261" s="5"/>
      <c r="AH81261" s="5"/>
      <c r="AK81261" s="5"/>
    </row>
    <row r="81271" spans="25:37" x14ac:dyDescent="0.2">
      <c r="Y81271" s="251"/>
      <c r="AB81271" s="251"/>
      <c r="AE81271" s="251"/>
      <c r="AH81271" s="251"/>
      <c r="AK81271" s="251"/>
    </row>
    <row r="81386" spans="25:37" x14ac:dyDescent="0.2">
      <c r="Y81386" s="5"/>
      <c r="AB81386" s="5"/>
      <c r="AE81386" s="5"/>
      <c r="AH81386" s="5"/>
      <c r="AK81386" s="5"/>
    </row>
    <row r="81396" spans="25:37" x14ac:dyDescent="0.2">
      <c r="Y81396" s="251"/>
      <c r="AB81396" s="251"/>
      <c r="AE81396" s="251"/>
      <c r="AH81396" s="251"/>
      <c r="AK81396" s="251"/>
    </row>
    <row r="81511" spans="25:37" x14ac:dyDescent="0.2">
      <c r="Y81511" s="5"/>
      <c r="AB81511" s="5"/>
      <c r="AE81511" s="5"/>
      <c r="AH81511" s="5"/>
      <c r="AK81511" s="5"/>
    </row>
    <row r="81521" spans="25:37" x14ac:dyDescent="0.2">
      <c r="Y81521" s="251"/>
      <c r="AB81521" s="251"/>
      <c r="AE81521" s="251"/>
      <c r="AH81521" s="251"/>
      <c r="AK81521" s="251"/>
    </row>
    <row r="81636" spans="25:37" x14ac:dyDescent="0.2">
      <c r="Y81636" s="5"/>
      <c r="AB81636" s="5"/>
      <c r="AE81636" s="5"/>
      <c r="AH81636" s="5"/>
      <c r="AK81636" s="5"/>
    </row>
    <row r="81646" spans="25:37" x14ac:dyDescent="0.2">
      <c r="Y81646" s="251"/>
      <c r="AB81646" s="251"/>
      <c r="AE81646" s="251"/>
      <c r="AH81646" s="251"/>
      <c r="AK81646" s="251"/>
    </row>
    <row r="81761" spans="25:37" x14ac:dyDescent="0.2">
      <c r="Y81761" s="5"/>
      <c r="AB81761" s="5"/>
      <c r="AE81761" s="5"/>
      <c r="AH81761" s="5"/>
      <c r="AK81761" s="5"/>
    </row>
    <row r="81771" spans="25:37" x14ac:dyDescent="0.2">
      <c r="Y81771" s="251"/>
      <c r="AB81771" s="251"/>
      <c r="AE81771" s="251"/>
      <c r="AH81771" s="251"/>
      <c r="AK81771" s="251"/>
    </row>
    <row r="81886" spans="25:37" x14ac:dyDescent="0.2">
      <c r="Y81886" s="5"/>
      <c r="AB81886" s="5"/>
      <c r="AE81886" s="5"/>
      <c r="AH81886" s="5"/>
      <c r="AK81886" s="5"/>
    </row>
    <row r="81896" spans="25:37" x14ac:dyDescent="0.2">
      <c r="Y81896" s="251"/>
      <c r="AB81896" s="251"/>
      <c r="AE81896" s="251"/>
      <c r="AH81896" s="251"/>
      <c r="AK81896" s="251"/>
    </row>
    <row r="82011" spans="25:37" x14ac:dyDescent="0.2">
      <c r="Y82011" s="5"/>
      <c r="AB82011" s="5"/>
      <c r="AE82011" s="5"/>
      <c r="AH82011" s="5"/>
      <c r="AK82011" s="5"/>
    </row>
    <row r="82021" spans="25:37" x14ac:dyDescent="0.2">
      <c r="Y82021" s="251"/>
      <c r="AB82021" s="251"/>
      <c r="AE82021" s="251"/>
      <c r="AH82021" s="251"/>
      <c r="AK82021" s="251"/>
    </row>
    <row r="82136" spans="25:37" x14ac:dyDescent="0.2">
      <c r="Y82136" s="5"/>
      <c r="AB82136" s="5"/>
      <c r="AE82136" s="5"/>
      <c r="AH82136" s="5"/>
      <c r="AK82136" s="5"/>
    </row>
    <row r="82146" spans="25:37" x14ac:dyDescent="0.2">
      <c r="Y82146" s="251"/>
      <c r="AB82146" s="251"/>
      <c r="AE82146" s="251"/>
      <c r="AH82146" s="251"/>
      <c r="AK82146" s="251"/>
    </row>
    <row r="82261" spans="25:37" x14ac:dyDescent="0.2">
      <c r="Y82261" s="5"/>
      <c r="AB82261" s="5"/>
      <c r="AE82261" s="5"/>
      <c r="AH82261" s="5"/>
      <c r="AK82261" s="5"/>
    </row>
    <row r="82271" spans="25:37" x14ac:dyDescent="0.2">
      <c r="Y82271" s="251"/>
      <c r="AB82271" s="251"/>
      <c r="AE82271" s="251"/>
      <c r="AH82271" s="251"/>
      <c r="AK82271" s="251"/>
    </row>
    <row r="82386" spans="25:37" x14ac:dyDescent="0.2">
      <c r="Y82386" s="5"/>
      <c r="AB82386" s="5"/>
      <c r="AE82386" s="5"/>
      <c r="AH82386" s="5"/>
      <c r="AK82386" s="5"/>
    </row>
    <row r="82396" spans="25:37" x14ac:dyDescent="0.2">
      <c r="Y82396" s="251"/>
      <c r="AB82396" s="251"/>
      <c r="AE82396" s="251"/>
      <c r="AH82396" s="251"/>
      <c r="AK82396" s="251"/>
    </row>
    <row r="82511" spans="25:37" x14ac:dyDescent="0.2">
      <c r="Y82511" s="5"/>
      <c r="AB82511" s="5"/>
      <c r="AE82511" s="5"/>
      <c r="AH82511" s="5"/>
      <c r="AK82511" s="5"/>
    </row>
    <row r="82521" spans="25:37" x14ac:dyDescent="0.2">
      <c r="Y82521" s="251"/>
      <c r="AB82521" s="251"/>
      <c r="AE82521" s="251"/>
      <c r="AH82521" s="251"/>
      <c r="AK82521" s="251"/>
    </row>
    <row r="82636" spans="25:37" x14ac:dyDescent="0.2">
      <c r="Y82636" s="5"/>
      <c r="AB82636" s="5"/>
      <c r="AE82636" s="5"/>
      <c r="AH82636" s="5"/>
      <c r="AK82636" s="5"/>
    </row>
    <row r="82646" spans="25:37" x14ac:dyDescent="0.2">
      <c r="Y82646" s="251"/>
      <c r="AB82646" s="251"/>
      <c r="AE82646" s="251"/>
      <c r="AH82646" s="251"/>
      <c r="AK82646" s="251"/>
    </row>
    <row r="82761" spans="25:37" x14ac:dyDescent="0.2">
      <c r="Y82761" s="5"/>
      <c r="AB82761" s="5"/>
      <c r="AE82761" s="5"/>
      <c r="AH82761" s="5"/>
      <c r="AK82761" s="5"/>
    </row>
    <row r="82771" spans="25:37" x14ac:dyDescent="0.2">
      <c r="Y82771" s="251"/>
      <c r="AB82771" s="251"/>
      <c r="AE82771" s="251"/>
      <c r="AH82771" s="251"/>
      <c r="AK82771" s="251"/>
    </row>
    <row r="82886" spans="25:37" x14ac:dyDescent="0.2">
      <c r="Y82886" s="5"/>
      <c r="AB82886" s="5"/>
      <c r="AE82886" s="5"/>
      <c r="AH82886" s="5"/>
      <c r="AK82886" s="5"/>
    </row>
    <row r="82896" spans="25:37" x14ac:dyDescent="0.2">
      <c r="Y82896" s="251"/>
      <c r="AB82896" s="251"/>
      <c r="AE82896" s="251"/>
      <c r="AH82896" s="251"/>
      <c r="AK82896" s="251"/>
    </row>
    <row r="83011" spans="25:37" x14ac:dyDescent="0.2">
      <c r="Y83011" s="5"/>
      <c r="AB83011" s="5"/>
      <c r="AE83011" s="5"/>
      <c r="AH83011" s="5"/>
      <c r="AK83011" s="5"/>
    </row>
    <row r="83021" spans="25:37" x14ac:dyDescent="0.2">
      <c r="Y83021" s="251"/>
      <c r="AB83021" s="251"/>
      <c r="AE83021" s="251"/>
      <c r="AH83021" s="251"/>
      <c r="AK83021" s="251"/>
    </row>
    <row r="83136" spans="25:37" x14ac:dyDescent="0.2">
      <c r="Y83136" s="5"/>
      <c r="AB83136" s="5"/>
      <c r="AE83136" s="5"/>
      <c r="AH83136" s="5"/>
      <c r="AK83136" s="5"/>
    </row>
    <row r="83146" spans="25:37" x14ac:dyDescent="0.2">
      <c r="Y83146" s="251"/>
      <c r="AB83146" s="251"/>
      <c r="AE83146" s="251"/>
      <c r="AH83146" s="251"/>
      <c r="AK83146" s="251"/>
    </row>
    <row r="83261" spans="25:37" x14ac:dyDescent="0.2">
      <c r="Y83261" s="5"/>
      <c r="AB83261" s="5"/>
      <c r="AE83261" s="5"/>
      <c r="AH83261" s="5"/>
      <c r="AK83261" s="5"/>
    </row>
    <row r="83271" spans="25:37" x14ac:dyDescent="0.2">
      <c r="Y83271" s="251"/>
      <c r="AB83271" s="251"/>
      <c r="AE83271" s="251"/>
      <c r="AH83271" s="251"/>
      <c r="AK83271" s="251"/>
    </row>
    <row r="83386" spans="25:37" x14ac:dyDescent="0.2">
      <c r="Y83386" s="5"/>
      <c r="AB83386" s="5"/>
      <c r="AE83386" s="5"/>
      <c r="AH83386" s="5"/>
      <c r="AK83386" s="5"/>
    </row>
    <row r="83396" spans="25:37" x14ac:dyDescent="0.2">
      <c r="Y83396" s="251"/>
      <c r="AB83396" s="251"/>
      <c r="AE83396" s="251"/>
      <c r="AH83396" s="251"/>
      <c r="AK83396" s="251"/>
    </row>
    <row r="83511" spans="25:37" x14ac:dyDescent="0.2">
      <c r="Y83511" s="5"/>
      <c r="AB83511" s="5"/>
      <c r="AE83511" s="5"/>
      <c r="AH83511" s="5"/>
      <c r="AK83511" s="5"/>
    </row>
    <row r="83521" spans="25:37" x14ac:dyDescent="0.2">
      <c r="Y83521" s="251"/>
      <c r="AB83521" s="251"/>
      <c r="AE83521" s="251"/>
      <c r="AH83521" s="251"/>
      <c r="AK83521" s="251"/>
    </row>
    <row r="83636" spans="25:37" x14ac:dyDescent="0.2">
      <c r="Y83636" s="5"/>
      <c r="AB83636" s="5"/>
      <c r="AE83636" s="5"/>
      <c r="AH83636" s="5"/>
      <c r="AK83636" s="5"/>
    </row>
    <row r="83646" spans="25:37" x14ac:dyDescent="0.2">
      <c r="Y83646" s="251"/>
      <c r="AB83646" s="251"/>
      <c r="AE83646" s="251"/>
      <c r="AH83646" s="251"/>
      <c r="AK83646" s="251"/>
    </row>
    <row r="83761" spans="25:37" x14ac:dyDescent="0.2">
      <c r="Y83761" s="5"/>
      <c r="AB83761" s="5"/>
      <c r="AE83761" s="5"/>
      <c r="AH83761" s="5"/>
      <c r="AK83761" s="5"/>
    </row>
    <row r="83771" spans="25:37" x14ac:dyDescent="0.2">
      <c r="Y83771" s="251"/>
      <c r="AB83771" s="251"/>
      <c r="AE83771" s="251"/>
      <c r="AH83771" s="251"/>
      <c r="AK83771" s="251"/>
    </row>
    <row r="83886" spans="25:37" x14ac:dyDescent="0.2">
      <c r="Y83886" s="5"/>
      <c r="AB83886" s="5"/>
      <c r="AE83886" s="5"/>
      <c r="AH83886" s="5"/>
      <c r="AK83886" s="5"/>
    </row>
    <row r="83896" spans="25:37" x14ac:dyDescent="0.2">
      <c r="Y83896" s="251"/>
      <c r="AB83896" s="251"/>
      <c r="AE83896" s="251"/>
      <c r="AH83896" s="251"/>
      <c r="AK83896" s="251"/>
    </row>
    <row r="84011" spans="25:37" x14ac:dyDescent="0.2">
      <c r="Y84011" s="5"/>
      <c r="AB84011" s="5"/>
      <c r="AE84011" s="5"/>
      <c r="AH84011" s="5"/>
      <c r="AK84011" s="5"/>
    </row>
    <row r="84021" spans="25:37" x14ac:dyDescent="0.2">
      <c r="Y84021" s="251"/>
      <c r="AB84021" s="251"/>
      <c r="AE84021" s="251"/>
      <c r="AH84021" s="251"/>
      <c r="AK84021" s="251"/>
    </row>
    <row r="84136" spans="25:37" x14ac:dyDescent="0.2">
      <c r="Y84136" s="5"/>
      <c r="AB84136" s="5"/>
      <c r="AE84136" s="5"/>
      <c r="AH84136" s="5"/>
      <c r="AK84136" s="5"/>
    </row>
    <row r="84146" spans="25:37" x14ac:dyDescent="0.2">
      <c r="Y84146" s="251"/>
      <c r="AB84146" s="251"/>
      <c r="AE84146" s="251"/>
      <c r="AH84146" s="251"/>
      <c r="AK84146" s="251"/>
    </row>
    <row r="84261" spans="25:37" x14ac:dyDescent="0.2">
      <c r="Y84261" s="5"/>
      <c r="AB84261" s="5"/>
      <c r="AE84261" s="5"/>
      <c r="AH84261" s="5"/>
      <c r="AK84261" s="5"/>
    </row>
    <row r="84271" spans="25:37" x14ac:dyDescent="0.2">
      <c r="Y84271" s="251"/>
      <c r="AB84271" s="251"/>
      <c r="AE84271" s="251"/>
      <c r="AH84271" s="251"/>
      <c r="AK84271" s="251"/>
    </row>
    <row r="84386" spans="25:37" x14ac:dyDescent="0.2">
      <c r="Y84386" s="5"/>
      <c r="AB84386" s="5"/>
      <c r="AE84386" s="5"/>
      <c r="AH84386" s="5"/>
      <c r="AK84386" s="5"/>
    </row>
    <row r="84396" spans="25:37" x14ac:dyDescent="0.2">
      <c r="Y84396" s="251"/>
      <c r="AB84396" s="251"/>
      <c r="AE84396" s="251"/>
      <c r="AH84396" s="251"/>
      <c r="AK84396" s="251"/>
    </row>
    <row r="84511" spans="25:37" x14ac:dyDescent="0.2">
      <c r="Y84511" s="5"/>
      <c r="AB84511" s="5"/>
      <c r="AE84511" s="5"/>
      <c r="AH84511" s="5"/>
      <c r="AK84511" s="5"/>
    </row>
    <row r="84521" spans="25:37" x14ac:dyDescent="0.2">
      <c r="Y84521" s="251"/>
      <c r="AB84521" s="251"/>
      <c r="AE84521" s="251"/>
      <c r="AH84521" s="251"/>
      <c r="AK84521" s="251"/>
    </row>
    <row r="84636" spans="25:37" x14ac:dyDescent="0.2">
      <c r="Y84636" s="5"/>
      <c r="AB84636" s="5"/>
      <c r="AE84636" s="5"/>
      <c r="AH84636" s="5"/>
      <c r="AK84636" s="5"/>
    </row>
    <row r="84646" spans="25:37" x14ac:dyDescent="0.2">
      <c r="Y84646" s="251"/>
      <c r="AB84646" s="251"/>
      <c r="AE84646" s="251"/>
      <c r="AH84646" s="251"/>
      <c r="AK84646" s="251"/>
    </row>
    <row r="84761" spans="25:37" x14ac:dyDescent="0.2">
      <c r="Y84761" s="5"/>
      <c r="AB84761" s="5"/>
      <c r="AE84761" s="5"/>
      <c r="AH84761" s="5"/>
      <c r="AK84761" s="5"/>
    </row>
    <row r="84771" spans="25:37" x14ac:dyDescent="0.2">
      <c r="Y84771" s="251"/>
      <c r="AB84771" s="251"/>
      <c r="AE84771" s="251"/>
      <c r="AH84771" s="251"/>
      <c r="AK84771" s="251"/>
    </row>
    <row r="84886" spans="25:37" x14ac:dyDescent="0.2">
      <c r="Y84886" s="5"/>
      <c r="AB84886" s="5"/>
      <c r="AE84886" s="5"/>
      <c r="AH84886" s="5"/>
      <c r="AK84886" s="5"/>
    </row>
    <row r="84896" spans="25:37" x14ac:dyDescent="0.2">
      <c r="Y84896" s="251"/>
      <c r="AB84896" s="251"/>
      <c r="AE84896" s="251"/>
      <c r="AH84896" s="251"/>
      <c r="AK84896" s="251"/>
    </row>
    <row r="85011" spans="25:37" x14ac:dyDescent="0.2">
      <c r="Y85011" s="5"/>
      <c r="AB85011" s="5"/>
      <c r="AE85011" s="5"/>
      <c r="AH85011" s="5"/>
      <c r="AK85011" s="5"/>
    </row>
    <row r="85021" spans="25:37" x14ac:dyDescent="0.2">
      <c r="Y85021" s="251"/>
      <c r="AB85021" s="251"/>
      <c r="AE85021" s="251"/>
      <c r="AH85021" s="251"/>
      <c r="AK85021" s="251"/>
    </row>
    <row r="85136" spans="25:37" x14ac:dyDescent="0.2">
      <c r="Y85136" s="5"/>
      <c r="AB85136" s="5"/>
      <c r="AE85136" s="5"/>
      <c r="AH85136" s="5"/>
      <c r="AK85136" s="5"/>
    </row>
    <row r="85146" spans="25:37" x14ac:dyDescent="0.2">
      <c r="Y85146" s="251"/>
      <c r="AB85146" s="251"/>
      <c r="AE85146" s="251"/>
      <c r="AH85146" s="251"/>
      <c r="AK85146" s="251"/>
    </row>
    <row r="85261" spans="25:37" x14ac:dyDescent="0.2">
      <c r="Y85261" s="5"/>
      <c r="AB85261" s="5"/>
      <c r="AE85261" s="5"/>
      <c r="AH85261" s="5"/>
      <c r="AK85261" s="5"/>
    </row>
    <row r="85271" spans="25:37" x14ac:dyDescent="0.2">
      <c r="Y85271" s="251"/>
      <c r="AB85271" s="251"/>
      <c r="AE85271" s="251"/>
      <c r="AH85271" s="251"/>
      <c r="AK85271" s="251"/>
    </row>
    <row r="85386" spans="25:37" x14ac:dyDescent="0.2">
      <c r="Y85386" s="5"/>
      <c r="AB85386" s="5"/>
      <c r="AE85386" s="5"/>
      <c r="AH85386" s="5"/>
      <c r="AK85386" s="5"/>
    </row>
    <row r="85396" spans="25:37" x14ac:dyDescent="0.2">
      <c r="Y85396" s="251"/>
      <c r="AB85396" s="251"/>
      <c r="AE85396" s="251"/>
      <c r="AH85396" s="251"/>
      <c r="AK85396" s="251"/>
    </row>
    <row r="85511" spans="25:37" x14ac:dyDescent="0.2">
      <c r="Y85511" s="5"/>
      <c r="AB85511" s="5"/>
      <c r="AE85511" s="5"/>
      <c r="AH85511" s="5"/>
      <c r="AK85511" s="5"/>
    </row>
    <row r="85521" spans="25:37" x14ac:dyDescent="0.2">
      <c r="Y85521" s="251"/>
      <c r="AB85521" s="251"/>
      <c r="AE85521" s="251"/>
      <c r="AH85521" s="251"/>
      <c r="AK85521" s="251"/>
    </row>
    <row r="85636" spans="25:37" x14ac:dyDescent="0.2">
      <c r="Y85636" s="5"/>
      <c r="AB85636" s="5"/>
      <c r="AE85636" s="5"/>
      <c r="AH85636" s="5"/>
      <c r="AK85636" s="5"/>
    </row>
    <row r="85646" spans="25:37" x14ac:dyDescent="0.2">
      <c r="Y85646" s="251"/>
      <c r="AB85646" s="251"/>
      <c r="AE85646" s="251"/>
      <c r="AH85646" s="251"/>
      <c r="AK85646" s="251"/>
    </row>
    <row r="85761" spans="25:37" x14ac:dyDescent="0.2">
      <c r="Y85761" s="5"/>
      <c r="AB85761" s="5"/>
      <c r="AE85761" s="5"/>
      <c r="AH85761" s="5"/>
      <c r="AK85761" s="5"/>
    </row>
    <row r="85771" spans="25:37" x14ac:dyDescent="0.2">
      <c r="Y85771" s="251"/>
      <c r="AB85771" s="251"/>
      <c r="AE85771" s="251"/>
      <c r="AH85771" s="251"/>
      <c r="AK85771" s="251"/>
    </row>
    <row r="85886" spans="25:37" x14ac:dyDescent="0.2">
      <c r="Y85886" s="5"/>
      <c r="AB85886" s="5"/>
      <c r="AE85886" s="5"/>
      <c r="AH85886" s="5"/>
      <c r="AK85886" s="5"/>
    </row>
    <row r="85896" spans="25:37" x14ac:dyDescent="0.2">
      <c r="Y85896" s="251"/>
      <c r="AB85896" s="251"/>
      <c r="AE85896" s="251"/>
      <c r="AH85896" s="251"/>
      <c r="AK85896" s="251"/>
    </row>
    <row r="86011" spans="25:37" x14ac:dyDescent="0.2">
      <c r="Y86011" s="5"/>
      <c r="AB86011" s="5"/>
      <c r="AE86011" s="5"/>
      <c r="AH86011" s="5"/>
      <c r="AK86011" s="5"/>
    </row>
    <row r="86021" spans="25:37" x14ac:dyDescent="0.2">
      <c r="Y86021" s="251"/>
      <c r="AB86021" s="251"/>
      <c r="AE86021" s="251"/>
      <c r="AH86021" s="251"/>
      <c r="AK86021" s="251"/>
    </row>
    <row r="86136" spans="25:37" x14ac:dyDescent="0.2">
      <c r="Y86136" s="5"/>
      <c r="AB86136" s="5"/>
      <c r="AE86136" s="5"/>
      <c r="AH86136" s="5"/>
      <c r="AK86136" s="5"/>
    </row>
    <row r="86146" spans="25:37" x14ac:dyDescent="0.2">
      <c r="Y86146" s="251"/>
      <c r="AB86146" s="251"/>
      <c r="AE86146" s="251"/>
      <c r="AH86146" s="251"/>
      <c r="AK86146" s="251"/>
    </row>
    <row r="86261" spans="25:37" x14ac:dyDescent="0.2">
      <c r="Y86261" s="5"/>
      <c r="AB86261" s="5"/>
      <c r="AE86261" s="5"/>
      <c r="AH86261" s="5"/>
      <c r="AK86261" s="5"/>
    </row>
    <row r="86271" spans="25:37" x14ac:dyDescent="0.2">
      <c r="Y86271" s="251"/>
      <c r="AB86271" s="251"/>
      <c r="AE86271" s="251"/>
      <c r="AH86271" s="251"/>
      <c r="AK86271" s="251"/>
    </row>
    <row r="86386" spans="25:37" x14ac:dyDescent="0.2">
      <c r="Y86386" s="5"/>
      <c r="AB86386" s="5"/>
      <c r="AE86386" s="5"/>
      <c r="AH86386" s="5"/>
      <c r="AK86386" s="5"/>
    </row>
    <row r="86396" spans="25:37" x14ac:dyDescent="0.2">
      <c r="Y86396" s="251"/>
      <c r="AB86396" s="251"/>
      <c r="AE86396" s="251"/>
      <c r="AH86396" s="251"/>
      <c r="AK86396" s="251"/>
    </row>
    <row r="86511" spans="25:37" x14ac:dyDescent="0.2">
      <c r="Y86511" s="5"/>
      <c r="AB86511" s="5"/>
      <c r="AE86511" s="5"/>
      <c r="AH86511" s="5"/>
      <c r="AK86511" s="5"/>
    </row>
    <row r="86521" spans="25:37" x14ac:dyDescent="0.2">
      <c r="Y86521" s="251"/>
      <c r="AB86521" s="251"/>
      <c r="AE86521" s="251"/>
      <c r="AH86521" s="251"/>
      <c r="AK86521" s="251"/>
    </row>
    <row r="86636" spans="25:37" x14ac:dyDescent="0.2">
      <c r="Y86636" s="5"/>
      <c r="AB86636" s="5"/>
      <c r="AE86636" s="5"/>
      <c r="AH86636" s="5"/>
      <c r="AK86636" s="5"/>
    </row>
    <row r="86646" spans="25:37" x14ac:dyDescent="0.2">
      <c r="Y86646" s="251"/>
      <c r="AB86646" s="251"/>
      <c r="AE86646" s="251"/>
      <c r="AH86646" s="251"/>
      <c r="AK86646" s="251"/>
    </row>
    <row r="86761" spans="25:37" x14ac:dyDescent="0.2">
      <c r="Y86761" s="5"/>
      <c r="AB86761" s="5"/>
      <c r="AE86761" s="5"/>
      <c r="AH86761" s="5"/>
      <c r="AK86761" s="5"/>
    </row>
    <row r="86771" spans="25:37" x14ac:dyDescent="0.2">
      <c r="Y86771" s="251"/>
      <c r="AB86771" s="251"/>
      <c r="AE86771" s="251"/>
      <c r="AH86771" s="251"/>
      <c r="AK86771" s="251"/>
    </row>
    <row r="86886" spans="25:37" x14ac:dyDescent="0.2">
      <c r="Y86886" s="5"/>
      <c r="AB86886" s="5"/>
      <c r="AE86886" s="5"/>
      <c r="AH86886" s="5"/>
      <c r="AK86886" s="5"/>
    </row>
    <row r="86896" spans="25:37" x14ac:dyDescent="0.2">
      <c r="Y86896" s="251"/>
      <c r="AB86896" s="251"/>
      <c r="AE86896" s="251"/>
      <c r="AH86896" s="251"/>
      <c r="AK86896" s="251"/>
    </row>
    <row r="87011" spans="25:37" x14ac:dyDescent="0.2">
      <c r="Y87011" s="5"/>
      <c r="AB87011" s="5"/>
      <c r="AE87011" s="5"/>
      <c r="AH87011" s="5"/>
      <c r="AK87011" s="5"/>
    </row>
    <row r="87021" spans="25:37" x14ac:dyDescent="0.2">
      <c r="Y87021" s="251"/>
      <c r="AB87021" s="251"/>
      <c r="AE87021" s="251"/>
      <c r="AH87021" s="251"/>
      <c r="AK87021" s="251"/>
    </row>
    <row r="87136" spans="25:37" x14ac:dyDescent="0.2">
      <c r="Y87136" s="5"/>
      <c r="AB87136" s="5"/>
      <c r="AE87136" s="5"/>
      <c r="AH87136" s="5"/>
      <c r="AK87136" s="5"/>
    </row>
    <row r="87146" spans="25:37" x14ac:dyDescent="0.2">
      <c r="Y87146" s="251"/>
      <c r="AB87146" s="251"/>
      <c r="AE87146" s="251"/>
      <c r="AH87146" s="251"/>
      <c r="AK87146" s="251"/>
    </row>
    <row r="87261" spans="25:37" x14ac:dyDescent="0.2">
      <c r="Y87261" s="5"/>
      <c r="AB87261" s="5"/>
      <c r="AE87261" s="5"/>
      <c r="AH87261" s="5"/>
      <c r="AK87261" s="5"/>
    </row>
    <row r="87271" spans="25:37" x14ac:dyDescent="0.2">
      <c r="Y87271" s="251"/>
      <c r="AB87271" s="251"/>
      <c r="AE87271" s="251"/>
      <c r="AH87271" s="251"/>
      <c r="AK87271" s="251"/>
    </row>
    <row r="87386" spans="25:37" x14ac:dyDescent="0.2">
      <c r="Y87386" s="5"/>
      <c r="AB87386" s="5"/>
      <c r="AE87386" s="5"/>
      <c r="AH87386" s="5"/>
      <c r="AK87386" s="5"/>
    </row>
    <row r="87396" spans="25:37" x14ac:dyDescent="0.2">
      <c r="Y87396" s="251"/>
      <c r="AB87396" s="251"/>
      <c r="AE87396" s="251"/>
      <c r="AH87396" s="251"/>
      <c r="AK87396" s="251"/>
    </row>
    <row r="87511" spans="25:37" x14ac:dyDescent="0.2">
      <c r="Y87511" s="5"/>
      <c r="AB87511" s="5"/>
      <c r="AE87511" s="5"/>
      <c r="AH87511" s="5"/>
      <c r="AK87511" s="5"/>
    </row>
    <row r="87521" spans="25:37" x14ac:dyDescent="0.2">
      <c r="Y87521" s="251"/>
      <c r="AB87521" s="251"/>
      <c r="AE87521" s="251"/>
      <c r="AH87521" s="251"/>
      <c r="AK87521" s="251"/>
    </row>
    <row r="87636" spans="25:37" x14ac:dyDescent="0.2">
      <c r="Y87636" s="5"/>
      <c r="AB87636" s="5"/>
      <c r="AE87636" s="5"/>
      <c r="AH87636" s="5"/>
      <c r="AK87636" s="5"/>
    </row>
    <row r="87646" spans="25:37" x14ac:dyDescent="0.2">
      <c r="Y87646" s="251"/>
      <c r="AB87646" s="251"/>
      <c r="AE87646" s="251"/>
      <c r="AH87646" s="251"/>
      <c r="AK87646" s="251"/>
    </row>
    <row r="87761" spans="25:37" x14ac:dyDescent="0.2">
      <c r="Y87761" s="5"/>
      <c r="AB87761" s="5"/>
      <c r="AE87761" s="5"/>
      <c r="AH87761" s="5"/>
      <c r="AK87761" s="5"/>
    </row>
    <row r="87771" spans="25:37" x14ac:dyDescent="0.2">
      <c r="Y87771" s="251"/>
      <c r="AB87771" s="251"/>
      <c r="AE87771" s="251"/>
      <c r="AH87771" s="251"/>
      <c r="AK87771" s="251"/>
    </row>
    <row r="87886" spans="25:37" x14ac:dyDescent="0.2">
      <c r="Y87886" s="5"/>
      <c r="AB87886" s="5"/>
      <c r="AE87886" s="5"/>
      <c r="AH87886" s="5"/>
      <c r="AK87886" s="5"/>
    </row>
    <row r="87896" spans="25:37" x14ac:dyDescent="0.2">
      <c r="Y87896" s="251"/>
      <c r="AB87896" s="251"/>
      <c r="AE87896" s="251"/>
      <c r="AH87896" s="251"/>
      <c r="AK87896" s="251"/>
    </row>
    <row r="88011" spans="25:37" x14ac:dyDescent="0.2">
      <c r="Y88011" s="5"/>
      <c r="AB88011" s="5"/>
      <c r="AE88011" s="5"/>
      <c r="AH88011" s="5"/>
      <c r="AK88011" s="5"/>
    </row>
    <row r="88021" spans="25:37" x14ac:dyDescent="0.2">
      <c r="Y88021" s="251"/>
      <c r="AB88021" s="251"/>
      <c r="AE88021" s="251"/>
      <c r="AH88021" s="251"/>
      <c r="AK88021" s="251"/>
    </row>
    <row r="88136" spans="25:37" x14ac:dyDescent="0.2">
      <c r="Y88136" s="5"/>
      <c r="AB88136" s="5"/>
      <c r="AE88136" s="5"/>
      <c r="AH88136" s="5"/>
      <c r="AK88136" s="5"/>
    </row>
    <row r="88146" spans="25:37" x14ac:dyDescent="0.2">
      <c r="Y88146" s="251"/>
      <c r="AB88146" s="251"/>
      <c r="AE88146" s="251"/>
      <c r="AH88146" s="251"/>
      <c r="AK88146" s="251"/>
    </row>
    <row r="88261" spans="25:37" x14ac:dyDescent="0.2">
      <c r="Y88261" s="5"/>
      <c r="AB88261" s="5"/>
      <c r="AE88261" s="5"/>
      <c r="AH88261" s="5"/>
      <c r="AK88261" s="5"/>
    </row>
    <row r="88271" spans="25:37" x14ac:dyDescent="0.2">
      <c r="Y88271" s="251"/>
      <c r="AB88271" s="251"/>
      <c r="AE88271" s="251"/>
      <c r="AH88271" s="251"/>
      <c r="AK88271" s="251"/>
    </row>
    <row r="88386" spans="25:37" x14ac:dyDescent="0.2">
      <c r="Y88386" s="5"/>
      <c r="AB88386" s="5"/>
      <c r="AE88386" s="5"/>
      <c r="AH88386" s="5"/>
      <c r="AK88386" s="5"/>
    </row>
    <row r="88396" spans="25:37" x14ac:dyDescent="0.2">
      <c r="Y88396" s="251"/>
      <c r="AB88396" s="251"/>
      <c r="AE88396" s="251"/>
      <c r="AH88396" s="251"/>
      <c r="AK88396" s="251"/>
    </row>
    <row r="88511" spans="25:37" x14ac:dyDescent="0.2">
      <c r="Y88511" s="5"/>
      <c r="AB88511" s="5"/>
      <c r="AE88511" s="5"/>
      <c r="AH88511" s="5"/>
      <c r="AK88511" s="5"/>
    </row>
    <row r="88521" spans="25:37" x14ac:dyDescent="0.2">
      <c r="Y88521" s="251"/>
      <c r="AB88521" s="251"/>
      <c r="AE88521" s="251"/>
      <c r="AH88521" s="251"/>
      <c r="AK88521" s="251"/>
    </row>
    <row r="88636" spans="25:37" x14ac:dyDescent="0.2">
      <c r="Y88636" s="5"/>
      <c r="AB88636" s="5"/>
      <c r="AE88636" s="5"/>
      <c r="AH88636" s="5"/>
      <c r="AK88636" s="5"/>
    </row>
    <row r="88646" spans="25:37" x14ac:dyDescent="0.2">
      <c r="Y88646" s="251"/>
      <c r="AB88646" s="251"/>
      <c r="AE88646" s="251"/>
      <c r="AH88646" s="251"/>
      <c r="AK88646" s="251"/>
    </row>
    <row r="88761" spans="25:37" x14ac:dyDescent="0.2">
      <c r="Y88761" s="5"/>
      <c r="AB88761" s="5"/>
      <c r="AE88761" s="5"/>
      <c r="AH88761" s="5"/>
      <c r="AK88761" s="5"/>
    </row>
    <row r="88771" spans="25:37" x14ac:dyDescent="0.2">
      <c r="Y88771" s="251"/>
      <c r="AB88771" s="251"/>
      <c r="AE88771" s="251"/>
      <c r="AH88771" s="251"/>
      <c r="AK88771" s="251"/>
    </row>
    <row r="88886" spans="25:37" x14ac:dyDescent="0.2">
      <c r="Y88886" s="5"/>
      <c r="AB88886" s="5"/>
      <c r="AE88886" s="5"/>
      <c r="AH88886" s="5"/>
      <c r="AK88886" s="5"/>
    </row>
    <row r="88896" spans="25:37" x14ac:dyDescent="0.2">
      <c r="Y88896" s="251"/>
      <c r="AB88896" s="251"/>
      <c r="AE88896" s="251"/>
      <c r="AH88896" s="251"/>
      <c r="AK88896" s="251"/>
    </row>
    <row r="89011" spans="25:37" x14ac:dyDescent="0.2">
      <c r="Y89011" s="5"/>
      <c r="AB89011" s="5"/>
      <c r="AE89011" s="5"/>
      <c r="AH89011" s="5"/>
      <c r="AK89011" s="5"/>
    </row>
    <row r="89021" spans="25:37" x14ac:dyDescent="0.2">
      <c r="Y89021" s="251"/>
      <c r="AB89021" s="251"/>
      <c r="AE89021" s="251"/>
      <c r="AH89021" s="251"/>
      <c r="AK89021" s="251"/>
    </row>
    <row r="89136" spans="25:37" x14ac:dyDescent="0.2">
      <c r="Y89136" s="5"/>
      <c r="AB89136" s="5"/>
      <c r="AE89136" s="5"/>
      <c r="AH89136" s="5"/>
      <c r="AK89136" s="5"/>
    </row>
    <row r="89146" spans="25:37" x14ac:dyDescent="0.2">
      <c r="Y89146" s="251"/>
      <c r="AB89146" s="251"/>
      <c r="AE89146" s="251"/>
      <c r="AH89146" s="251"/>
      <c r="AK89146" s="251"/>
    </row>
    <row r="89261" spans="25:37" x14ac:dyDescent="0.2">
      <c r="Y89261" s="5"/>
      <c r="AB89261" s="5"/>
      <c r="AE89261" s="5"/>
      <c r="AH89261" s="5"/>
      <c r="AK89261" s="5"/>
    </row>
    <row r="89271" spans="25:37" x14ac:dyDescent="0.2">
      <c r="Y89271" s="251"/>
      <c r="AB89271" s="251"/>
      <c r="AE89271" s="251"/>
      <c r="AH89271" s="251"/>
      <c r="AK89271" s="251"/>
    </row>
    <row r="89386" spans="25:37" x14ac:dyDescent="0.2">
      <c r="Y89386" s="5"/>
      <c r="AB89386" s="5"/>
      <c r="AE89386" s="5"/>
      <c r="AH89386" s="5"/>
      <c r="AK89386" s="5"/>
    </row>
    <row r="89396" spans="25:37" x14ac:dyDescent="0.2">
      <c r="Y89396" s="251"/>
      <c r="AB89396" s="251"/>
      <c r="AE89396" s="251"/>
      <c r="AH89396" s="251"/>
      <c r="AK89396" s="251"/>
    </row>
    <row r="89511" spans="25:37" x14ac:dyDescent="0.2">
      <c r="Y89511" s="5"/>
      <c r="AB89511" s="5"/>
      <c r="AE89511" s="5"/>
      <c r="AH89511" s="5"/>
      <c r="AK89511" s="5"/>
    </row>
    <row r="89521" spans="25:37" x14ac:dyDescent="0.2">
      <c r="Y89521" s="251"/>
      <c r="AB89521" s="251"/>
      <c r="AE89521" s="251"/>
      <c r="AH89521" s="251"/>
      <c r="AK89521" s="251"/>
    </row>
    <row r="89636" spans="25:37" x14ac:dyDescent="0.2">
      <c r="Y89636" s="5"/>
      <c r="AB89636" s="5"/>
      <c r="AE89636" s="5"/>
      <c r="AH89636" s="5"/>
      <c r="AK89636" s="5"/>
    </row>
    <row r="89646" spans="25:37" x14ac:dyDescent="0.2">
      <c r="Y89646" s="251"/>
      <c r="AB89646" s="251"/>
      <c r="AE89646" s="251"/>
      <c r="AH89646" s="251"/>
      <c r="AK89646" s="251"/>
    </row>
    <row r="89761" spans="25:37" x14ac:dyDescent="0.2">
      <c r="Y89761" s="5"/>
      <c r="AB89761" s="5"/>
      <c r="AE89761" s="5"/>
      <c r="AH89761" s="5"/>
      <c r="AK89761" s="5"/>
    </row>
    <row r="89771" spans="25:37" x14ac:dyDescent="0.2">
      <c r="Y89771" s="251"/>
      <c r="AB89771" s="251"/>
      <c r="AE89771" s="251"/>
      <c r="AH89771" s="251"/>
      <c r="AK89771" s="251"/>
    </row>
    <row r="89886" spans="25:37" x14ac:dyDescent="0.2">
      <c r="Y89886" s="5"/>
      <c r="AB89886" s="5"/>
      <c r="AE89886" s="5"/>
      <c r="AH89886" s="5"/>
      <c r="AK89886" s="5"/>
    </row>
    <row r="89896" spans="25:37" x14ac:dyDescent="0.2">
      <c r="Y89896" s="251"/>
      <c r="AB89896" s="251"/>
      <c r="AE89896" s="251"/>
      <c r="AH89896" s="251"/>
      <c r="AK89896" s="251"/>
    </row>
    <row r="90011" spans="25:37" x14ac:dyDescent="0.2">
      <c r="Y90011" s="5"/>
      <c r="AB90011" s="5"/>
      <c r="AE90011" s="5"/>
      <c r="AH90011" s="5"/>
      <c r="AK90011" s="5"/>
    </row>
    <row r="90021" spans="25:37" x14ac:dyDescent="0.2">
      <c r="Y90021" s="251"/>
      <c r="AB90021" s="251"/>
      <c r="AE90021" s="251"/>
      <c r="AH90021" s="251"/>
      <c r="AK90021" s="251"/>
    </row>
    <row r="90136" spans="25:37" x14ac:dyDescent="0.2">
      <c r="Y90136" s="5"/>
      <c r="AB90136" s="5"/>
      <c r="AE90136" s="5"/>
      <c r="AH90136" s="5"/>
      <c r="AK90136" s="5"/>
    </row>
    <row r="90146" spans="25:37" x14ac:dyDescent="0.2">
      <c r="Y90146" s="251"/>
      <c r="AB90146" s="251"/>
      <c r="AE90146" s="251"/>
      <c r="AH90146" s="251"/>
      <c r="AK90146" s="251"/>
    </row>
    <row r="90261" spans="25:37" x14ac:dyDescent="0.2">
      <c r="Y90261" s="5"/>
      <c r="AB90261" s="5"/>
      <c r="AE90261" s="5"/>
      <c r="AH90261" s="5"/>
      <c r="AK90261" s="5"/>
    </row>
    <row r="90271" spans="25:37" x14ac:dyDescent="0.2">
      <c r="Y90271" s="251"/>
      <c r="AB90271" s="251"/>
      <c r="AE90271" s="251"/>
      <c r="AH90271" s="251"/>
      <c r="AK90271" s="251"/>
    </row>
    <row r="90386" spans="25:37" x14ac:dyDescent="0.2">
      <c r="Y90386" s="5"/>
      <c r="AB90386" s="5"/>
      <c r="AE90386" s="5"/>
      <c r="AH90386" s="5"/>
      <c r="AK90386" s="5"/>
    </row>
    <row r="90396" spans="25:37" x14ac:dyDescent="0.2">
      <c r="Y90396" s="251"/>
      <c r="AB90396" s="251"/>
      <c r="AE90396" s="251"/>
      <c r="AH90396" s="251"/>
      <c r="AK90396" s="251"/>
    </row>
    <row r="90511" spans="25:37" x14ac:dyDescent="0.2">
      <c r="Y90511" s="5"/>
      <c r="AB90511" s="5"/>
      <c r="AE90511" s="5"/>
      <c r="AH90511" s="5"/>
      <c r="AK90511" s="5"/>
    </row>
    <row r="90521" spans="25:37" x14ac:dyDescent="0.2">
      <c r="Y90521" s="251"/>
      <c r="AB90521" s="251"/>
      <c r="AE90521" s="251"/>
      <c r="AH90521" s="251"/>
      <c r="AK90521" s="251"/>
    </row>
    <row r="90636" spans="25:37" x14ac:dyDescent="0.2">
      <c r="Y90636" s="5"/>
      <c r="AB90636" s="5"/>
      <c r="AE90636" s="5"/>
      <c r="AH90636" s="5"/>
      <c r="AK90636" s="5"/>
    </row>
    <row r="90646" spans="25:37" x14ac:dyDescent="0.2">
      <c r="Y90646" s="251"/>
      <c r="AB90646" s="251"/>
      <c r="AE90646" s="251"/>
      <c r="AH90646" s="251"/>
      <c r="AK90646" s="251"/>
    </row>
    <row r="90761" spans="25:37" x14ac:dyDescent="0.2">
      <c r="Y90761" s="5"/>
      <c r="AB90761" s="5"/>
      <c r="AE90761" s="5"/>
      <c r="AH90761" s="5"/>
      <c r="AK90761" s="5"/>
    </row>
    <row r="90771" spans="25:37" x14ac:dyDescent="0.2">
      <c r="Y90771" s="251"/>
      <c r="AB90771" s="251"/>
      <c r="AE90771" s="251"/>
      <c r="AH90771" s="251"/>
      <c r="AK90771" s="251"/>
    </row>
    <row r="90886" spans="25:37" x14ac:dyDescent="0.2">
      <c r="Y90886" s="5"/>
      <c r="AB90886" s="5"/>
      <c r="AE90886" s="5"/>
      <c r="AH90886" s="5"/>
      <c r="AK90886" s="5"/>
    </row>
    <row r="90896" spans="25:37" x14ac:dyDescent="0.2">
      <c r="Y90896" s="251"/>
      <c r="AB90896" s="251"/>
      <c r="AE90896" s="251"/>
      <c r="AH90896" s="251"/>
      <c r="AK90896" s="251"/>
    </row>
    <row r="91011" spans="25:37" x14ac:dyDescent="0.2">
      <c r="Y91011" s="5"/>
      <c r="AB91011" s="5"/>
      <c r="AE91011" s="5"/>
      <c r="AH91011" s="5"/>
      <c r="AK91011" s="5"/>
    </row>
    <row r="91021" spans="25:37" x14ac:dyDescent="0.2">
      <c r="Y91021" s="251"/>
      <c r="AB91021" s="251"/>
      <c r="AE91021" s="251"/>
      <c r="AH91021" s="251"/>
      <c r="AK91021" s="251"/>
    </row>
    <row r="91136" spans="25:37" x14ac:dyDescent="0.2">
      <c r="Y91136" s="5"/>
      <c r="AB91136" s="5"/>
      <c r="AE91136" s="5"/>
      <c r="AH91136" s="5"/>
      <c r="AK91136" s="5"/>
    </row>
    <row r="91146" spans="25:37" x14ac:dyDescent="0.2">
      <c r="Y91146" s="251"/>
      <c r="AB91146" s="251"/>
      <c r="AE91146" s="251"/>
      <c r="AH91146" s="251"/>
      <c r="AK91146" s="251"/>
    </row>
    <row r="91261" spans="25:37" x14ac:dyDescent="0.2">
      <c r="Y91261" s="5"/>
      <c r="AB91261" s="5"/>
      <c r="AE91261" s="5"/>
      <c r="AH91261" s="5"/>
      <c r="AK91261" s="5"/>
    </row>
    <row r="91271" spans="25:37" x14ac:dyDescent="0.2">
      <c r="Y91271" s="251"/>
      <c r="AB91271" s="251"/>
      <c r="AE91271" s="251"/>
      <c r="AH91271" s="251"/>
      <c r="AK91271" s="251"/>
    </row>
    <row r="91386" spans="25:37" x14ac:dyDescent="0.2">
      <c r="Y91386" s="5"/>
      <c r="AB91386" s="5"/>
      <c r="AE91386" s="5"/>
      <c r="AH91386" s="5"/>
      <c r="AK91386" s="5"/>
    </row>
    <row r="91396" spans="25:37" x14ac:dyDescent="0.2">
      <c r="Y91396" s="251"/>
      <c r="AB91396" s="251"/>
      <c r="AE91396" s="251"/>
      <c r="AH91396" s="251"/>
      <c r="AK91396" s="251"/>
    </row>
    <row r="91511" spans="25:37" x14ac:dyDescent="0.2">
      <c r="Y91511" s="5"/>
      <c r="AB91511" s="5"/>
      <c r="AE91511" s="5"/>
      <c r="AH91511" s="5"/>
      <c r="AK91511" s="5"/>
    </row>
    <row r="91521" spans="25:37" x14ac:dyDescent="0.2">
      <c r="Y91521" s="251"/>
      <c r="AB91521" s="251"/>
      <c r="AE91521" s="251"/>
      <c r="AH91521" s="251"/>
      <c r="AK91521" s="251"/>
    </row>
    <row r="91636" spans="25:37" x14ac:dyDescent="0.2">
      <c r="Y91636" s="5"/>
      <c r="AB91636" s="5"/>
      <c r="AE91636" s="5"/>
      <c r="AH91636" s="5"/>
      <c r="AK91636" s="5"/>
    </row>
    <row r="91646" spans="25:37" x14ac:dyDescent="0.2">
      <c r="Y91646" s="251"/>
      <c r="AB91646" s="251"/>
      <c r="AE91646" s="251"/>
      <c r="AH91646" s="251"/>
      <c r="AK91646" s="251"/>
    </row>
    <row r="91761" spans="25:37" x14ac:dyDescent="0.2">
      <c r="Y91761" s="5"/>
      <c r="AB91761" s="5"/>
      <c r="AE91761" s="5"/>
      <c r="AH91761" s="5"/>
      <c r="AK91761" s="5"/>
    </row>
    <row r="91771" spans="25:37" x14ac:dyDescent="0.2">
      <c r="Y91771" s="251"/>
      <c r="AB91771" s="251"/>
      <c r="AE91771" s="251"/>
      <c r="AH91771" s="251"/>
      <c r="AK91771" s="251"/>
    </row>
    <row r="91886" spans="25:37" x14ac:dyDescent="0.2">
      <c r="Y91886" s="5"/>
      <c r="AB91886" s="5"/>
      <c r="AE91886" s="5"/>
      <c r="AH91886" s="5"/>
      <c r="AK91886" s="5"/>
    </row>
    <row r="91896" spans="25:37" x14ac:dyDescent="0.2">
      <c r="Y91896" s="251"/>
      <c r="AB91896" s="251"/>
      <c r="AE91896" s="251"/>
      <c r="AH91896" s="251"/>
      <c r="AK91896" s="251"/>
    </row>
    <row r="92011" spans="25:37" x14ac:dyDescent="0.2">
      <c r="Y92011" s="5"/>
      <c r="AB92011" s="5"/>
      <c r="AE92011" s="5"/>
      <c r="AH92011" s="5"/>
      <c r="AK92011" s="5"/>
    </row>
    <row r="92021" spans="25:37" x14ac:dyDescent="0.2">
      <c r="Y92021" s="251"/>
      <c r="AB92021" s="251"/>
      <c r="AE92021" s="251"/>
      <c r="AH92021" s="251"/>
      <c r="AK92021" s="251"/>
    </row>
    <row r="92136" spans="25:37" x14ac:dyDescent="0.2">
      <c r="Y92136" s="5"/>
      <c r="AB92136" s="5"/>
      <c r="AE92136" s="5"/>
      <c r="AH92136" s="5"/>
      <c r="AK92136" s="5"/>
    </row>
    <row r="92146" spans="25:37" x14ac:dyDescent="0.2">
      <c r="Y92146" s="251"/>
      <c r="AB92146" s="251"/>
      <c r="AE92146" s="251"/>
      <c r="AH92146" s="251"/>
      <c r="AK92146" s="251"/>
    </row>
    <row r="92261" spans="25:37" x14ac:dyDescent="0.2">
      <c r="Y92261" s="5"/>
      <c r="AB92261" s="5"/>
      <c r="AE92261" s="5"/>
      <c r="AH92261" s="5"/>
      <c r="AK92261" s="5"/>
    </row>
    <row r="92271" spans="25:37" x14ac:dyDescent="0.2">
      <c r="Y92271" s="251"/>
      <c r="AB92271" s="251"/>
      <c r="AE92271" s="251"/>
      <c r="AH92271" s="251"/>
      <c r="AK92271" s="251"/>
    </row>
    <row r="92386" spans="25:37" x14ac:dyDescent="0.2">
      <c r="Y92386" s="5"/>
      <c r="AB92386" s="5"/>
      <c r="AE92386" s="5"/>
      <c r="AH92386" s="5"/>
      <c r="AK92386" s="5"/>
    </row>
    <row r="92396" spans="25:37" x14ac:dyDescent="0.2">
      <c r="Y92396" s="251"/>
      <c r="AB92396" s="251"/>
      <c r="AE92396" s="251"/>
      <c r="AH92396" s="251"/>
      <c r="AK92396" s="251"/>
    </row>
    <row r="92511" spans="25:37" x14ac:dyDescent="0.2">
      <c r="Y92511" s="5"/>
      <c r="AB92511" s="5"/>
      <c r="AE92511" s="5"/>
      <c r="AH92511" s="5"/>
      <c r="AK92511" s="5"/>
    </row>
    <row r="92521" spans="25:37" x14ac:dyDescent="0.2">
      <c r="Y92521" s="251"/>
      <c r="AB92521" s="251"/>
      <c r="AE92521" s="251"/>
      <c r="AH92521" s="251"/>
      <c r="AK92521" s="251"/>
    </row>
    <row r="92636" spans="25:37" x14ac:dyDescent="0.2">
      <c r="Y92636" s="5"/>
      <c r="AB92636" s="5"/>
      <c r="AE92636" s="5"/>
      <c r="AH92636" s="5"/>
      <c r="AK92636" s="5"/>
    </row>
    <row r="92646" spans="25:37" x14ac:dyDescent="0.2">
      <c r="Y92646" s="251"/>
      <c r="AB92646" s="251"/>
      <c r="AE92646" s="251"/>
      <c r="AH92646" s="251"/>
      <c r="AK92646" s="251"/>
    </row>
    <row r="92761" spans="25:37" x14ac:dyDescent="0.2">
      <c r="Y92761" s="5"/>
      <c r="AB92761" s="5"/>
      <c r="AE92761" s="5"/>
      <c r="AH92761" s="5"/>
      <c r="AK92761" s="5"/>
    </row>
    <row r="92771" spans="25:37" x14ac:dyDescent="0.2">
      <c r="Y92771" s="251"/>
      <c r="AB92771" s="251"/>
      <c r="AE92771" s="251"/>
      <c r="AH92771" s="251"/>
      <c r="AK92771" s="251"/>
    </row>
    <row r="92886" spans="25:37" x14ac:dyDescent="0.2">
      <c r="Y92886" s="5"/>
      <c r="AB92886" s="5"/>
      <c r="AE92886" s="5"/>
      <c r="AH92886" s="5"/>
      <c r="AK92886" s="5"/>
    </row>
    <row r="92896" spans="25:37" x14ac:dyDescent="0.2">
      <c r="Y92896" s="251"/>
      <c r="AB92896" s="251"/>
      <c r="AE92896" s="251"/>
      <c r="AH92896" s="251"/>
      <c r="AK92896" s="251"/>
    </row>
    <row r="93011" spans="25:37" x14ac:dyDescent="0.2">
      <c r="Y93011" s="5"/>
      <c r="AB93011" s="5"/>
      <c r="AE93011" s="5"/>
      <c r="AH93011" s="5"/>
      <c r="AK93011" s="5"/>
    </row>
    <row r="93021" spans="25:37" x14ac:dyDescent="0.2">
      <c r="Y93021" s="251"/>
      <c r="AB93021" s="251"/>
      <c r="AE93021" s="251"/>
      <c r="AH93021" s="251"/>
      <c r="AK93021" s="251"/>
    </row>
    <row r="93136" spans="25:37" x14ac:dyDescent="0.2">
      <c r="Y93136" s="5"/>
      <c r="AB93136" s="5"/>
      <c r="AE93136" s="5"/>
      <c r="AH93136" s="5"/>
      <c r="AK93136" s="5"/>
    </row>
    <row r="93146" spans="25:37" x14ac:dyDescent="0.2">
      <c r="Y93146" s="251"/>
      <c r="AB93146" s="251"/>
      <c r="AE93146" s="251"/>
      <c r="AH93146" s="251"/>
      <c r="AK93146" s="251"/>
    </row>
    <row r="93261" spans="25:37" x14ac:dyDescent="0.2">
      <c r="Y93261" s="5"/>
      <c r="AB93261" s="5"/>
      <c r="AE93261" s="5"/>
      <c r="AH93261" s="5"/>
      <c r="AK93261" s="5"/>
    </row>
    <row r="93271" spans="25:37" x14ac:dyDescent="0.2">
      <c r="Y93271" s="251"/>
      <c r="AB93271" s="251"/>
      <c r="AE93271" s="251"/>
      <c r="AH93271" s="251"/>
      <c r="AK93271" s="251"/>
    </row>
    <row r="93386" spans="25:37" x14ac:dyDescent="0.2">
      <c r="Y93386" s="5"/>
      <c r="AB93386" s="5"/>
      <c r="AE93386" s="5"/>
      <c r="AH93386" s="5"/>
      <c r="AK93386" s="5"/>
    </row>
    <row r="93396" spans="25:37" x14ac:dyDescent="0.2">
      <c r="Y93396" s="251"/>
      <c r="AB93396" s="251"/>
      <c r="AE93396" s="251"/>
      <c r="AH93396" s="251"/>
      <c r="AK93396" s="251"/>
    </row>
    <row r="93511" spans="25:37" x14ac:dyDescent="0.2">
      <c r="Y93511" s="5"/>
      <c r="AB93511" s="5"/>
      <c r="AE93511" s="5"/>
      <c r="AH93511" s="5"/>
      <c r="AK93511" s="5"/>
    </row>
    <row r="93521" spans="25:37" x14ac:dyDescent="0.2">
      <c r="Y93521" s="251"/>
      <c r="AB93521" s="251"/>
      <c r="AE93521" s="251"/>
      <c r="AH93521" s="251"/>
      <c r="AK93521" s="251"/>
    </row>
    <row r="93636" spans="25:37" x14ac:dyDescent="0.2">
      <c r="Y93636" s="5"/>
      <c r="AB93636" s="5"/>
      <c r="AE93636" s="5"/>
      <c r="AH93636" s="5"/>
      <c r="AK93636" s="5"/>
    </row>
    <row r="93646" spans="25:37" x14ac:dyDescent="0.2">
      <c r="Y93646" s="251"/>
      <c r="AB93646" s="251"/>
      <c r="AE93646" s="251"/>
      <c r="AH93646" s="251"/>
      <c r="AK93646" s="251"/>
    </row>
    <row r="93761" spans="25:37" x14ac:dyDescent="0.2">
      <c r="Y93761" s="5"/>
      <c r="AB93761" s="5"/>
      <c r="AE93761" s="5"/>
      <c r="AH93761" s="5"/>
      <c r="AK93761" s="5"/>
    </row>
    <row r="93771" spans="25:37" x14ac:dyDescent="0.2">
      <c r="Y93771" s="251"/>
      <c r="AB93771" s="251"/>
      <c r="AE93771" s="251"/>
      <c r="AH93771" s="251"/>
      <c r="AK93771" s="251"/>
    </row>
    <row r="93886" spans="25:37" x14ac:dyDescent="0.2">
      <c r="Y93886" s="5"/>
      <c r="AB93886" s="5"/>
      <c r="AE93886" s="5"/>
      <c r="AH93886" s="5"/>
      <c r="AK93886" s="5"/>
    </row>
    <row r="93896" spans="25:37" x14ac:dyDescent="0.2">
      <c r="Y93896" s="251"/>
      <c r="AB93896" s="251"/>
      <c r="AE93896" s="251"/>
      <c r="AH93896" s="251"/>
      <c r="AK93896" s="251"/>
    </row>
    <row r="94011" spans="25:37" x14ac:dyDescent="0.2">
      <c r="Y94011" s="5"/>
      <c r="AB94011" s="5"/>
      <c r="AE94011" s="5"/>
      <c r="AH94011" s="5"/>
      <c r="AK94011" s="5"/>
    </row>
    <row r="94021" spans="25:37" x14ac:dyDescent="0.2">
      <c r="Y94021" s="251"/>
      <c r="AB94021" s="251"/>
      <c r="AE94021" s="251"/>
      <c r="AH94021" s="251"/>
      <c r="AK94021" s="251"/>
    </row>
    <row r="94136" spans="25:37" x14ac:dyDescent="0.2">
      <c r="Y94136" s="5"/>
      <c r="AB94136" s="5"/>
      <c r="AE94136" s="5"/>
      <c r="AH94136" s="5"/>
      <c r="AK94136" s="5"/>
    </row>
    <row r="94146" spans="25:37" x14ac:dyDescent="0.2">
      <c r="Y94146" s="251"/>
      <c r="AB94146" s="251"/>
      <c r="AE94146" s="251"/>
      <c r="AH94146" s="251"/>
      <c r="AK94146" s="251"/>
    </row>
    <row r="94261" spans="25:37" x14ac:dyDescent="0.2">
      <c r="Y94261" s="5"/>
      <c r="AB94261" s="5"/>
      <c r="AE94261" s="5"/>
      <c r="AH94261" s="5"/>
      <c r="AK94261" s="5"/>
    </row>
    <row r="94271" spans="25:37" x14ac:dyDescent="0.2">
      <c r="Y94271" s="251"/>
      <c r="AB94271" s="251"/>
      <c r="AE94271" s="251"/>
      <c r="AH94271" s="251"/>
      <c r="AK94271" s="251"/>
    </row>
    <row r="94386" spans="25:37" x14ac:dyDescent="0.2">
      <c r="Y94386" s="5"/>
      <c r="AB94386" s="5"/>
      <c r="AE94386" s="5"/>
      <c r="AH94386" s="5"/>
      <c r="AK94386" s="5"/>
    </row>
    <row r="94396" spans="25:37" x14ac:dyDescent="0.2">
      <c r="Y94396" s="251"/>
      <c r="AB94396" s="251"/>
      <c r="AE94396" s="251"/>
      <c r="AH94396" s="251"/>
      <c r="AK94396" s="251"/>
    </row>
    <row r="94511" spans="25:37" x14ac:dyDescent="0.2">
      <c r="Y94511" s="5"/>
      <c r="AB94511" s="5"/>
      <c r="AE94511" s="5"/>
      <c r="AH94511" s="5"/>
      <c r="AK94511" s="5"/>
    </row>
    <row r="94521" spans="25:37" x14ac:dyDescent="0.2">
      <c r="Y94521" s="251"/>
      <c r="AB94521" s="251"/>
      <c r="AE94521" s="251"/>
      <c r="AH94521" s="251"/>
      <c r="AK94521" s="251"/>
    </row>
    <row r="94636" spans="25:37" x14ac:dyDescent="0.2">
      <c r="Y94636" s="5"/>
      <c r="AB94636" s="5"/>
      <c r="AE94636" s="5"/>
      <c r="AH94636" s="5"/>
      <c r="AK94636" s="5"/>
    </row>
    <row r="94646" spans="25:37" x14ac:dyDescent="0.2">
      <c r="Y94646" s="251"/>
      <c r="AB94646" s="251"/>
      <c r="AE94646" s="251"/>
      <c r="AH94646" s="251"/>
      <c r="AK94646" s="251"/>
    </row>
    <row r="94761" spans="25:37" x14ac:dyDescent="0.2">
      <c r="Y94761" s="5"/>
      <c r="AB94761" s="5"/>
      <c r="AE94761" s="5"/>
      <c r="AH94761" s="5"/>
      <c r="AK94761" s="5"/>
    </row>
    <row r="94771" spans="25:37" x14ac:dyDescent="0.2">
      <c r="Y94771" s="251"/>
      <c r="AB94771" s="251"/>
      <c r="AE94771" s="251"/>
      <c r="AH94771" s="251"/>
      <c r="AK94771" s="251"/>
    </row>
    <row r="94886" spans="25:37" x14ac:dyDescent="0.2">
      <c r="Y94886" s="5"/>
      <c r="AB94886" s="5"/>
      <c r="AE94886" s="5"/>
      <c r="AH94886" s="5"/>
      <c r="AK94886" s="5"/>
    </row>
    <row r="94896" spans="25:37" x14ac:dyDescent="0.2">
      <c r="Y94896" s="251"/>
      <c r="AB94896" s="251"/>
      <c r="AE94896" s="251"/>
      <c r="AH94896" s="251"/>
      <c r="AK94896" s="251"/>
    </row>
    <row r="95011" spans="25:37" x14ac:dyDescent="0.2">
      <c r="Y95011" s="5"/>
      <c r="AB95011" s="5"/>
      <c r="AE95011" s="5"/>
      <c r="AH95011" s="5"/>
      <c r="AK95011" s="5"/>
    </row>
    <row r="95021" spans="25:37" x14ac:dyDescent="0.2">
      <c r="Y95021" s="251"/>
      <c r="AB95021" s="251"/>
      <c r="AE95021" s="251"/>
      <c r="AH95021" s="251"/>
      <c r="AK95021" s="251"/>
    </row>
    <row r="95136" spans="25:37" x14ac:dyDescent="0.2">
      <c r="Y95136" s="5"/>
      <c r="AB95136" s="5"/>
      <c r="AE95136" s="5"/>
      <c r="AH95136" s="5"/>
      <c r="AK95136" s="5"/>
    </row>
    <row r="95146" spans="25:37" x14ac:dyDescent="0.2">
      <c r="Y95146" s="251"/>
      <c r="AB95146" s="251"/>
      <c r="AE95146" s="251"/>
      <c r="AH95146" s="251"/>
      <c r="AK95146" s="251"/>
    </row>
    <row r="95261" spans="25:37" x14ac:dyDescent="0.2">
      <c r="Y95261" s="5"/>
      <c r="AB95261" s="5"/>
      <c r="AE95261" s="5"/>
      <c r="AH95261" s="5"/>
      <c r="AK95261" s="5"/>
    </row>
    <row r="95271" spans="25:37" x14ac:dyDescent="0.2">
      <c r="Y95271" s="251"/>
      <c r="AB95271" s="251"/>
      <c r="AE95271" s="251"/>
      <c r="AH95271" s="251"/>
      <c r="AK95271" s="251"/>
    </row>
    <row r="95386" spans="25:37" x14ac:dyDescent="0.2">
      <c r="Y95386" s="5"/>
      <c r="AB95386" s="5"/>
      <c r="AE95386" s="5"/>
      <c r="AH95386" s="5"/>
      <c r="AK95386" s="5"/>
    </row>
    <row r="95396" spans="25:37" x14ac:dyDescent="0.2">
      <c r="Y95396" s="251"/>
      <c r="AB95396" s="251"/>
      <c r="AE95396" s="251"/>
      <c r="AH95396" s="251"/>
      <c r="AK95396" s="251"/>
    </row>
    <row r="95511" spans="25:37" x14ac:dyDescent="0.2">
      <c r="Y95511" s="5"/>
      <c r="AB95511" s="5"/>
      <c r="AE95511" s="5"/>
      <c r="AH95511" s="5"/>
      <c r="AK95511" s="5"/>
    </row>
    <row r="95521" spans="25:37" x14ac:dyDescent="0.2">
      <c r="Y95521" s="251"/>
      <c r="AB95521" s="251"/>
      <c r="AE95521" s="251"/>
      <c r="AH95521" s="251"/>
      <c r="AK95521" s="251"/>
    </row>
    <row r="95636" spans="25:37" x14ac:dyDescent="0.2">
      <c r="Y95636" s="5"/>
      <c r="AB95636" s="5"/>
      <c r="AE95636" s="5"/>
      <c r="AH95636" s="5"/>
      <c r="AK95636" s="5"/>
    </row>
    <row r="95646" spans="25:37" x14ac:dyDescent="0.2">
      <c r="Y95646" s="251"/>
      <c r="AB95646" s="251"/>
      <c r="AE95646" s="251"/>
      <c r="AH95646" s="251"/>
      <c r="AK95646" s="251"/>
    </row>
    <row r="95761" spans="25:37" x14ac:dyDescent="0.2">
      <c r="Y95761" s="5"/>
      <c r="AB95761" s="5"/>
      <c r="AE95761" s="5"/>
      <c r="AH95761" s="5"/>
      <c r="AK95761" s="5"/>
    </row>
    <row r="95771" spans="25:37" x14ac:dyDescent="0.2">
      <c r="Y95771" s="251"/>
      <c r="AB95771" s="251"/>
      <c r="AE95771" s="251"/>
      <c r="AH95771" s="251"/>
      <c r="AK95771" s="251"/>
    </row>
    <row r="95886" spans="25:37" x14ac:dyDescent="0.2">
      <c r="Y95886" s="5"/>
      <c r="AB95886" s="5"/>
      <c r="AE95886" s="5"/>
      <c r="AH95886" s="5"/>
      <c r="AK95886" s="5"/>
    </row>
    <row r="95896" spans="25:37" x14ac:dyDescent="0.2">
      <c r="Y95896" s="251"/>
      <c r="AB95896" s="251"/>
      <c r="AE95896" s="251"/>
      <c r="AH95896" s="251"/>
      <c r="AK95896" s="251"/>
    </row>
    <row r="96011" spans="25:37" x14ac:dyDescent="0.2">
      <c r="Y96011" s="5"/>
      <c r="AB96011" s="5"/>
      <c r="AE96011" s="5"/>
      <c r="AH96011" s="5"/>
      <c r="AK96011" s="5"/>
    </row>
    <row r="96021" spans="25:37" x14ac:dyDescent="0.2">
      <c r="Y96021" s="251"/>
      <c r="AB96021" s="251"/>
      <c r="AE96021" s="251"/>
      <c r="AH96021" s="251"/>
      <c r="AK96021" s="251"/>
    </row>
    <row r="96136" spans="25:37" x14ac:dyDescent="0.2">
      <c r="Y96136" s="5"/>
      <c r="AB96136" s="5"/>
      <c r="AE96136" s="5"/>
      <c r="AH96136" s="5"/>
      <c r="AK96136" s="5"/>
    </row>
    <row r="96146" spans="25:37" x14ac:dyDescent="0.2">
      <c r="Y96146" s="251"/>
      <c r="AB96146" s="251"/>
      <c r="AE96146" s="251"/>
      <c r="AH96146" s="251"/>
      <c r="AK96146" s="251"/>
    </row>
    <row r="96261" spans="25:37" x14ac:dyDescent="0.2">
      <c r="Y96261" s="5"/>
      <c r="AB96261" s="5"/>
      <c r="AE96261" s="5"/>
      <c r="AH96261" s="5"/>
      <c r="AK96261" s="5"/>
    </row>
    <row r="96271" spans="25:37" x14ac:dyDescent="0.2">
      <c r="Y96271" s="251"/>
      <c r="AB96271" s="251"/>
      <c r="AE96271" s="251"/>
      <c r="AH96271" s="251"/>
      <c r="AK96271" s="251"/>
    </row>
    <row r="96386" spans="25:37" x14ac:dyDescent="0.2">
      <c r="Y96386" s="5"/>
      <c r="AB96386" s="5"/>
      <c r="AE96386" s="5"/>
      <c r="AH96386" s="5"/>
      <c r="AK96386" s="5"/>
    </row>
    <row r="96396" spans="25:37" x14ac:dyDescent="0.2">
      <c r="Y96396" s="251"/>
      <c r="AB96396" s="251"/>
      <c r="AE96396" s="251"/>
      <c r="AH96396" s="251"/>
      <c r="AK96396" s="251"/>
    </row>
    <row r="96511" spans="25:37" x14ac:dyDescent="0.2">
      <c r="Y96511" s="5"/>
      <c r="AB96511" s="5"/>
      <c r="AE96511" s="5"/>
      <c r="AH96511" s="5"/>
      <c r="AK96511" s="5"/>
    </row>
    <row r="96521" spans="25:37" x14ac:dyDescent="0.2">
      <c r="Y96521" s="251"/>
      <c r="AB96521" s="251"/>
      <c r="AE96521" s="251"/>
      <c r="AH96521" s="251"/>
      <c r="AK96521" s="251"/>
    </row>
    <row r="96636" spans="25:37" x14ac:dyDescent="0.2">
      <c r="Y96636" s="5"/>
      <c r="AB96636" s="5"/>
      <c r="AE96636" s="5"/>
      <c r="AH96636" s="5"/>
      <c r="AK96636" s="5"/>
    </row>
    <row r="96646" spans="25:37" x14ac:dyDescent="0.2">
      <c r="Y96646" s="251"/>
      <c r="AB96646" s="251"/>
      <c r="AE96646" s="251"/>
      <c r="AH96646" s="251"/>
      <c r="AK96646" s="251"/>
    </row>
    <row r="96761" spans="25:37" x14ac:dyDescent="0.2">
      <c r="Y96761" s="5"/>
      <c r="AB96761" s="5"/>
      <c r="AE96761" s="5"/>
      <c r="AH96761" s="5"/>
      <c r="AK96761" s="5"/>
    </row>
    <row r="96771" spans="25:37" x14ac:dyDescent="0.2">
      <c r="Y96771" s="251"/>
      <c r="AB96771" s="251"/>
      <c r="AE96771" s="251"/>
      <c r="AH96771" s="251"/>
      <c r="AK96771" s="251"/>
    </row>
    <row r="96886" spans="25:37" x14ac:dyDescent="0.2">
      <c r="Y96886" s="5"/>
      <c r="AB96886" s="5"/>
      <c r="AE96886" s="5"/>
      <c r="AH96886" s="5"/>
      <c r="AK96886" s="5"/>
    </row>
    <row r="96896" spans="25:37" x14ac:dyDescent="0.2">
      <c r="Y96896" s="251"/>
      <c r="AB96896" s="251"/>
      <c r="AE96896" s="251"/>
      <c r="AH96896" s="251"/>
      <c r="AK96896" s="251"/>
    </row>
    <row r="97011" spans="25:37" x14ac:dyDescent="0.2">
      <c r="Y97011" s="5"/>
      <c r="AB97011" s="5"/>
      <c r="AE97011" s="5"/>
      <c r="AH97011" s="5"/>
      <c r="AK97011" s="5"/>
    </row>
    <row r="97021" spans="25:37" x14ac:dyDescent="0.2">
      <c r="Y97021" s="251"/>
      <c r="AB97021" s="251"/>
      <c r="AE97021" s="251"/>
      <c r="AH97021" s="251"/>
      <c r="AK97021" s="251"/>
    </row>
    <row r="97136" spans="25:37" x14ac:dyDescent="0.2">
      <c r="Y97136" s="5"/>
      <c r="AB97136" s="5"/>
      <c r="AE97136" s="5"/>
      <c r="AH97136" s="5"/>
      <c r="AK97136" s="5"/>
    </row>
    <row r="97146" spans="25:37" x14ac:dyDescent="0.2">
      <c r="Y97146" s="251"/>
      <c r="AB97146" s="251"/>
      <c r="AE97146" s="251"/>
      <c r="AH97146" s="251"/>
      <c r="AK97146" s="251"/>
    </row>
    <row r="97261" spans="25:37" x14ac:dyDescent="0.2">
      <c r="Y97261" s="5"/>
      <c r="AB97261" s="5"/>
      <c r="AE97261" s="5"/>
      <c r="AH97261" s="5"/>
      <c r="AK97261" s="5"/>
    </row>
    <row r="97271" spans="25:37" x14ac:dyDescent="0.2">
      <c r="Y97271" s="251"/>
      <c r="AB97271" s="251"/>
      <c r="AE97271" s="251"/>
      <c r="AH97271" s="251"/>
      <c r="AK97271" s="251"/>
    </row>
    <row r="97386" spans="25:37" x14ac:dyDescent="0.2">
      <c r="Y97386" s="5"/>
      <c r="AB97386" s="5"/>
      <c r="AE97386" s="5"/>
      <c r="AH97386" s="5"/>
      <c r="AK97386" s="5"/>
    </row>
    <row r="97396" spans="25:37" x14ac:dyDescent="0.2">
      <c r="Y97396" s="251"/>
      <c r="AB97396" s="251"/>
      <c r="AE97396" s="251"/>
      <c r="AH97396" s="251"/>
      <c r="AK97396" s="251"/>
    </row>
    <row r="97511" spans="25:37" x14ac:dyDescent="0.2">
      <c r="Y97511" s="5"/>
      <c r="AB97511" s="5"/>
      <c r="AE97511" s="5"/>
      <c r="AH97511" s="5"/>
      <c r="AK97511" s="5"/>
    </row>
    <row r="97521" spans="25:37" x14ac:dyDescent="0.2">
      <c r="Y97521" s="251"/>
      <c r="AB97521" s="251"/>
      <c r="AE97521" s="251"/>
      <c r="AH97521" s="251"/>
      <c r="AK97521" s="251"/>
    </row>
    <row r="97636" spans="25:37" x14ac:dyDescent="0.2">
      <c r="Y97636" s="5"/>
      <c r="AB97636" s="5"/>
      <c r="AE97636" s="5"/>
      <c r="AH97636" s="5"/>
      <c r="AK97636" s="5"/>
    </row>
    <row r="97646" spans="25:37" x14ac:dyDescent="0.2">
      <c r="Y97646" s="251"/>
      <c r="AB97646" s="251"/>
      <c r="AE97646" s="251"/>
      <c r="AH97646" s="251"/>
      <c r="AK97646" s="251"/>
    </row>
    <row r="97761" spans="25:37" x14ac:dyDescent="0.2">
      <c r="Y97761" s="5"/>
      <c r="AB97761" s="5"/>
      <c r="AE97761" s="5"/>
      <c r="AH97761" s="5"/>
      <c r="AK97761" s="5"/>
    </row>
    <row r="97771" spans="25:37" x14ac:dyDescent="0.2">
      <c r="Y97771" s="251"/>
      <c r="AB97771" s="251"/>
      <c r="AE97771" s="251"/>
      <c r="AH97771" s="251"/>
      <c r="AK97771" s="251"/>
    </row>
    <row r="97886" spans="25:37" x14ac:dyDescent="0.2">
      <c r="Y97886" s="5"/>
      <c r="AB97886" s="5"/>
      <c r="AE97886" s="5"/>
      <c r="AH97886" s="5"/>
      <c r="AK97886" s="5"/>
    </row>
    <row r="97896" spans="25:37" x14ac:dyDescent="0.2">
      <c r="Y97896" s="251"/>
      <c r="AB97896" s="251"/>
      <c r="AE97896" s="251"/>
      <c r="AH97896" s="251"/>
      <c r="AK97896" s="251"/>
    </row>
    <row r="98011" spans="25:37" x14ac:dyDescent="0.2">
      <c r="Y98011" s="5"/>
      <c r="AB98011" s="5"/>
      <c r="AE98011" s="5"/>
      <c r="AH98011" s="5"/>
      <c r="AK98011" s="5"/>
    </row>
    <row r="98021" spans="25:37" x14ac:dyDescent="0.2">
      <c r="Y98021" s="251"/>
      <c r="AB98021" s="251"/>
      <c r="AE98021" s="251"/>
      <c r="AH98021" s="251"/>
      <c r="AK98021" s="251"/>
    </row>
    <row r="98136" spans="25:37" x14ac:dyDescent="0.2">
      <c r="Y98136" s="5"/>
      <c r="AB98136" s="5"/>
      <c r="AE98136" s="5"/>
      <c r="AH98136" s="5"/>
      <c r="AK98136" s="5"/>
    </row>
    <row r="98146" spans="25:37" x14ac:dyDescent="0.2">
      <c r="Y98146" s="251"/>
      <c r="AB98146" s="251"/>
      <c r="AE98146" s="251"/>
      <c r="AH98146" s="251"/>
      <c r="AK98146" s="251"/>
    </row>
    <row r="98261" spans="25:37" x14ac:dyDescent="0.2">
      <c r="Y98261" s="5"/>
      <c r="AB98261" s="5"/>
      <c r="AE98261" s="5"/>
      <c r="AH98261" s="5"/>
      <c r="AK98261" s="5"/>
    </row>
    <row r="98271" spans="25:37" x14ac:dyDescent="0.2">
      <c r="Y98271" s="251"/>
      <c r="AB98271" s="251"/>
      <c r="AE98271" s="251"/>
      <c r="AH98271" s="251"/>
      <c r="AK98271" s="251"/>
    </row>
    <row r="98386" spans="25:37" x14ac:dyDescent="0.2">
      <c r="Y98386" s="5"/>
      <c r="AB98386" s="5"/>
      <c r="AE98386" s="5"/>
      <c r="AH98386" s="5"/>
      <c r="AK98386" s="5"/>
    </row>
    <row r="98396" spans="25:37" x14ac:dyDescent="0.2">
      <c r="Y98396" s="251"/>
      <c r="AB98396" s="251"/>
      <c r="AE98396" s="251"/>
      <c r="AH98396" s="251"/>
      <c r="AK98396" s="251"/>
    </row>
    <row r="98511" spans="25:37" x14ac:dyDescent="0.2">
      <c r="Y98511" s="5"/>
      <c r="AB98511" s="5"/>
      <c r="AE98511" s="5"/>
      <c r="AH98511" s="5"/>
      <c r="AK98511" s="5"/>
    </row>
    <row r="98521" spans="25:37" x14ac:dyDescent="0.2">
      <c r="Y98521" s="251"/>
      <c r="AB98521" s="251"/>
      <c r="AE98521" s="251"/>
      <c r="AH98521" s="251"/>
      <c r="AK98521" s="251"/>
    </row>
    <row r="98636" spans="25:37" x14ac:dyDescent="0.2">
      <c r="Y98636" s="5"/>
      <c r="AB98636" s="5"/>
      <c r="AE98636" s="5"/>
      <c r="AH98636" s="5"/>
      <c r="AK98636" s="5"/>
    </row>
    <row r="98646" spans="25:37" x14ac:dyDescent="0.2">
      <c r="Y98646" s="251"/>
      <c r="AB98646" s="251"/>
      <c r="AE98646" s="251"/>
      <c r="AH98646" s="251"/>
      <c r="AK98646" s="251"/>
    </row>
    <row r="98761" spans="25:37" x14ac:dyDescent="0.2">
      <c r="Y98761" s="5"/>
      <c r="AB98761" s="5"/>
      <c r="AE98761" s="5"/>
      <c r="AH98761" s="5"/>
      <c r="AK98761" s="5"/>
    </row>
    <row r="98771" spans="25:37" x14ac:dyDescent="0.2">
      <c r="Y98771" s="251"/>
      <c r="AB98771" s="251"/>
      <c r="AE98771" s="251"/>
      <c r="AH98771" s="251"/>
      <c r="AK98771" s="251"/>
    </row>
    <row r="98886" spans="25:37" x14ac:dyDescent="0.2">
      <c r="Y98886" s="5"/>
      <c r="AB98886" s="5"/>
      <c r="AE98886" s="5"/>
      <c r="AH98886" s="5"/>
      <c r="AK98886" s="5"/>
    </row>
    <row r="98896" spans="25:37" x14ac:dyDescent="0.2">
      <c r="Y98896" s="251"/>
      <c r="AB98896" s="251"/>
      <c r="AE98896" s="251"/>
      <c r="AH98896" s="251"/>
      <c r="AK98896" s="251"/>
    </row>
    <row r="99011" spans="25:37" x14ac:dyDescent="0.2">
      <c r="Y99011" s="5"/>
      <c r="AB99011" s="5"/>
      <c r="AE99011" s="5"/>
      <c r="AH99011" s="5"/>
      <c r="AK99011" s="5"/>
    </row>
    <row r="99021" spans="25:37" x14ac:dyDescent="0.2">
      <c r="Y99021" s="251"/>
      <c r="AB99021" s="251"/>
      <c r="AE99021" s="251"/>
      <c r="AH99021" s="251"/>
      <c r="AK99021" s="251"/>
    </row>
    <row r="99136" spans="25:37" x14ac:dyDescent="0.2">
      <c r="Y99136" s="5"/>
      <c r="AB99136" s="5"/>
      <c r="AE99136" s="5"/>
      <c r="AH99136" s="5"/>
      <c r="AK99136" s="5"/>
    </row>
    <row r="99146" spans="25:37" x14ac:dyDescent="0.2">
      <c r="Y99146" s="251"/>
      <c r="AB99146" s="251"/>
      <c r="AE99146" s="251"/>
      <c r="AH99146" s="251"/>
      <c r="AK99146" s="251"/>
    </row>
    <row r="99261" spans="25:37" x14ac:dyDescent="0.2">
      <c r="Y99261" s="5"/>
      <c r="AB99261" s="5"/>
      <c r="AE99261" s="5"/>
      <c r="AH99261" s="5"/>
      <c r="AK99261" s="5"/>
    </row>
    <row r="99271" spans="25:37" x14ac:dyDescent="0.2">
      <c r="Y99271" s="251"/>
      <c r="AB99271" s="251"/>
      <c r="AE99271" s="251"/>
      <c r="AH99271" s="251"/>
      <c r="AK99271" s="251"/>
    </row>
    <row r="99386" spans="25:37" x14ac:dyDescent="0.2">
      <c r="Y99386" s="5"/>
      <c r="AB99386" s="5"/>
      <c r="AE99386" s="5"/>
      <c r="AH99386" s="5"/>
      <c r="AK99386" s="5"/>
    </row>
    <row r="99396" spans="25:37" x14ac:dyDescent="0.2">
      <c r="Y99396" s="251"/>
      <c r="AB99396" s="251"/>
      <c r="AE99396" s="251"/>
      <c r="AH99396" s="251"/>
      <c r="AK99396" s="251"/>
    </row>
    <row r="99511" spans="25:37" x14ac:dyDescent="0.2">
      <c r="Y99511" s="5"/>
      <c r="AB99511" s="5"/>
      <c r="AE99511" s="5"/>
      <c r="AH99511" s="5"/>
      <c r="AK99511" s="5"/>
    </row>
    <row r="99521" spans="25:37" x14ac:dyDescent="0.2">
      <c r="Y99521" s="251"/>
      <c r="AB99521" s="251"/>
      <c r="AE99521" s="251"/>
      <c r="AH99521" s="251"/>
      <c r="AK99521" s="251"/>
    </row>
    <row r="99636" spans="25:37" x14ac:dyDescent="0.2">
      <c r="Y99636" s="5"/>
      <c r="AB99636" s="5"/>
      <c r="AE99636" s="5"/>
      <c r="AH99636" s="5"/>
      <c r="AK99636" s="5"/>
    </row>
    <row r="99646" spans="25:37" x14ac:dyDescent="0.2">
      <c r="Y99646" s="251"/>
      <c r="AB99646" s="251"/>
      <c r="AE99646" s="251"/>
      <c r="AH99646" s="251"/>
      <c r="AK99646" s="251"/>
    </row>
    <row r="99761" spans="25:37" x14ac:dyDescent="0.2">
      <c r="Y99761" s="5"/>
      <c r="AB99761" s="5"/>
      <c r="AE99761" s="5"/>
      <c r="AH99761" s="5"/>
      <c r="AK99761" s="5"/>
    </row>
    <row r="99771" spans="25:37" x14ac:dyDescent="0.2">
      <c r="Y99771" s="251"/>
      <c r="AB99771" s="251"/>
      <c r="AE99771" s="251"/>
      <c r="AH99771" s="251"/>
      <c r="AK99771" s="251"/>
    </row>
    <row r="99886" spans="25:37" x14ac:dyDescent="0.2">
      <c r="Y99886" s="5"/>
      <c r="AB99886" s="5"/>
      <c r="AE99886" s="5"/>
      <c r="AH99886" s="5"/>
      <c r="AK99886" s="5"/>
    </row>
    <row r="99896" spans="25:37" x14ac:dyDescent="0.2">
      <c r="Y99896" s="251"/>
      <c r="AB99896" s="251"/>
      <c r="AE99896" s="251"/>
      <c r="AH99896" s="251"/>
      <c r="AK99896" s="251"/>
    </row>
    <row r="100011" spans="25:37" x14ac:dyDescent="0.2">
      <c r="Y100011" s="5"/>
      <c r="AB100011" s="5"/>
      <c r="AE100011" s="5"/>
      <c r="AH100011" s="5"/>
      <c r="AK100011" s="5"/>
    </row>
    <row r="100021" spans="25:37" x14ac:dyDescent="0.2">
      <c r="Y100021" s="251"/>
      <c r="AB100021" s="251"/>
      <c r="AE100021" s="251"/>
      <c r="AH100021" s="251"/>
      <c r="AK100021" s="251"/>
    </row>
    <row r="100136" spans="25:37" x14ac:dyDescent="0.2">
      <c r="Y100136" s="5"/>
      <c r="AB100136" s="5"/>
      <c r="AE100136" s="5"/>
      <c r="AH100136" s="5"/>
      <c r="AK100136" s="5"/>
    </row>
    <row r="100146" spans="25:37" x14ac:dyDescent="0.2">
      <c r="Y100146" s="251"/>
      <c r="AB100146" s="251"/>
      <c r="AE100146" s="251"/>
      <c r="AH100146" s="251"/>
      <c r="AK100146" s="251"/>
    </row>
    <row r="100261" spans="25:37" x14ac:dyDescent="0.2">
      <c r="Y100261" s="5"/>
      <c r="AB100261" s="5"/>
      <c r="AE100261" s="5"/>
      <c r="AH100261" s="5"/>
      <c r="AK100261" s="5"/>
    </row>
    <row r="100271" spans="25:37" x14ac:dyDescent="0.2">
      <c r="Y100271" s="251"/>
      <c r="AB100271" s="251"/>
      <c r="AE100271" s="251"/>
      <c r="AH100271" s="251"/>
      <c r="AK100271" s="251"/>
    </row>
    <row r="100386" spans="25:37" x14ac:dyDescent="0.2">
      <c r="Y100386" s="5"/>
      <c r="AB100386" s="5"/>
      <c r="AE100386" s="5"/>
      <c r="AH100386" s="5"/>
      <c r="AK100386" s="5"/>
    </row>
    <row r="100396" spans="25:37" x14ac:dyDescent="0.2">
      <c r="Y100396" s="251"/>
      <c r="AB100396" s="251"/>
      <c r="AE100396" s="251"/>
      <c r="AH100396" s="251"/>
      <c r="AK100396" s="251"/>
    </row>
    <row r="100511" spans="25:37" x14ac:dyDescent="0.2">
      <c r="Y100511" s="5"/>
      <c r="AB100511" s="5"/>
      <c r="AE100511" s="5"/>
      <c r="AH100511" s="5"/>
      <c r="AK100511" s="5"/>
    </row>
    <row r="100521" spans="25:37" x14ac:dyDescent="0.2">
      <c r="Y100521" s="251"/>
      <c r="AB100521" s="251"/>
      <c r="AE100521" s="251"/>
      <c r="AH100521" s="251"/>
      <c r="AK100521" s="251"/>
    </row>
    <row r="100636" spans="25:37" x14ac:dyDescent="0.2">
      <c r="Y100636" s="5"/>
      <c r="AB100636" s="5"/>
      <c r="AE100636" s="5"/>
      <c r="AH100636" s="5"/>
      <c r="AK100636" s="5"/>
    </row>
    <row r="100646" spans="25:37" x14ac:dyDescent="0.2">
      <c r="Y100646" s="251"/>
      <c r="AB100646" s="251"/>
      <c r="AE100646" s="251"/>
      <c r="AH100646" s="251"/>
      <c r="AK100646" s="251"/>
    </row>
    <row r="100761" spans="25:37" x14ac:dyDescent="0.2">
      <c r="Y100761" s="5"/>
      <c r="AB100761" s="5"/>
      <c r="AE100761" s="5"/>
      <c r="AH100761" s="5"/>
      <c r="AK100761" s="5"/>
    </row>
    <row r="100771" spans="25:37" x14ac:dyDescent="0.2">
      <c r="Y100771" s="251"/>
      <c r="AB100771" s="251"/>
      <c r="AE100771" s="251"/>
      <c r="AH100771" s="251"/>
      <c r="AK100771" s="251"/>
    </row>
    <row r="100886" spans="25:37" x14ac:dyDescent="0.2">
      <c r="Y100886" s="5"/>
      <c r="AB100886" s="5"/>
      <c r="AE100886" s="5"/>
      <c r="AH100886" s="5"/>
      <c r="AK100886" s="5"/>
    </row>
    <row r="100896" spans="25:37" x14ac:dyDescent="0.2">
      <c r="Y100896" s="251"/>
      <c r="AB100896" s="251"/>
      <c r="AE100896" s="251"/>
      <c r="AH100896" s="251"/>
      <c r="AK100896" s="251"/>
    </row>
    <row r="101011" spans="25:37" x14ac:dyDescent="0.2">
      <c r="Y101011" s="5"/>
      <c r="AB101011" s="5"/>
      <c r="AE101011" s="5"/>
      <c r="AH101011" s="5"/>
      <c r="AK101011" s="5"/>
    </row>
    <row r="101021" spans="25:37" x14ac:dyDescent="0.2">
      <c r="Y101021" s="251"/>
      <c r="AB101021" s="251"/>
      <c r="AE101021" s="251"/>
      <c r="AH101021" s="251"/>
      <c r="AK101021" s="251"/>
    </row>
    <row r="101136" spans="25:37" x14ac:dyDescent="0.2">
      <c r="Y101136" s="5"/>
      <c r="AB101136" s="5"/>
      <c r="AE101136" s="5"/>
      <c r="AH101136" s="5"/>
      <c r="AK101136" s="5"/>
    </row>
    <row r="101146" spans="25:37" x14ac:dyDescent="0.2">
      <c r="Y101146" s="251"/>
      <c r="AB101146" s="251"/>
      <c r="AE101146" s="251"/>
      <c r="AH101146" s="251"/>
      <c r="AK101146" s="251"/>
    </row>
    <row r="101261" spans="25:37" x14ac:dyDescent="0.2">
      <c r="Y101261" s="5"/>
      <c r="AB101261" s="5"/>
      <c r="AE101261" s="5"/>
      <c r="AH101261" s="5"/>
      <c r="AK101261" s="5"/>
    </row>
    <row r="101271" spans="25:37" x14ac:dyDescent="0.2">
      <c r="Y101271" s="251"/>
      <c r="AB101271" s="251"/>
      <c r="AE101271" s="251"/>
      <c r="AH101271" s="251"/>
      <c r="AK101271" s="251"/>
    </row>
    <row r="101386" spans="25:37" x14ac:dyDescent="0.2">
      <c r="Y101386" s="5"/>
      <c r="AB101386" s="5"/>
      <c r="AE101386" s="5"/>
      <c r="AH101386" s="5"/>
      <c r="AK101386" s="5"/>
    </row>
    <row r="101396" spans="25:37" x14ac:dyDescent="0.2">
      <c r="Y101396" s="251"/>
      <c r="AB101396" s="251"/>
      <c r="AE101396" s="251"/>
      <c r="AH101396" s="251"/>
      <c r="AK101396" s="251"/>
    </row>
    <row r="101511" spans="25:37" x14ac:dyDescent="0.2">
      <c r="Y101511" s="5"/>
      <c r="AB101511" s="5"/>
      <c r="AE101511" s="5"/>
      <c r="AH101511" s="5"/>
      <c r="AK101511" s="5"/>
    </row>
    <row r="101521" spans="25:37" x14ac:dyDescent="0.2">
      <c r="Y101521" s="251"/>
      <c r="AB101521" s="251"/>
      <c r="AE101521" s="251"/>
      <c r="AH101521" s="251"/>
      <c r="AK101521" s="251"/>
    </row>
    <row r="101636" spans="25:37" x14ac:dyDescent="0.2">
      <c r="Y101636" s="5"/>
      <c r="AB101636" s="5"/>
      <c r="AE101636" s="5"/>
      <c r="AH101636" s="5"/>
      <c r="AK101636" s="5"/>
    </row>
    <row r="101646" spans="25:37" x14ac:dyDescent="0.2">
      <c r="Y101646" s="251"/>
      <c r="AB101646" s="251"/>
      <c r="AE101646" s="251"/>
      <c r="AH101646" s="251"/>
      <c r="AK101646" s="251"/>
    </row>
    <row r="101761" spans="25:37" x14ac:dyDescent="0.2">
      <c r="Y101761" s="5"/>
      <c r="AB101761" s="5"/>
      <c r="AE101761" s="5"/>
      <c r="AH101761" s="5"/>
      <c r="AK101761" s="5"/>
    </row>
    <row r="101771" spans="25:37" x14ac:dyDescent="0.2">
      <c r="Y101771" s="251"/>
      <c r="AB101771" s="251"/>
      <c r="AE101771" s="251"/>
      <c r="AH101771" s="251"/>
      <c r="AK101771" s="251"/>
    </row>
    <row r="101886" spans="25:37" x14ac:dyDescent="0.2">
      <c r="Y101886" s="5"/>
      <c r="AB101886" s="5"/>
      <c r="AE101886" s="5"/>
      <c r="AH101886" s="5"/>
      <c r="AK101886" s="5"/>
    </row>
    <row r="101896" spans="25:37" x14ac:dyDescent="0.2">
      <c r="Y101896" s="251"/>
      <c r="AB101896" s="251"/>
      <c r="AE101896" s="251"/>
      <c r="AH101896" s="251"/>
      <c r="AK101896" s="251"/>
    </row>
    <row r="102011" spans="25:37" x14ac:dyDescent="0.2">
      <c r="Y102011" s="5"/>
      <c r="AB102011" s="5"/>
      <c r="AE102011" s="5"/>
      <c r="AH102011" s="5"/>
      <c r="AK102011" s="5"/>
    </row>
    <row r="102021" spans="25:37" x14ac:dyDescent="0.2">
      <c r="Y102021" s="251"/>
      <c r="AB102021" s="251"/>
      <c r="AE102021" s="251"/>
      <c r="AH102021" s="251"/>
      <c r="AK102021" s="251"/>
    </row>
    <row r="102136" spans="25:37" x14ac:dyDescent="0.2">
      <c r="Y102136" s="5"/>
      <c r="AB102136" s="5"/>
      <c r="AE102136" s="5"/>
      <c r="AH102136" s="5"/>
      <c r="AK102136" s="5"/>
    </row>
    <row r="102146" spans="25:37" x14ac:dyDescent="0.2">
      <c r="Y102146" s="251"/>
      <c r="AB102146" s="251"/>
      <c r="AE102146" s="251"/>
      <c r="AH102146" s="251"/>
      <c r="AK102146" s="251"/>
    </row>
    <row r="102261" spans="25:37" x14ac:dyDescent="0.2">
      <c r="Y102261" s="5"/>
      <c r="AB102261" s="5"/>
      <c r="AE102261" s="5"/>
      <c r="AH102261" s="5"/>
      <c r="AK102261" s="5"/>
    </row>
    <row r="102271" spans="25:37" x14ac:dyDescent="0.2">
      <c r="Y102271" s="251"/>
      <c r="AB102271" s="251"/>
      <c r="AE102271" s="251"/>
      <c r="AH102271" s="251"/>
      <c r="AK102271" s="251"/>
    </row>
    <row r="102386" spans="25:37" x14ac:dyDescent="0.2">
      <c r="Y102386" s="5"/>
      <c r="AB102386" s="5"/>
      <c r="AE102386" s="5"/>
      <c r="AH102386" s="5"/>
      <c r="AK102386" s="5"/>
    </row>
    <row r="102396" spans="25:37" x14ac:dyDescent="0.2">
      <c r="Y102396" s="251"/>
      <c r="AB102396" s="251"/>
      <c r="AE102396" s="251"/>
      <c r="AH102396" s="251"/>
      <c r="AK102396" s="251"/>
    </row>
    <row r="102511" spans="25:37" x14ac:dyDescent="0.2">
      <c r="Y102511" s="5"/>
      <c r="AB102511" s="5"/>
      <c r="AE102511" s="5"/>
      <c r="AH102511" s="5"/>
      <c r="AK102511" s="5"/>
    </row>
    <row r="102521" spans="25:37" x14ac:dyDescent="0.2">
      <c r="Y102521" s="251"/>
      <c r="AB102521" s="251"/>
      <c r="AE102521" s="251"/>
      <c r="AH102521" s="251"/>
      <c r="AK102521" s="251"/>
    </row>
    <row r="102636" spans="25:37" x14ac:dyDescent="0.2">
      <c r="Y102636" s="5"/>
      <c r="AB102636" s="5"/>
      <c r="AE102636" s="5"/>
      <c r="AH102636" s="5"/>
      <c r="AK102636" s="5"/>
    </row>
    <row r="102646" spans="25:37" x14ac:dyDescent="0.2">
      <c r="Y102646" s="251"/>
      <c r="AB102646" s="251"/>
      <c r="AE102646" s="251"/>
      <c r="AH102646" s="251"/>
      <c r="AK102646" s="251"/>
    </row>
    <row r="102761" spans="25:37" x14ac:dyDescent="0.2">
      <c r="Y102761" s="5"/>
      <c r="AB102761" s="5"/>
      <c r="AE102761" s="5"/>
      <c r="AH102761" s="5"/>
      <c r="AK102761" s="5"/>
    </row>
    <row r="102771" spans="25:37" x14ac:dyDescent="0.2">
      <c r="Y102771" s="251"/>
      <c r="AB102771" s="251"/>
      <c r="AE102771" s="251"/>
      <c r="AH102771" s="251"/>
      <c r="AK102771" s="251"/>
    </row>
    <row r="102886" spans="25:37" x14ac:dyDescent="0.2">
      <c r="Y102886" s="5"/>
      <c r="AB102886" s="5"/>
      <c r="AE102886" s="5"/>
      <c r="AH102886" s="5"/>
      <c r="AK102886" s="5"/>
    </row>
    <row r="102896" spans="25:37" x14ac:dyDescent="0.2">
      <c r="Y102896" s="251"/>
      <c r="AB102896" s="251"/>
      <c r="AE102896" s="251"/>
      <c r="AH102896" s="251"/>
      <c r="AK102896" s="251"/>
    </row>
    <row r="103011" spans="25:37" x14ac:dyDescent="0.2">
      <c r="Y103011" s="5"/>
      <c r="AB103011" s="5"/>
      <c r="AE103011" s="5"/>
      <c r="AH103011" s="5"/>
      <c r="AK103011" s="5"/>
    </row>
    <row r="103021" spans="25:37" x14ac:dyDescent="0.2">
      <c r="Y103021" s="251"/>
      <c r="AB103021" s="251"/>
      <c r="AE103021" s="251"/>
      <c r="AH103021" s="251"/>
      <c r="AK103021" s="251"/>
    </row>
    <row r="103136" spans="25:37" x14ac:dyDescent="0.2">
      <c r="Y103136" s="5"/>
      <c r="AB103136" s="5"/>
      <c r="AE103136" s="5"/>
      <c r="AH103136" s="5"/>
      <c r="AK103136" s="5"/>
    </row>
    <row r="103146" spans="25:37" x14ac:dyDescent="0.2">
      <c r="Y103146" s="251"/>
      <c r="AB103146" s="251"/>
      <c r="AE103146" s="251"/>
      <c r="AH103146" s="251"/>
      <c r="AK103146" s="251"/>
    </row>
    <row r="103261" spans="25:37" x14ac:dyDescent="0.2">
      <c r="Y103261" s="5"/>
      <c r="AB103261" s="5"/>
      <c r="AE103261" s="5"/>
      <c r="AH103261" s="5"/>
      <c r="AK103261" s="5"/>
    </row>
    <row r="103271" spans="25:37" x14ac:dyDescent="0.2">
      <c r="Y103271" s="251"/>
      <c r="AB103271" s="251"/>
      <c r="AE103271" s="251"/>
      <c r="AH103271" s="251"/>
      <c r="AK103271" s="251"/>
    </row>
    <row r="103386" spans="25:37" x14ac:dyDescent="0.2">
      <c r="Y103386" s="5"/>
      <c r="AB103386" s="5"/>
      <c r="AE103386" s="5"/>
      <c r="AH103386" s="5"/>
      <c r="AK103386" s="5"/>
    </row>
    <row r="103396" spans="25:37" x14ac:dyDescent="0.2">
      <c r="Y103396" s="251"/>
      <c r="AB103396" s="251"/>
      <c r="AE103396" s="251"/>
      <c r="AH103396" s="251"/>
      <c r="AK103396" s="251"/>
    </row>
    <row r="103511" spans="25:37" x14ac:dyDescent="0.2">
      <c r="Y103511" s="5"/>
      <c r="AB103511" s="5"/>
      <c r="AE103511" s="5"/>
      <c r="AH103511" s="5"/>
      <c r="AK103511" s="5"/>
    </row>
    <row r="103521" spans="25:37" x14ac:dyDescent="0.2">
      <c r="Y103521" s="251"/>
      <c r="AB103521" s="251"/>
      <c r="AE103521" s="251"/>
      <c r="AH103521" s="251"/>
      <c r="AK103521" s="251"/>
    </row>
    <row r="103636" spans="25:37" x14ac:dyDescent="0.2">
      <c r="Y103636" s="5"/>
      <c r="AB103636" s="5"/>
      <c r="AE103636" s="5"/>
      <c r="AH103636" s="5"/>
      <c r="AK103636" s="5"/>
    </row>
    <row r="103646" spans="25:37" x14ac:dyDescent="0.2">
      <c r="Y103646" s="251"/>
      <c r="AB103646" s="251"/>
      <c r="AE103646" s="251"/>
      <c r="AH103646" s="251"/>
      <c r="AK103646" s="251"/>
    </row>
    <row r="103761" spans="25:37" x14ac:dyDescent="0.2">
      <c r="Y103761" s="5"/>
      <c r="AB103761" s="5"/>
      <c r="AE103761" s="5"/>
      <c r="AH103761" s="5"/>
      <c r="AK103761" s="5"/>
    </row>
    <row r="103771" spans="25:37" x14ac:dyDescent="0.2">
      <c r="Y103771" s="251"/>
      <c r="AB103771" s="251"/>
      <c r="AE103771" s="251"/>
      <c r="AH103771" s="251"/>
      <c r="AK103771" s="251"/>
    </row>
    <row r="103886" spans="25:37" x14ac:dyDescent="0.2">
      <c r="Y103886" s="5"/>
      <c r="AB103886" s="5"/>
      <c r="AE103886" s="5"/>
      <c r="AH103886" s="5"/>
      <c r="AK103886" s="5"/>
    </row>
    <row r="103896" spans="25:37" x14ac:dyDescent="0.2">
      <c r="Y103896" s="251"/>
      <c r="AB103896" s="251"/>
      <c r="AE103896" s="251"/>
      <c r="AH103896" s="251"/>
      <c r="AK103896" s="251"/>
    </row>
    <row r="104011" spans="25:37" x14ac:dyDescent="0.2">
      <c r="Y104011" s="5"/>
      <c r="AB104011" s="5"/>
      <c r="AE104011" s="5"/>
      <c r="AH104011" s="5"/>
      <c r="AK104011" s="5"/>
    </row>
    <row r="104021" spans="25:37" x14ac:dyDescent="0.2">
      <c r="Y104021" s="251"/>
      <c r="AB104021" s="251"/>
      <c r="AE104021" s="251"/>
      <c r="AH104021" s="251"/>
      <c r="AK104021" s="251"/>
    </row>
    <row r="104136" spans="25:37" x14ac:dyDescent="0.2">
      <c r="Y104136" s="5"/>
      <c r="AB104136" s="5"/>
      <c r="AE104136" s="5"/>
      <c r="AH104136" s="5"/>
      <c r="AK104136" s="5"/>
    </row>
    <row r="104146" spans="25:37" x14ac:dyDescent="0.2">
      <c r="Y104146" s="251"/>
      <c r="AB104146" s="251"/>
      <c r="AE104146" s="251"/>
      <c r="AH104146" s="251"/>
      <c r="AK104146" s="251"/>
    </row>
    <row r="104261" spans="25:37" x14ac:dyDescent="0.2">
      <c r="Y104261" s="5"/>
      <c r="AB104261" s="5"/>
      <c r="AE104261" s="5"/>
      <c r="AH104261" s="5"/>
      <c r="AK104261" s="5"/>
    </row>
    <row r="104271" spans="25:37" x14ac:dyDescent="0.2">
      <c r="Y104271" s="251"/>
      <c r="AB104271" s="251"/>
      <c r="AE104271" s="251"/>
      <c r="AH104271" s="251"/>
      <c r="AK104271" s="251"/>
    </row>
    <row r="104386" spans="25:37" x14ac:dyDescent="0.2">
      <c r="Y104386" s="5"/>
      <c r="AB104386" s="5"/>
      <c r="AE104386" s="5"/>
      <c r="AH104386" s="5"/>
      <c r="AK104386" s="5"/>
    </row>
    <row r="104396" spans="25:37" x14ac:dyDescent="0.2">
      <c r="Y104396" s="251"/>
      <c r="AB104396" s="251"/>
      <c r="AE104396" s="251"/>
      <c r="AH104396" s="251"/>
      <c r="AK104396" s="251"/>
    </row>
    <row r="104511" spans="25:37" x14ac:dyDescent="0.2">
      <c r="Y104511" s="5"/>
      <c r="AB104511" s="5"/>
      <c r="AE104511" s="5"/>
      <c r="AH104511" s="5"/>
      <c r="AK104511" s="5"/>
    </row>
    <row r="104521" spans="25:37" x14ac:dyDescent="0.2">
      <c r="Y104521" s="251"/>
      <c r="AB104521" s="251"/>
      <c r="AE104521" s="251"/>
      <c r="AH104521" s="251"/>
      <c r="AK104521" s="251"/>
    </row>
    <row r="104636" spans="25:37" x14ac:dyDescent="0.2">
      <c r="Y104636" s="5"/>
      <c r="AB104636" s="5"/>
      <c r="AE104636" s="5"/>
      <c r="AH104636" s="5"/>
      <c r="AK104636" s="5"/>
    </row>
    <row r="104646" spans="25:37" x14ac:dyDescent="0.2">
      <c r="Y104646" s="251"/>
      <c r="AB104646" s="251"/>
      <c r="AE104646" s="251"/>
      <c r="AH104646" s="251"/>
      <c r="AK104646" s="251"/>
    </row>
    <row r="104761" spans="25:37" x14ac:dyDescent="0.2">
      <c r="Y104761" s="5"/>
      <c r="AB104761" s="5"/>
      <c r="AE104761" s="5"/>
      <c r="AH104761" s="5"/>
      <c r="AK104761" s="5"/>
    </row>
    <row r="104771" spans="25:37" x14ac:dyDescent="0.2">
      <c r="Y104771" s="251"/>
      <c r="AB104771" s="251"/>
      <c r="AE104771" s="251"/>
      <c r="AH104771" s="251"/>
      <c r="AK104771" s="251"/>
    </row>
    <row r="104886" spans="25:37" x14ac:dyDescent="0.2">
      <c r="Y104886" s="5"/>
      <c r="AB104886" s="5"/>
      <c r="AE104886" s="5"/>
      <c r="AH104886" s="5"/>
      <c r="AK104886" s="5"/>
    </row>
    <row r="104896" spans="25:37" x14ac:dyDescent="0.2">
      <c r="Y104896" s="251"/>
      <c r="AB104896" s="251"/>
      <c r="AE104896" s="251"/>
      <c r="AH104896" s="251"/>
      <c r="AK104896" s="251"/>
    </row>
    <row r="105011" spans="25:37" x14ac:dyDescent="0.2">
      <c r="Y105011" s="5"/>
      <c r="AB105011" s="5"/>
      <c r="AE105011" s="5"/>
      <c r="AH105011" s="5"/>
      <c r="AK105011" s="5"/>
    </row>
    <row r="105021" spans="25:37" x14ac:dyDescent="0.2">
      <c r="Y105021" s="251"/>
      <c r="AB105021" s="251"/>
      <c r="AE105021" s="251"/>
      <c r="AH105021" s="251"/>
      <c r="AK105021" s="251"/>
    </row>
    <row r="105136" spans="25:37" x14ac:dyDescent="0.2">
      <c r="Y105136" s="5"/>
      <c r="AB105136" s="5"/>
      <c r="AE105136" s="5"/>
      <c r="AH105136" s="5"/>
      <c r="AK105136" s="5"/>
    </row>
    <row r="105146" spans="25:37" x14ac:dyDescent="0.2">
      <c r="Y105146" s="251"/>
      <c r="AB105146" s="251"/>
      <c r="AE105146" s="251"/>
      <c r="AH105146" s="251"/>
      <c r="AK105146" s="251"/>
    </row>
    <row r="105261" spans="25:37" x14ac:dyDescent="0.2">
      <c r="Y105261" s="5"/>
      <c r="AB105261" s="5"/>
      <c r="AE105261" s="5"/>
      <c r="AH105261" s="5"/>
      <c r="AK105261" s="5"/>
    </row>
    <row r="105271" spans="25:37" x14ac:dyDescent="0.2">
      <c r="Y105271" s="251"/>
      <c r="AB105271" s="251"/>
      <c r="AE105271" s="251"/>
      <c r="AH105271" s="251"/>
      <c r="AK105271" s="251"/>
    </row>
    <row r="105386" spans="25:37" x14ac:dyDescent="0.2">
      <c r="Y105386" s="5"/>
      <c r="AB105386" s="5"/>
      <c r="AE105386" s="5"/>
      <c r="AH105386" s="5"/>
      <c r="AK105386" s="5"/>
    </row>
    <row r="105396" spans="25:37" x14ac:dyDescent="0.2">
      <c r="Y105396" s="251"/>
      <c r="AB105396" s="251"/>
      <c r="AE105396" s="251"/>
      <c r="AH105396" s="251"/>
      <c r="AK105396" s="251"/>
    </row>
    <row r="105511" spans="25:37" x14ac:dyDescent="0.2">
      <c r="Y105511" s="5"/>
      <c r="AB105511" s="5"/>
      <c r="AE105511" s="5"/>
      <c r="AH105511" s="5"/>
      <c r="AK105511" s="5"/>
    </row>
    <row r="105521" spans="25:37" x14ac:dyDescent="0.2">
      <c r="Y105521" s="251"/>
      <c r="AB105521" s="251"/>
      <c r="AE105521" s="251"/>
      <c r="AH105521" s="251"/>
      <c r="AK105521" s="251"/>
    </row>
    <row r="105636" spans="25:37" x14ac:dyDescent="0.2">
      <c r="Y105636" s="5"/>
      <c r="AB105636" s="5"/>
      <c r="AE105636" s="5"/>
      <c r="AH105636" s="5"/>
      <c r="AK105636" s="5"/>
    </row>
    <row r="105646" spans="25:37" x14ac:dyDescent="0.2">
      <c r="Y105646" s="251"/>
      <c r="AB105646" s="251"/>
      <c r="AE105646" s="251"/>
      <c r="AH105646" s="251"/>
      <c r="AK105646" s="251"/>
    </row>
    <row r="105761" spans="25:37" x14ac:dyDescent="0.2">
      <c r="Y105761" s="5"/>
      <c r="AB105761" s="5"/>
      <c r="AE105761" s="5"/>
      <c r="AH105761" s="5"/>
      <c r="AK105761" s="5"/>
    </row>
    <row r="105771" spans="25:37" x14ac:dyDescent="0.2">
      <c r="Y105771" s="251"/>
      <c r="AB105771" s="251"/>
      <c r="AE105771" s="251"/>
      <c r="AH105771" s="251"/>
      <c r="AK105771" s="251"/>
    </row>
    <row r="105886" spans="25:37" x14ac:dyDescent="0.2">
      <c r="Y105886" s="5"/>
      <c r="AB105886" s="5"/>
      <c r="AE105886" s="5"/>
      <c r="AH105886" s="5"/>
      <c r="AK105886" s="5"/>
    </row>
    <row r="105896" spans="25:37" x14ac:dyDescent="0.2">
      <c r="Y105896" s="251"/>
      <c r="AB105896" s="251"/>
      <c r="AE105896" s="251"/>
      <c r="AH105896" s="251"/>
      <c r="AK105896" s="251"/>
    </row>
    <row r="106011" spans="25:37" x14ac:dyDescent="0.2">
      <c r="Y106011" s="5"/>
      <c r="AB106011" s="5"/>
      <c r="AE106011" s="5"/>
      <c r="AH106011" s="5"/>
      <c r="AK106011" s="5"/>
    </row>
    <row r="106021" spans="25:37" x14ac:dyDescent="0.2">
      <c r="Y106021" s="251"/>
      <c r="AB106021" s="251"/>
      <c r="AE106021" s="251"/>
      <c r="AH106021" s="251"/>
      <c r="AK106021" s="251"/>
    </row>
    <row r="106136" spans="25:37" x14ac:dyDescent="0.2">
      <c r="Y106136" s="5"/>
      <c r="AB106136" s="5"/>
      <c r="AE106136" s="5"/>
      <c r="AH106136" s="5"/>
      <c r="AK106136" s="5"/>
    </row>
    <row r="106146" spans="25:37" x14ac:dyDescent="0.2">
      <c r="Y106146" s="251"/>
      <c r="AB106146" s="251"/>
      <c r="AE106146" s="251"/>
      <c r="AH106146" s="251"/>
      <c r="AK106146" s="251"/>
    </row>
    <row r="106261" spans="25:37" x14ac:dyDescent="0.2">
      <c r="Y106261" s="5"/>
      <c r="AB106261" s="5"/>
      <c r="AE106261" s="5"/>
      <c r="AH106261" s="5"/>
      <c r="AK106261" s="5"/>
    </row>
    <row r="106271" spans="25:37" x14ac:dyDescent="0.2">
      <c r="Y106271" s="251"/>
      <c r="AB106271" s="251"/>
      <c r="AE106271" s="251"/>
      <c r="AH106271" s="251"/>
      <c r="AK106271" s="251"/>
    </row>
    <row r="106386" spans="25:37" x14ac:dyDescent="0.2">
      <c r="Y106386" s="5"/>
      <c r="AB106386" s="5"/>
      <c r="AE106386" s="5"/>
      <c r="AH106386" s="5"/>
      <c r="AK106386" s="5"/>
    </row>
    <row r="106396" spans="25:37" x14ac:dyDescent="0.2">
      <c r="Y106396" s="251"/>
      <c r="AB106396" s="251"/>
      <c r="AE106396" s="251"/>
      <c r="AH106396" s="251"/>
      <c r="AK106396" s="251"/>
    </row>
    <row r="106511" spans="25:37" x14ac:dyDescent="0.2">
      <c r="Y106511" s="5"/>
      <c r="AB106511" s="5"/>
      <c r="AE106511" s="5"/>
      <c r="AH106511" s="5"/>
      <c r="AK106511" s="5"/>
    </row>
    <row r="106521" spans="25:37" x14ac:dyDescent="0.2">
      <c r="Y106521" s="251"/>
      <c r="AB106521" s="251"/>
      <c r="AE106521" s="251"/>
      <c r="AH106521" s="251"/>
      <c r="AK106521" s="251"/>
    </row>
    <row r="106636" spans="25:37" x14ac:dyDescent="0.2">
      <c r="Y106636" s="5"/>
      <c r="AB106636" s="5"/>
      <c r="AE106636" s="5"/>
      <c r="AH106636" s="5"/>
      <c r="AK106636" s="5"/>
    </row>
    <row r="106646" spans="25:37" x14ac:dyDescent="0.2">
      <c r="Y106646" s="251"/>
      <c r="AB106646" s="251"/>
      <c r="AE106646" s="251"/>
      <c r="AH106646" s="251"/>
      <c r="AK106646" s="251"/>
    </row>
    <row r="106761" spans="25:37" x14ac:dyDescent="0.2">
      <c r="Y106761" s="5"/>
      <c r="AB106761" s="5"/>
      <c r="AE106761" s="5"/>
      <c r="AH106761" s="5"/>
      <c r="AK106761" s="5"/>
    </row>
    <row r="106771" spans="25:37" x14ac:dyDescent="0.2">
      <c r="Y106771" s="251"/>
      <c r="AB106771" s="251"/>
      <c r="AE106771" s="251"/>
      <c r="AH106771" s="251"/>
      <c r="AK106771" s="251"/>
    </row>
    <row r="106886" spans="25:37" x14ac:dyDescent="0.2">
      <c r="Y106886" s="5"/>
      <c r="AB106886" s="5"/>
      <c r="AE106886" s="5"/>
      <c r="AH106886" s="5"/>
      <c r="AK106886" s="5"/>
    </row>
    <row r="106896" spans="25:37" x14ac:dyDescent="0.2">
      <c r="Y106896" s="251"/>
      <c r="AB106896" s="251"/>
      <c r="AE106896" s="251"/>
      <c r="AH106896" s="251"/>
      <c r="AK106896" s="251"/>
    </row>
    <row r="107011" spans="25:37" x14ac:dyDescent="0.2">
      <c r="Y107011" s="5"/>
      <c r="AB107011" s="5"/>
      <c r="AE107011" s="5"/>
      <c r="AH107011" s="5"/>
      <c r="AK107011" s="5"/>
    </row>
    <row r="107021" spans="25:37" x14ac:dyDescent="0.2">
      <c r="Y107021" s="251"/>
      <c r="AB107021" s="251"/>
      <c r="AE107021" s="251"/>
      <c r="AH107021" s="251"/>
      <c r="AK107021" s="251"/>
    </row>
    <row r="107136" spans="25:37" x14ac:dyDescent="0.2">
      <c r="Y107136" s="5"/>
      <c r="AB107136" s="5"/>
      <c r="AE107136" s="5"/>
      <c r="AH107136" s="5"/>
      <c r="AK107136" s="5"/>
    </row>
    <row r="107146" spans="25:37" x14ac:dyDescent="0.2">
      <c r="Y107146" s="251"/>
      <c r="AB107146" s="251"/>
      <c r="AE107146" s="251"/>
      <c r="AH107146" s="251"/>
      <c r="AK107146" s="251"/>
    </row>
    <row r="107261" spans="25:37" x14ac:dyDescent="0.2">
      <c r="Y107261" s="5"/>
      <c r="AB107261" s="5"/>
      <c r="AE107261" s="5"/>
      <c r="AH107261" s="5"/>
      <c r="AK107261" s="5"/>
    </row>
    <row r="107271" spans="25:37" x14ac:dyDescent="0.2">
      <c r="Y107271" s="251"/>
      <c r="AB107271" s="251"/>
      <c r="AE107271" s="251"/>
      <c r="AH107271" s="251"/>
      <c r="AK107271" s="251"/>
    </row>
    <row r="107386" spans="25:37" x14ac:dyDescent="0.2">
      <c r="Y107386" s="5"/>
      <c r="AB107386" s="5"/>
      <c r="AE107386" s="5"/>
      <c r="AH107386" s="5"/>
      <c r="AK107386" s="5"/>
    </row>
    <row r="107396" spans="25:37" x14ac:dyDescent="0.2">
      <c r="Y107396" s="251"/>
      <c r="AB107396" s="251"/>
      <c r="AE107396" s="251"/>
      <c r="AH107396" s="251"/>
      <c r="AK107396" s="251"/>
    </row>
    <row r="107511" spans="25:37" x14ac:dyDescent="0.2">
      <c r="Y107511" s="5"/>
      <c r="AB107511" s="5"/>
      <c r="AE107511" s="5"/>
      <c r="AH107511" s="5"/>
      <c r="AK107511" s="5"/>
    </row>
    <row r="107521" spans="25:37" x14ac:dyDescent="0.2">
      <c r="Y107521" s="251"/>
      <c r="AB107521" s="251"/>
      <c r="AE107521" s="251"/>
      <c r="AH107521" s="251"/>
      <c r="AK107521" s="251"/>
    </row>
    <row r="107636" spans="25:37" x14ac:dyDescent="0.2">
      <c r="Y107636" s="5"/>
      <c r="AB107636" s="5"/>
      <c r="AE107636" s="5"/>
      <c r="AH107636" s="5"/>
      <c r="AK107636" s="5"/>
    </row>
    <row r="107646" spans="25:37" x14ac:dyDescent="0.2">
      <c r="Y107646" s="251"/>
      <c r="AB107646" s="251"/>
      <c r="AE107646" s="251"/>
      <c r="AH107646" s="251"/>
      <c r="AK107646" s="251"/>
    </row>
    <row r="107761" spans="25:37" x14ac:dyDescent="0.2">
      <c r="Y107761" s="5"/>
      <c r="AB107761" s="5"/>
      <c r="AE107761" s="5"/>
      <c r="AH107761" s="5"/>
      <c r="AK107761" s="5"/>
    </row>
    <row r="107771" spans="25:37" x14ac:dyDescent="0.2">
      <c r="Y107771" s="251"/>
      <c r="AB107771" s="251"/>
      <c r="AE107771" s="251"/>
      <c r="AH107771" s="251"/>
      <c r="AK107771" s="251"/>
    </row>
    <row r="107886" spans="25:37" x14ac:dyDescent="0.2">
      <c r="Y107886" s="5"/>
      <c r="AB107886" s="5"/>
      <c r="AE107886" s="5"/>
      <c r="AH107886" s="5"/>
      <c r="AK107886" s="5"/>
    </row>
    <row r="107896" spans="25:37" x14ac:dyDescent="0.2">
      <c r="Y107896" s="251"/>
      <c r="AB107896" s="251"/>
      <c r="AE107896" s="251"/>
      <c r="AH107896" s="251"/>
      <c r="AK107896" s="251"/>
    </row>
    <row r="108011" spans="25:37" x14ac:dyDescent="0.2">
      <c r="Y108011" s="5"/>
      <c r="AB108011" s="5"/>
      <c r="AE108011" s="5"/>
      <c r="AH108011" s="5"/>
      <c r="AK108011" s="5"/>
    </row>
    <row r="108021" spans="25:37" x14ac:dyDescent="0.2">
      <c r="Y108021" s="251"/>
      <c r="AB108021" s="251"/>
      <c r="AE108021" s="251"/>
      <c r="AH108021" s="251"/>
      <c r="AK108021" s="251"/>
    </row>
    <row r="108136" spans="25:37" x14ac:dyDescent="0.2">
      <c r="Y108136" s="5"/>
      <c r="AB108136" s="5"/>
      <c r="AE108136" s="5"/>
      <c r="AH108136" s="5"/>
      <c r="AK108136" s="5"/>
    </row>
    <row r="108146" spans="25:37" x14ac:dyDescent="0.2">
      <c r="Y108146" s="251"/>
      <c r="AB108146" s="251"/>
      <c r="AE108146" s="251"/>
      <c r="AH108146" s="251"/>
      <c r="AK108146" s="251"/>
    </row>
    <row r="108261" spans="25:37" x14ac:dyDescent="0.2">
      <c r="Y108261" s="5"/>
      <c r="AB108261" s="5"/>
      <c r="AE108261" s="5"/>
      <c r="AH108261" s="5"/>
      <c r="AK108261" s="5"/>
    </row>
    <row r="108271" spans="25:37" x14ac:dyDescent="0.2">
      <c r="Y108271" s="251"/>
      <c r="AB108271" s="251"/>
      <c r="AE108271" s="251"/>
      <c r="AH108271" s="251"/>
      <c r="AK108271" s="251"/>
    </row>
    <row r="108386" spans="25:37" x14ac:dyDescent="0.2">
      <c r="Y108386" s="5"/>
      <c r="AB108386" s="5"/>
      <c r="AE108386" s="5"/>
      <c r="AH108386" s="5"/>
      <c r="AK108386" s="5"/>
    </row>
    <row r="108396" spans="25:37" x14ac:dyDescent="0.2">
      <c r="Y108396" s="251"/>
      <c r="AB108396" s="251"/>
      <c r="AE108396" s="251"/>
      <c r="AH108396" s="251"/>
      <c r="AK108396" s="251"/>
    </row>
    <row r="108511" spans="25:37" x14ac:dyDescent="0.2">
      <c r="Y108511" s="5"/>
      <c r="AB108511" s="5"/>
      <c r="AE108511" s="5"/>
      <c r="AH108511" s="5"/>
      <c r="AK108511" s="5"/>
    </row>
    <row r="108521" spans="25:37" x14ac:dyDescent="0.2">
      <c r="Y108521" s="251"/>
      <c r="AB108521" s="251"/>
      <c r="AE108521" s="251"/>
      <c r="AH108521" s="251"/>
      <c r="AK108521" s="251"/>
    </row>
    <row r="108636" spans="25:37" x14ac:dyDescent="0.2">
      <c r="Y108636" s="5"/>
      <c r="AB108636" s="5"/>
      <c r="AE108636" s="5"/>
      <c r="AH108636" s="5"/>
      <c r="AK108636" s="5"/>
    </row>
    <row r="108646" spans="25:37" x14ac:dyDescent="0.2">
      <c r="Y108646" s="251"/>
      <c r="AB108646" s="251"/>
      <c r="AE108646" s="251"/>
      <c r="AH108646" s="251"/>
      <c r="AK108646" s="251"/>
    </row>
    <row r="108761" spans="25:37" x14ac:dyDescent="0.2">
      <c r="Y108761" s="5"/>
      <c r="AB108761" s="5"/>
      <c r="AE108761" s="5"/>
      <c r="AH108761" s="5"/>
      <c r="AK108761" s="5"/>
    </row>
    <row r="108771" spans="25:37" x14ac:dyDescent="0.2">
      <c r="Y108771" s="251"/>
      <c r="AB108771" s="251"/>
      <c r="AE108771" s="251"/>
      <c r="AH108771" s="251"/>
      <c r="AK108771" s="251"/>
    </row>
    <row r="108886" spans="25:37" x14ac:dyDescent="0.2">
      <c r="Y108886" s="5"/>
      <c r="AB108886" s="5"/>
      <c r="AE108886" s="5"/>
      <c r="AH108886" s="5"/>
      <c r="AK108886" s="5"/>
    </row>
    <row r="108896" spans="25:37" x14ac:dyDescent="0.2">
      <c r="Y108896" s="251"/>
      <c r="AB108896" s="251"/>
      <c r="AE108896" s="251"/>
      <c r="AH108896" s="251"/>
      <c r="AK108896" s="251"/>
    </row>
    <row r="109011" spans="25:37" x14ac:dyDescent="0.2">
      <c r="Y109011" s="5"/>
      <c r="AB109011" s="5"/>
      <c r="AE109011" s="5"/>
      <c r="AH109011" s="5"/>
      <c r="AK109011" s="5"/>
    </row>
    <row r="109021" spans="25:37" x14ac:dyDescent="0.2">
      <c r="Y109021" s="251"/>
      <c r="AB109021" s="251"/>
      <c r="AE109021" s="251"/>
      <c r="AH109021" s="251"/>
      <c r="AK109021" s="251"/>
    </row>
    <row r="109136" spans="25:37" x14ac:dyDescent="0.2">
      <c r="Y109136" s="5"/>
      <c r="AB109136" s="5"/>
      <c r="AE109136" s="5"/>
      <c r="AH109136" s="5"/>
      <c r="AK109136" s="5"/>
    </row>
    <row r="109146" spans="25:37" x14ac:dyDescent="0.2">
      <c r="Y109146" s="251"/>
      <c r="AB109146" s="251"/>
      <c r="AE109146" s="251"/>
      <c r="AH109146" s="251"/>
      <c r="AK109146" s="251"/>
    </row>
    <row r="109261" spans="25:37" x14ac:dyDescent="0.2">
      <c r="Y109261" s="5"/>
      <c r="AB109261" s="5"/>
      <c r="AE109261" s="5"/>
      <c r="AH109261" s="5"/>
      <c r="AK109261" s="5"/>
    </row>
    <row r="109271" spans="25:37" x14ac:dyDescent="0.2">
      <c r="Y109271" s="251"/>
      <c r="AB109271" s="251"/>
      <c r="AE109271" s="251"/>
      <c r="AH109271" s="251"/>
      <c r="AK109271" s="251"/>
    </row>
    <row r="109386" spans="25:37" x14ac:dyDescent="0.2">
      <c r="Y109386" s="5"/>
      <c r="AB109386" s="5"/>
      <c r="AE109386" s="5"/>
      <c r="AH109386" s="5"/>
      <c r="AK109386" s="5"/>
    </row>
    <row r="109396" spans="25:37" x14ac:dyDescent="0.2">
      <c r="Y109396" s="251"/>
      <c r="AB109396" s="251"/>
      <c r="AE109396" s="251"/>
      <c r="AH109396" s="251"/>
      <c r="AK109396" s="251"/>
    </row>
    <row r="109511" spans="25:37" x14ac:dyDescent="0.2">
      <c r="Y109511" s="5"/>
      <c r="AB109511" s="5"/>
      <c r="AE109511" s="5"/>
      <c r="AH109511" s="5"/>
      <c r="AK109511" s="5"/>
    </row>
    <row r="109521" spans="25:37" x14ac:dyDescent="0.2">
      <c r="Y109521" s="251"/>
      <c r="AB109521" s="251"/>
      <c r="AE109521" s="251"/>
      <c r="AH109521" s="251"/>
      <c r="AK109521" s="251"/>
    </row>
    <row r="109636" spans="25:37" x14ac:dyDescent="0.2">
      <c r="Y109636" s="5"/>
      <c r="AB109636" s="5"/>
      <c r="AE109636" s="5"/>
      <c r="AH109636" s="5"/>
      <c r="AK109636" s="5"/>
    </row>
    <row r="109646" spans="25:37" x14ac:dyDescent="0.2">
      <c r="Y109646" s="251"/>
      <c r="AB109646" s="251"/>
      <c r="AE109646" s="251"/>
      <c r="AH109646" s="251"/>
      <c r="AK109646" s="251"/>
    </row>
    <row r="109761" spans="25:37" x14ac:dyDescent="0.2">
      <c r="Y109761" s="5"/>
      <c r="AB109761" s="5"/>
      <c r="AE109761" s="5"/>
      <c r="AH109761" s="5"/>
      <c r="AK109761" s="5"/>
    </row>
    <row r="109771" spans="25:37" x14ac:dyDescent="0.2">
      <c r="Y109771" s="251"/>
      <c r="AB109771" s="251"/>
      <c r="AE109771" s="251"/>
      <c r="AH109771" s="251"/>
      <c r="AK109771" s="251"/>
    </row>
    <row r="109886" spans="25:37" x14ac:dyDescent="0.2">
      <c r="Y109886" s="5"/>
      <c r="AB109886" s="5"/>
      <c r="AE109886" s="5"/>
      <c r="AH109886" s="5"/>
      <c r="AK109886" s="5"/>
    </row>
    <row r="109896" spans="25:37" x14ac:dyDescent="0.2">
      <c r="Y109896" s="251"/>
      <c r="AB109896" s="251"/>
      <c r="AE109896" s="251"/>
      <c r="AH109896" s="251"/>
      <c r="AK109896" s="251"/>
    </row>
    <row r="110011" spans="25:37" x14ac:dyDescent="0.2">
      <c r="Y110011" s="5"/>
      <c r="AB110011" s="5"/>
      <c r="AE110011" s="5"/>
      <c r="AH110011" s="5"/>
      <c r="AK110011" s="5"/>
    </row>
    <row r="110021" spans="25:37" x14ac:dyDescent="0.2">
      <c r="Y110021" s="251"/>
      <c r="AB110021" s="251"/>
      <c r="AE110021" s="251"/>
      <c r="AH110021" s="251"/>
      <c r="AK110021" s="251"/>
    </row>
    <row r="110136" spans="25:37" x14ac:dyDescent="0.2">
      <c r="Y110136" s="5"/>
      <c r="AB110136" s="5"/>
      <c r="AE110136" s="5"/>
      <c r="AH110136" s="5"/>
      <c r="AK110136" s="5"/>
    </row>
    <row r="110146" spans="25:37" x14ac:dyDescent="0.2">
      <c r="Y110146" s="251"/>
      <c r="AB110146" s="251"/>
      <c r="AE110146" s="251"/>
      <c r="AH110146" s="251"/>
      <c r="AK110146" s="251"/>
    </row>
    <row r="110261" spans="25:37" x14ac:dyDescent="0.2">
      <c r="Y110261" s="5"/>
      <c r="AB110261" s="5"/>
      <c r="AE110261" s="5"/>
      <c r="AH110261" s="5"/>
      <c r="AK110261" s="5"/>
    </row>
    <row r="110271" spans="25:37" x14ac:dyDescent="0.2">
      <c r="Y110271" s="251"/>
      <c r="AB110271" s="251"/>
      <c r="AE110271" s="251"/>
      <c r="AH110271" s="251"/>
      <c r="AK110271" s="251"/>
    </row>
    <row r="110386" spans="25:37" x14ac:dyDescent="0.2">
      <c r="Y110386" s="5"/>
      <c r="AB110386" s="5"/>
      <c r="AE110386" s="5"/>
      <c r="AH110386" s="5"/>
      <c r="AK110386" s="5"/>
    </row>
    <row r="110396" spans="25:37" x14ac:dyDescent="0.2">
      <c r="Y110396" s="251"/>
      <c r="AB110396" s="251"/>
      <c r="AE110396" s="251"/>
      <c r="AH110396" s="251"/>
      <c r="AK110396" s="251"/>
    </row>
    <row r="110511" spans="25:37" x14ac:dyDescent="0.2">
      <c r="Y110511" s="5"/>
      <c r="AB110511" s="5"/>
      <c r="AE110511" s="5"/>
      <c r="AH110511" s="5"/>
      <c r="AK110511" s="5"/>
    </row>
    <row r="110521" spans="25:37" x14ac:dyDescent="0.2">
      <c r="Y110521" s="251"/>
      <c r="AB110521" s="251"/>
      <c r="AE110521" s="251"/>
      <c r="AH110521" s="251"/>
      <c r="AK110521" s="251"/>
    </row>
    <row r="110636" spans="25:37" x14ac:dyDescent="0.2">
      <c r="Y110636" s="5"/>
      <c r="AB110636" s="5"/>
      <c r="AE110636" s="5"/>
      <c r="AH110636" s="5"/>
      <c r="AK110636" s="5"/>
    </row>
    <row r="110646" spans="25:37" x14ac:dyDescent="0.2">
      <c r="Y110646" s="251"/>
      <c r="AB110646" s="251"/>
      <c r="AE110646" s="251"/>
      <c r="AH110646" s="251"/>
      <c r="AK110646" s="251"/>
    </row>
    <row r="110761" spans="25:37" x14ac:dyDescent="0.2">
      <c r="Y110761" s="5"/>
      <c r="AB110761" s="5"/>
      <c r="AE110761" s="5"/>
      <c r="AH110761" s="5"/>
      <c r="AK110761" s="5"/>
    </row>
    <row r="110771" spans="25:37" x14ac:dyDescent="0.2">
      <c r="Y110771" s="251"/>
      <c r="AB110771" s="251"/>
      <c r="AE110771" s="251"/>
      <c r="AH110771" s="251"/>
      <c r="AK110771" s="251"/>
    </row>
    <row r="110886" spans="25:37" x14ac:dyDescent="0.2">
      <c r="Y110886" s="5"/>
      <c r="AB110886" s="5"/>
      <c r="AE110886" s="5"/>
      <c r="AH110886" s="5"/>
      <c r="AK110886" s="5"/>
    </row>
    <row r="110896" spans="25:37" x14ac:dyDescent="0.2">
      <c r="Y110896" s="251"/>
      <c r="AB110896" s="251"/>
      <c r="AE110896" s="251"/>
      <c r="AH110896" s="251"/>
      <c r="AK110896" s="251"/>
    </row>
    <row r="111011" spans="25:37" x14ac:dyDescent="0.2">
      <c r="Y111011" s="5"/>
      <c r="AB111011" s="5"/>
      <c r="AE111011" s="5"/>
      <c r="AH111011" s="5"/>
      <c r="AK111011" s="5"/>
    </row>
    <row r="111021" spans="25:37" x14ac:dyDescent="0.2">
      <c r="Y111021" s="251"/>
      <c r="AB111021" s="251"/>
      <c r="AE111021" s="251"/>
      <c r="AH111021" s="251"/>
      <c r="AK111021" s="251"/>
    </row>
    <row r="111136" spans="25:37" x14ac:dyDescent="0.2">
      <c r="Y111136" s="5"/>
      <c r="AB111136" s="5"/>
      <c r="AE111136" s="5"/>
      <c r="AH111136" s="5"/>
      <c r="AK111136" s="5"/>
    </row>
    <row r="111146" spans="25:37" x14ac:dyDescent="0.2">
      <c r="Y111146" s="251"/>
      <c r="AB111146" s="251"/>
      <c r="AE111146" s="251"/>
      <c r="AH111146" s="251"/>
      <c r="AK111146" s="251"/>
    </row>
    <row r="111261" spans="25:37" x14ac:dyDescent="0.2">
      <c r="Y111261" s="5"/>
      <c r="AB111261" s="5"/>
      <c r="AE111261" s="5"/>
      <c r="AH111261" s="5"/>
      <c r="AK111261" s="5"/>
    </row>
    <row r="111271" spans="25:37" x14ac:dyDescent="0.2">
      <c r="Y111271" s="251"/>
      <c r="AB111271" s="251"/>
      <c r="AE111271" s="251"/>
      <c r="AH111271" s="251"/>
      <c r="AK111271" s="251"/>
    </row>
    <row r="111386" spans="25:37" x14ac:dyDescent="0.2">
      <c r="Y111386" s="5"/>
      <c r="AB111386" s="5"/>
      <c r="AE111386" s="5"/>
      <c r="AH111386" s="5"/>
      <c r="AK111386" s="5"/>
    </row>
    <row r="111396" spans="25:37" x14ac:dyDescent="0.2">
      <c r="Y111396" s="251"/>
      <c r="AB111396" s="251"/>
      <c r="AE111396" s="251"/>
      <c r="AH111396" s="251"/>
      <c r="AK111396" s="251"/>
    </row>
    <row r="111511" spans="25:37" x14ac:dyDescent="0.2">
      <c r="Y111511" s="5"/>
      <c r="AB111511" s="5"/>
      <c r="AE111511" s="5"/>
      <c r="AH111511" s="5"/>
      <c r="AK111511" s="5"/>
    </row>
    <row r="111521" spans="25:37" x14ac:dyDescent="0.2">
      <c r="Y111521" s="251"/>
      <c r="AB111521" s="251"/>
      <c r="AE111521" s="251"/>
      <c r="AH111521" s="251"/>
      <c r="AK111521" s="251"/>
    </row>
    <row r="111636" spans="25:37" x14ac:dyDescent="0.2">
      <c r="Y111636" s="5"/>
      <c r="AB111636" s="5"/>
      <c r="AE111636" s="5"/>
      <c r="AH111636" s="5"/>
      <c r="AK111636" s="5"/>
    </row>
    <row r="111646" spans="25:37" x14ac:dyDescent="0.2">
      <c r="Y111646" s="251"/>
      <c r="AB111646" s="251"/>
      <c r="AE111646" s="251"/>
      <c r="AH111646" s="251"/>
      <c r="AK111646" s="251"/>
    </row>
    <row r="111761" spans="25:37" x14ac:dyDescent="0.2">
      <c r="Y111761" s="5"/>
      <c r="AB111761" s="5"/>
      <c r="AE111761" s="5"/>
      <c r="AH111761" s="5"/>
      <c r="AK111761" s="5"/>
    </row>
    <row r="111771" spans="25:37" x14ac:dyDescent="0.2">
      <c r="Y111771" s="251"/>
      <c r="AB111771" s="251"/>
      <c r="AE111771" s="251"/>
      <c r="AH111771" s="251"/>
      <c r="AK111771" s="251"/>
    </row>
    <row r="111886" spans="25:37" x14ac:dyDescent="0.2">
      <c r="Y111886" s="5"/>
      <c r="AB111886" s="5"/>
      <c r="AE111886" s="5"/>
      <c r="AH111886" s="5"/>
      <c r="AK111886" s="5"/>
    </row>
    <row r="111896" spans="25:37" x14ac:dyDescent="0.2">
      <c r="Y111896" s="251"/>
      <c r="AB111896" s="251"/>
      <c r="AE111896" s="251"/>
      <c r="AH111896" s="251"/>
      <c r="AK111896" s="251"/>
    </row>
    <row r="112011" spans="25:37" x14ac:dyDescent="0.2">
      <c r="Y112011" s="5"/>
      <c r="AB112011" s="5"/>
      <c r="AE112011" s="5"/>
      <c r="AH112011" s="5"/>
      <c r="AK112011" s="5"/>
    </row>
    <row r="112021" spans="25:37" x14ac:dyDescent="0.2">
      <c r="Y112021" s="251"/>
      <c r="AB112021" s="251"/>
      <c r="AE112021" s="251"/>
      <c r="AH112021" s="251"/>
      <c r="AK112021" s="251"/>
    </row>
    <row r="112136" spans="25:37" x14ac:dyDescent="0.2">
      <c r="Y112136" s="5"/>
      <c r="AB112136" s="5"/>
      <c r="AE112136" s="5"/>
      <c r="AH112136" s="5"/>
      <c r="AK112136" s="5"/>
    </row>
    <row r="112146" spans="25:37" x14ac:dyDescent="0.2">
      <c r="Y112146" s="251"/>
      <c r="AB112146" s="251"/>
      <c r="AE112146" s="251"/>
      <c r="AH112146" s="251"/>
      <c r="AK112146" s="251"/>
    </row>
    <row r="112261" spans="25:37" x14ac:dyDescent="0.2">
      <c r="Y112261" s="5"/>
      <c r="AB112261" s="5"/>
      <c r="AE112261" s="5"/>
      <c r="AH112261" s="5"/>
      <c r="AK112261" s="5"/>
    </row>
    <row r="112271" spans="25:37" x14ac:dyDescent="0.2">
      <c r="Y112271" s="251"/>
      <c r="AB112271" s="251"/>
      <c r="AE112271" s="251"/>
      <c r="AH112271" s="251"/>
      <c r="AK112271" s="251"/>
    </row>
    <row r="112386" spans="25:37" x14ac:dyDescent="0.2">
      <c r="Y112386" s="5"/>
      <c r="AB112386" s="5"/>
      <c r="AE112386" s="5"/>
      <c r="AH112386" s="5"/>
      <c r="AK112386" s="5"/>
    </row>
    <row r="112396" spans="25:37" x14ac:dyDescent="0.2">
      <c r="Y112396" s="251"/>
      <c r="AB112396" s="251"/>
      <c r="AE112396" s="251"/>
      <c r="AH112396" s="251"/>
      <c r="AK112396" s="251"/>
    </row>
    <row r="112511" spans="25:37" x14ac:dyDescent="0.2">
      <c r="Y112511" s="5"/>
      <c r="AB112511" s="5"/>
      <c r="AE112511" s="5"/>
      <c r="AH112511" s="5"/>
      <c r="AK112511" s="5"/>
    </row>
    <row r="112521" spans="25:37" x14ac:dyDescent="0.2">
      <c r="Y112521" s="251"/>
      <c r="AB112521" s="251"/>
      <c r="AE112521" s="251"/>
      <c r="AH112521" s="251"/>
      <c r="AK112521" s="251"/>
    </row>
    <row r="112636" spans="25:37" x14ac:dyDescent="0.2">
      <c r="Y112636" s="5"/>
      <c r="AB112636" s="5"/>
      <c r="AE112636" s="5"/>
      <c r="AH112636" s="5"/>
      <c r="AK112636" s="5"/>
    </row>
    <row r="112646" spans="25:37" x14ac:dyDescent="0.2">
      <c r="Y112646" s="251"/>
      <c r="AB112646" s="251"/>
      <c r="AE112646" s="251"/>
      <c r="AH112646" s="251"/>
      <c r="AK112646" s="251"/>
    </row>
    <row r="112761" spans="25:37" x14ac:dyDescent="0.2">
      <c r="Y112761" s="5"/>
      <c r="AB112761" s="5"/>
      <c r="AE112761" s="5"/>
      <c r="AH112761" s="5"/>
      <c r="AK112761" s="5"/>
    </row>
    <row r="112771" spans="25:37" x14ac:dyDescent="0.2">
      <c r="Y112771" s="251"/>
      <c r="AB112771" s="251"/>
      <c r="AE112771" s="251"/>
      <c r="AH112771" s="251"/>
      <c r="AK112771" s="251"/>
    </row>
    <row r="112886" spans="25:37" x14ac:dyDescent="0.2">
      <c r="Y112886" s="5"/>
      <c r="AB112886" s="5"/>
      <c r="AE112886" s="5"/>
      <c r="AH112886" s="5"/>
      <c r="AK112886" s="5"/>
    </row>
    <row r="112896" spans="25:37" x14ac:dyDescent="0.2">
      <c r="Y112896" s="251"/>
      <c r="AB112896" s="251"/>
      <c r="AE112896" s="251"/>
      <c r="AH112896" s="251"/>
      <c r="AK112896" s="251"/>
    </row>
    <row r="113011" spans="25:37" x14ac:dyDescent="0.2">
      <c r="Y113011" s="5"/>
      <c r="AB113011" s="5"/>
      <c r="AE113011" s="5"/>
      <c r="AH113011" s="5"/>
      <c r="AK113011" s="5"/>
    </row>
    <row r="113021" spans="25:37" x14ac:dyDescent="0.2">
      <c r="Y113021" s="251"/>
      <c r="AB113021" s="251"/>
      <c r="AE113021" s="251"/>
      <c r="AH113021" s="251"/>
      <c r="AK113021" s="251"/>
    </row>
    <row r="113136" spans="25:37" x14ac:dyDescent="0.2">
      <c r="Y113136" s="5"/>
      <c r="AB113136" s="5"/>
      <c r="AE113136" s="5"/>
      <c r="AH113136" s="5"/>
      <c r="AK113136" s="5"/>
    </row>
    <row r="113146" spans="25:37" x14ac:dyDescent="0.2">
      <c r="Y113146" s="251"/>
      <c r="AB113146" s="251"/>
      <c r="AE113146" s="251"/>
      <c r="AH113146" s="251"/>
      <c r="AK113146" s="251"/>
    </row>
    <row r="113261" spans="25:37" x14ac:dyDescent="0.2">
      <c r="Y113261" s="5"/>
      <c r="AB113261" s="5"/>
      <c r="AE113261" s="5"/>
      <c r="AH113261" s="5"/>
      <c r="AK113261" s="5"/>
    </row>
    <row r="113271" spans="25:37" x14ac:dyDescent="0.2">
      <c r="Y113271" s="251"/>
      <c r="AB113271" s="251"/>
      <c r="AE113271" s="251"/>
      <c r="AH113271" s="251"/>
      <c r="AK113271" s="251"/>
    </row>
    <row r="113386" spans="25:37" x14ac:dyDescent="0.2">
      <c r="Y113386" s="5"/>
      <c r="AB113386" s="5"/>
      <c r="AE113386" s="5"/>
      <c r="AH113386" s="5"/>
      <c r="AK113386" s="5"/>
    </row>
    <row r="113396" spans="25:37" x14ac:dyDescent="0.2">
      <c r="Y113396" s="251"/>
      <c r="AB113396" s="251"/>
      <c r="AE113396" s="251"/>
      <c r="AH113396" s="251"/>
      <c r="AK113396" s="251"/>
    </row>
    <row r="113511" spans="25:37" x14ac:dyDescent="0.2">
      <c r="Y113511" s="5"/>
      <c r="AB113511" s="5"/>
      <c r="AE113511" s="5"/>
      <c r="AH113511" s="5"/>
      <c r="AK113511" s="5"/>
    </row>
    <row r="113521" spans="25:37" x14ac:dyDescent="0.2">
      <c r="Y113521" s="251"/>
      <c r="AB113521" s="251"/>
      <c r="AE113521" s="251"/>
      <c r="AH113521" s="251"/>
      <c r="AK113521" s="251"/>
    </row>
    <row r="113636" spans="25:37" x14ac:dyDescent="0.2">
      <c r="Y113636" s="5"/>
      <c r="AB113636" s="5"/>
      <c r="AE113636" s="5"/>
      <c r="AH113636" s="5"/>
      <c r="AK113636" s="5"/>
    </row>
    <row r="113646" spans="25:37" x14ac:dyDescent="0.2">
      <c r="Y113646" s="251"/>
      <c r="AB113646" s="251"/>
      <c r="AE113646" s="251"/>
      <c r="AH113646" s="251"/>
      <c r="AK113646" s="251"/>
    </row>
    <row r="113761" spans="25:37" x14ac:dyDescent="0.2">
      <c r="Y113761" s="5"/>
      <c r="AB113761" s="5"/>
      <c r="AE113761" s="5"/>
      <c r="AH113761" s="5"/>
      <c r="AK113761" s="5"/>
    </row>
    <row r="113771" spans="25:37" x14ac:dyDescent="0.2">
      <c r="Y113771" s="251"/>
      <c r="AB113771" s="251"/>
      <c r="AE113771" s="251"/>
      <c r="AH113771" s="251"/>
      <c r="AK113771" s="251"/>
    </row>
    <row r="113886" spans="25:37" x14ac:dyDescent="0.2">
      <c r="Y113886" s="5"/>
      <c r="AB113886" s="5"/>
      <c r="AE113886" s="5"/>
      <c r="AH113886" s="5"/>
      <c r="AK113886" s="5"/>
    </row>
    <row r="113896" spans="25:37" x14ac:dyDescent="0.2">
      <c r="Y113896" s="251"/>
      <c r="AB113896" s="251"/>
      <c r="AE113896" s="251"/>
      <c r="AH113896" s="251"/>
      <c r="AK113896" s="251"/>
    </row>
    <row r="114011" spans="25:37" x14ac:dyDescent="0.2">
      <c r="Y114011" s="5"/>
      <c r="AB114011" s="5"/>
      <c r="AE114011" s="5"/>
      <c r="AH114011" s="5"/>
      <c r="AK114011" s="5"/>
    </row>
    <row r="114021" spans="25:37" x14ac:dyDescent="0.2">
      <c r="Y114021" s="251"/>
      <c r="AB114021" s="251"/>
      <c r="AE114021" s="251"/>
      <c r="AH114021" s="251"/>
      <c r="AK114021" s="251"/>
    </row>
    <row r="114136" spans="25:37" x14ac:dyDescent="0.2">
      <c r="Y114136" s="5"/>
      <c r="AB114136" s="5"/>
      <c r="AE114136" s="5"/>
      <c r="AH114136" s="5"/>
      <c r="AK114136" s="5"/>
    </row>
    <row r="114146" spans="25:37" x14ac:dyDescent="0.2">
      <c r="Y114146" s="251"/>
      <c r="AB114146" s="251"/>
      <c r="AE114146" s="251"/>
      <c r="AH114146" s="251"/>
      <c r="AK114146" s="251"/>
    </row>
    <row r="114261" spans="25:37" x14ac:dyDescent="0.2">
      <c r="Y114261" s="5"/>
      <c r="AB114261" s="5"/>
      <c r="AE114261" s="5"/>
      <c r="AH114261" s="5"/>
      <c r="AK114261" s="5"/>
    </row>
    <row r="114271" spans="25:37" x14ac:dyDescent="0.2">
      <c r="Y114271" s="251"/>
      <c r="AB114271" s="251"/>
      <c r="AE114271" s="251"/>
      <c r="AH114271" s="251"/>
      <c r="AK114271" s="251"/>
    </row>
    <row r="114386" spans="25:37" x14ac:dyDescent="0.2">
      <c r="Y114386" s="5"/>
      <c r="AB114386" s="5"/>
      <c r="AE114386" s="5"/>
      <c r="AH114386" s="5"/>
      <c r="AK114386" s="5"/>
    </row>
    <row r="114396" spans="25:37" x14ac:dyDescent="0.2">
      <c r="Y114396" s="251"/>
      <c r="AB114396" s="251"/>
      <c r="AE114396" s="251"/>
      <c r="AH114396" s="251"/>
      <c r="AK114396" s="251"/>
    </row>
    <row r="114511" spans="25:37" x14ac:dyDescent="0.2">
      <c r="Y114511" s="5"/>
      <c r="AB114511" s="5"/>
      <c r="AE114511" s="5"/>
      <c r="AH114511" s="5"/>
      <c r="AK114511" s="5"/>
    </row>
    <row r="114521" spans="25:37" x14ac:dyDescent="0.2">
      <c r="Y114521" s="251"/>
      <c r="AB114521" s="251"/>
      <c r="AE114521" s="251"/>
      <c r="AH114521" s="251"/>
      <c r="AK114521" s="251"/>
    </row>
    <row r="114636" spans="25:37" x14ac:dyDescent="0.2">
      <c r="Y114636" s="5"/>
      <c r="AB114636" s="5"/>
      <c r="AE114636" s="5"/>
      <c r="AH114636" s="5"/>
      <c r="AK114636" s="5"/>
    </row>
    <row r="114646" spans="25:37" x14ac:dyDescent="0.2">
      <c r="Y114646" s="251"/>
      <c r="AB114646" s="251"/>
      <c r="AE114646" s="251"/>
      <c r="AH114646" s="251"/>
      <c r="AK114646" s="251"/>
    </row>
    <row r="114761" spans="25:37" x14ac:dyDescent="0.2">
      <c r="Y114761" s="5"/>
      <c r="AB114761" s="5"/>
      <c r="AE114761" s="5"/>
      <c r="AH114761" s="5"/>
      <c r="AK114761" s="5"/>
    </row>
    <row r="114771" spans="25:37" x14ac:dyDescent="0.2">
      <c r="Y114771" s="251"/>
      <c r="AB114771" s="251"/>
      <c r="AE114771" s="251"/>
      <c r="AH114771" s="251"/>
      <c r="AK114771" s="251"/>
    </row>
    <row r="114886" spans="25:37" x14ac:dyDescent="0.2">
      <c r="Y114886" s="5"/>
      <c r="AB114886" s="5"/>
      <c r="AE114886" s="5"/>
      <c r="AH114886" s="5"/>
      <c r="AK114886" s="5"/>
    </row>
    <row r="114896" spans="25:37" x14ac:dyDescent="0.2">
      <c r="Y114896" s="251"/>
      <c r="AB114896" s="251"/>
      <c r="AE114896" s="251"/>
      <c r="AH114896" s="251"/>
      <c r="AK114896" s="251"/>
    </row>
    <row r="115011" spans="25:37" x14ac:dyDescent="0.2">
      <c r="Y115011" s="5"/>
      <c r="AB115011" s="5"/>
      <c r="AE115011" s="5"/>
      <c r="AH115011" s="5"/>
      <c r="AK115011" s="5"/>
    </row>
    <row r="115021" spans="25:37" x14ac:dyDescent="0.2">
      <c r="Y115021" s="251"/>
      <c r="AB115021" s="251"/>
      <c r="AE115021" s="251"/>
      <c r="AH115021" s="251"/>
      <c r="AK115021" s="251"/>
    </row>
    <row r="115136" spans="25:37" x14ac:dyDescent="0.2">
      <c r="Y115136" s="5"/>
      <c r="AB115136" s="5"/>
      <c r="AE115136" s="5"/>
      <c r="AH115136" s="5"/>
      <c r="AK115136" s="5"/>
    </row>
    <row r="115146" spans="25:37" x14ac:dyDescent="0.2">
      <c r="Y115146" s="251"/>
      <c r="AB115146" s="251"/>
      <c r="AE115146" s="251"/>
      <c r="AH115146" s="251"/>
      <c r="AK115146" s="251"/>
    </row>
    <row r="115261" spans="25:37" x14ac:dyDescent="0.2">
      <c r="Y115261" s="5"/>
      <c r="AB115261" s="5"/>
      <c r="AE115261" s="5"/>
      <c r="AH115261" s="5"/>
      <c r="AK115261" s="5"/>
    </row>
    <row r="115271" spans="25:37" x14ac:dyDescent="0.2">
      <c r="Y115271" s="251"/>
      <c r="AB115271" s="251"/>
      <c r="AE115271" s="251"/>
      <c r="AH115271" s="251"/>
      <c r="AK115271" s="251"/>
    </row>
    <row r="115386" spans="25:37" x14ac:dyDescent="0.2">
      <c r="Y115386" s="5"/>
      <c r="AB115386" s="5"/>
      <c r="AE115386" s="5"/>
      <c r="AH115386" s="5"/>
      <c r="AK115386" s="5"/>
    </row>
    <row r="115396" spans="25:37" x14ac:dyDescent="0.2">
      <c r="Y115396" s="251"/>
      <c r="AB115396" s="251"/>
      <c r="AE115396" s="251"/>
      <c r="AH115396" s="251"/>
      <c r="AK115396" s="251"/>
    </row>
    <row r="115511" spans="25:37" x14ac:dyDescent="0.2">
      <c r="Y115511" s="5"/>
      <c r="AB115511" s="5"/>
      <c r="AE115511" s="5"/>
      <c r="AH115511" s="5"/>
      <c r="AK115511" s="5"/>
    </row>
    <row r="115521" spans="25:37" x14ac:dyDescent="0.2">
      <c r="Y115521" s="251"/>
      <c r="AB115521" s="251"/>
      <c r="AE115521" s="251"/>
      <c r="AH115521" s="251"/>
      <c r="AK115521" s="251"/>
    </row>
    <row r="115636" spans="25:37" x14ac:dyDescent="0.2">
      <c r="Y115636" s="5"/>
      <c r="AB115636" s="5"/>
      <c r="AE115636" s="5"/>
      <c r="AH115636" s="5"/>
      <c r="AK115636" s="5"/>
    </row>
    <row r="115646" spans="25:37" x14ac:dyDescent="0.2">
      <c r="Y115646" s="251"/>
      <c r="AB115646" s="251"/>
      <c r="AE115646" s="251"/>
      <c r="AH115646" s="251"/>
      <c r="AK115646" s="251"/>
    </row>
    <row r="115761" spans="25:37" x14ac:dyDescent="0.2">
      <c r="Y115761" s="5"/>
      <c r="AB115761" s="5"/>
      <c r="AE115761" s="5"/>
      <c r="AH115761" s="5"/>
      <c r="AK115761" s="5"/>
    </row>
    <row r="115771" spans="25:37" x14ac:dyDescent="0.2">
      <c r="Y115771" s="251"/>
      <c r="AB115771" s="251"/>
      <c r="AE115771" s="251"/>
      <c r="AH115771" s="251"/>
      <c r="AK115771" s="251"/>
    </row>
    <row r="115886" spans="25:37" x14ac:dyDescent="0.2">
      <c r="Y115886" s="5"/>
      <c r="AB115886" s="5"/>
      <c r="AE115886" s="5"/>
      <c r="AH115886" s="5"/>
      <c r="AK115886" s="5"/>
    </row>
    <row r="115896" spans="25:37" x14ac:dyDescent="0.2">
      <c r="Y115896" s="251"/>
      <c r="AB115896" s="251"/>
      <c r="AE115896" s="251"/>
      <c r="AH115896" s="251"/>
      <c r="AK115896" s="251"/>
    </row>
    <row r="116011" spans="25:37" x14ac:dyDescent="0.2">
      <c r="Y116011" s="5"/>
      <c r="AB116011" s="5"/>
      <c r="AE116011" s="5"/>
      <c r="AH116011" s="5"/>
      <c r="AK116011" s="5"/>
    </row>
    <row r="116021" spans="25:37" x14ac:dyDescent="0.2">
      <c r="Y116021" s="251"/>
      <c r="AB116021" s="251"/>
      <c r="AE116021" s="251"/>
      <c r="AH116021" s="251"/>
      <c r="AK116021" s="251"/>
    </row>
    <row r="116136" spans="25:37" x14ac:dyDescent="0.2">
      <c r="Y116136" s="5"/>
      <c r="AB116136" s="5"/>
      <c r="AE116136" s="5"/>
      <c r="AH116136" s="5"/>
      <c r="AK116136" s="5"/>
    </row>
    <row r="116146" spans="25:37" x14ac:dyDescent="0.2">
      <c r="Y116146" s="251"/>
      <c r="AB116146" s="251"/>
      <c r="AE116146" s="251"/>
      <c r="AH116146" s="251"/>
      <c r="AK116146" s="251"/>
    </row>
    <row r="116261" spans="25:37" x14ac:dyDescent="0.2">
      <c r="Y116261" s="5"/>
      <c r="AB116261" s="5"/>
      <c r="AE116261" s="5"/>
      <c r="AH116261" s="5"/>
      <c r="AK116261" s="5"/>
    </row>
    <row r="116271" spans="25:37" x14ac:dyDescent="0.2">
      <c r="Y116271" s="251"/>
      <c r="AB116271" s="251"/>
      <c r="AE116271" s="251"/>
      <c r="AH116271" s="251"/>
      <c r="AK116271" s="251"/>
    </row>
    <row r="116386" spans="25:37" x14ac:dyDescent="0.2">
      <c r="Y116386" s="5"/>
      <c r="AB116386" s="5"/>
      <c r="AE116386" s="5"/>
      <c r="AH116386" s="5"/>
      <c r="AK116386" s="5"/>
    </row>
    <row r="116396" spans="25:37" x14ac:dyDescent="0.2">
      <c r="Y116396" s="251"/>
      <c r="AB116396" s="251"/>
      <c r="AE116396" s="251"/>
      <c r="AH116396" s="251"/>
      <c r="AK116396" s="251"/>
    </row>
    <row r="116511" spans="25:37" x14ac:dyDescent="0.2">
      <c r="Y116511" s="5"/>
      <c r="AB116511" s="5"/>
      <c r="AE116511" s="5"/>
      <c r="AH116511" s="5"/>
      <c r="AK116511" s="5"/>
    </row>
    <row r="116521" spans="25:37" x14ac:dyDescent="0.2">
      <c r="Y116521" s="251"/>
      <c r="AB116521" s="251"/>
      <c r="AE116521" s="251"/>
      <c r="AH116521" s="251"/>
      <c r="AK116521" s="251"/>
    </row>
    <row r="116636" spans="25:37" x14ac:dyDescent="0.2">
      <c r="Y116636" s="5"/>
      <c r="AB116636" s="5"/>
      <c r="AE116636" s="5"/>
      <c r="AH116636" s="5"/>
      <c r="AK116636" s="5"/>
    </row>
    <row r="116646" spans="25:37" x14ac:dyDescent="0.2">
      <c r="Y116646" s="251"/>
      <c r="AB116646" s="251"/>
      <c r="AE116646" s="251"/>
      <c r="AH116646" s="251"/>
      <c r="AK116646" s="251"/>
    </row>
    <row r="116761" spans="25:37" x14ac:dyDescent="0.2">
      <c r="Y116761" s="5"/>
      <c r="AB116761" s="5"/>
      <c r="AE116761" s="5"/>
      <c r="AH116761" s="5"/>
      <c r="AK116761" s="5"/>
    </row>
    <row r="116771" spans="25:37" x14ac:dyDescent="0.2">
      <c r="Y116771" s="251"/>
      <c r="AB116771" s="251"/>
      <c r="AE116771" s="251"/>
      <c r="AH116771" s="251"/>
      <c r="AK116771" s="251"/>
    </row>
    <row r="116886" spans="25:37" x14ac:dyDescent="0.2">
      <c r="Y116886" s="5"/>
      <c r="AB116886" s="5"/>
      <c r="AE116886" s="5"/>
      <c r="AH116886" s="5"/>
      <c r="AK116886" s="5"/>
    </row>
    <row r="116896" spans="25:37" x14ac:dyDescent="0.2">
      <c r="Y116896" s="251"/>
      <c r="AB116896" s="251"/>
      <c r="AE116896" s="251"/>
      <c r="AH116896" s="251"/>
      <c r="AK116896" s="251"/>
    </row>
    <row r="117011" spans="25:37" x14ac:dyDescent="0.2">
      <c r="Y117011" s="5"/>
      <c r="AB117011" s="5"/>
      <c r="AE117011" s="5"/>
      <c r="AH117011" s="5"/>
      <c r="AK117011" s="5"/>
    </row>
    <row r="117021" spans="25:37" x14ac:dyDescent="0.2">
      <c r="Y117021" s="251"/>
      <c r="AB117021" s="251"/>
      <c r="AE117021" s="251"/>
      <c r="AH117021" s="251"/>
      <c r="AK117021" s="251"/>
    </row>
    <row r="117136" spans="25:37" x14ac:dyDescent="0.2">
      <c r="Y117136" s="5"/>
      <c r="AB117136" s="5"/>
      <c r="AE117136" s="5"/>
      <c r="AH117136" s="5"/>
      <c r="AK117136" s="5"/>
    </row>
    <row r="117146" spans="25:37" x14ac:dyDescent="0.2">
      <c r="Y117146" s="251"/>
      <c r="AB117146" s="251"/>
      <c r="AE117146" s="251"/>
      <c r="AH117146" s="251"/>
      <c r="AK117146" s="251"/>
    </row>
    <row r="117261" spans="25:37" x14ac:dyDescent="0.2">
      <c r="Y117261" s="5"/>
      <c r="AB117261" s="5"/>
      <c r="AE117261" s="5"/>
      <c r="AH117261" s="5"/>
      <c r="AK117261" s="5"/>
    </row>
    <row r="117271" spans="25:37" x14ac:dyDescent="0.2">
      <c r="Y117271" s="251"/>
      <c r="AB117271" s="251"/>
      <c r="AE117271" s="251"/>
      <c r="AH117271" s="251"/>
      <c r="AK117271" s="251"/>
    </row>
    <row r="117386" spans="25:37" x14ac:dyDescent="0.2">
      <c r="Y117386" s="5"/>
      <c r="AB117386" s="5"/>
      <c r="AE117386" s="5"/>
      <c r="AH117386" s="5"/>
      <c r="AK117386" s="5"/>
    </row>
    <row r="117396" spans="25:37" x14ac:dyDescent="0.2">
      <c r="Y117396" s="251"/>
      <c r="AB117396" s="251"/>
      <c r="AE117396" s="251"/>
      <c r="AH117396" s="251"/>
      <c r="AK117396" s="251"/>
    </row>
    <row r="117511" spans="25:37" x14ac:dyDescent="0.2">
      <c r="Y117511" s="5"/>
      <c r="AB117511" s="5"/>
      <c r="AE117511" s="5"/>
      <c r="AH117511" s="5"/>
      <c r="AK117511" s="5"/>
    </row>
    <row r="117521" spans="25:37" x14ac:dyDescent="0.2">
      <c r="Y117521" s="251"/>
      <c r="AB117521" s="251"/>
      <c r="AE117521" s="251"/>
      <c r="AH117521" s="251"/>
      <c r="AK117521" s="251"/>
    </row>
    <row r="117636" spans="25:37" x14ac:dyDescent="0.2">
      <c r="Y117636" s="5"/>
      <c r="AB117636" s="5"/>
      <c r="AE117636" s="5"/>
      <c r="AH117636" s="5"/>
      <c r="AK117636" s="5"/>
    </row>
    <row r="117646" spans="25:37" x14ac:dyDescent="0.2">
      <c r="Y117646" s="251"/>
      <c r="AB117646" s="251"/>
      <c r="AE117646" s="251"/>
      <c r="AH117646" s="251"/>
      <c r="AK117646" s="251"/>
    </row>
    <row r="117761" spans="25:37" x14ac:dyDescent="0.2">
      <c r="Y117761" s="5"/>
      <c r="AB117761" s="5"/>
      <c r="AE117761" s="5"/>
      <c r="AH117761" s="5"/>
      <c r="AK117761" s="5"/>
    </row>
    <row r="117771" spans="25:37" x14ac:dyDescent="0.2">
      <c r="Y117771" s="251"/>
      <c r="AB117771" s="251"/>
      <c r="AE117771" s="251"/>
      <c r="AH117771" s="251"/>
      <c r="AK117771" s="251"/>
    </row>
    <row r="117886" spans="25:37" x14ac:dyDescent="0.2">
      <c r="Y117886" s="5"/>
      <c r="AB117886" s="5"/>
      <c r="AE117886" s="5"/>
      <c r="AH117886" s="5"/>
      <c r="AK117886" s="5"/>
    </row>
    <row r="117896" spans="25:37" x14ac:dyDescent="0.2">
      <c r="Y117896" s="251"/>
      <c r="AB117896" s="251"/>
      <c r="AE117896" s="251"/>
      <c r="AH117896" s="251"/>
      <c r="AK117896" s="251"/>
    </row>
    <row r="118011" spans="25:37" x14ac:dyDescent="0.2">
      <c r="Y118011" s="5"/>
      <c r="AB118011" s="5"/>
      <c r="AE118011" s="5"/>
      <c r="AH118011" s="5"/>
      <c r="AK118011" s="5"/>
    </row>
    <row r="118021" spans="25:37" x14ac:dyDescent="0.2">
      <c r="Y118021" s="251"/>
      <c r="AB118021" s="251"/>
      <c r="AE118021" s="251"/>
      <c r="AH118021" s="251"/>
      <c r="AK118021" s="251"/>
    </row>
    <row r="118136" spans="25:37" x14ac:dyDescent="0.2">
      <c r="Y118136" s="5"/>
      <c r="AB118136" s="5"/>
      <c r="AE118136" s="5"/>
      <c r="AH118136" s="5"/>
      <c r="AK118136" s="5"/>
    </row>
    <row r="118146" spans="25:37" x14ac:dyDescent="0.2">
      <c r="Y118146" s="251"/>
      <c r="AB118146" s="251"/>
      <c r="AE118146" s="251"/>
      <c r="AH118146" s="251"/>
      <c r="AK118146" s="251"/>
    </row>
    <row r="118261" spans="25:37" x14ac:dyDescent="0.2">
      <c r="Y118261" s="5"/>
      <c r="AB118261" s="5"/>
      <c r="AE118261" s="5"/>
      <c r="AH118261" s="5"/>
      <c r="AK118261" s="5"/>
    </row>
    <row r="118271" spans="25:37" x14ac:dyDescent="0.2">
      <c r="Y118271" s="251"/>
      <c r="AB118271" s="251"/>
      <c r="AE118271" s="251"/>
      <c r="AH118271" s="251"/>
      <c r="AK118271" s="251"/>
    </row>
    <row r="118386" spans="25:37" x14ac:dyDescent="0.2">
      <c r="Y118386" s="5"/>
      <c r="AB118386" s="5"/>
      <c r="AE118386" s="5"/>
      <c r="AH118386" s="5"/>
      <c r="AK118386" s="5"/>
    </row>
    <row r="118396" spans="25:37" x14ac:dyDescent="0.2">
      <c r="Y118396" s="251"/>
      <c r="AB118396" s="251"/>
      <c r="AE118396" s="251"/>
      <c r="AH118396" s="251"/>
      <c r="AK118396" s="251"/>
    </row>
    <row r="118511" spans="25:37" x14ac:dyDescent="0.2">
      <c r="Y118511" s="5"/>
      <c r="AB118511" s="5"/>
      <c r="AE118511" s="5"/>
      <c r="AH118511" s="5"/>
      <c r="AK118511" s="5"/>
    </row>
    <row r="118521" spans="25:37" x14ac:dyDescent="0.2">
      <c r="Y118521" s="251"/>
      <c r="AB118521" s="251"/>
      <c r="AE118521" s="251"/>
      <c r="AH118521" s="251"/>
      <c r="AK118521" s="251"/>
    </row>
    <row r="118636" spans="25:37" x14ac:dyDescent="0.2">
      <c r="Y118636" s="5"/>
      <c r="AB118636" s="5"/>
      <c r="AE118636" s="5"/>
      <c r="AH118636" s="5"/>
      <c r="AK118636" s="5"/>
    </row>
    <row r="118646" spans="25:37" x14ac:dyDescent="0.2">
      <c r="Y118646" s="251"/>
      <c r="AB118646" s="251"/>
      <c r="AE118646" s="251"/>
      <c r="AH118646" s="251"/>
      <c r="AK118646" s="251"/>
    </row>
    <row r="118761" spans="25:37" x14ac:dyDescent="0.2">
      <c r="Y118761" s="5"/>
      <c r="AB118761" s="5"/>
      <c r="AE118761" s="5"/>
      <c r="AH118761" s="5"/>
      <c r="AK118761" s="5"/>
    </row>
    <row r="118771" spans="25:37" x14ac:dyDescent="0.2">
      <c r="Y118771" s="251"/>
      <c r="AB118771" s="251"/>
      <c r="AE118771" s="251"/>
      <c r="AH118771" s="251"/>
      <c r="AK118771" s="251"/>
    </row>
    <row r="118886" spans="25:37" x14ac:dyDescent="0.2">
      <c r="Y118886" s="5"/>
      <c r="AB118886" s="5"/>
      <c r="AE118886" s="5"/>
      <c r="AH118886" s="5"/>
      <c r="AK118886" s="5"/>
    </row>
    <row r="118896" spans="25:37" x14ac:dyDescent="0.2">
      <c r="Y118896" s="251"/>
      <c r="AB118896" s="251"/>
      <c r="AE118896" s="251"/>
      <c r="AH118896" s="251"/>
      <c r="AK118896" s="251"/>
    </row>
    <row r="119011" spans="25:37" x14ac:dyDescent="0.2">
      <c r="Y119011" s="5"/>
      <c r="AB119011" s="5"/>
      <c r="AE119011" s="5"/>
      <c r="AH119011" s="5"/>
      <c r="AK119011" s="5"/>
    </row>
    <row r="119021" spans="25:37" x14ac:dyDescent="0.2">
      <c r="Y119021" s="251"/>
      <c r="AB119021" s="251"/>
      <c r="AE119021" s="251"/>
      <c r="AH119021" s="251"/>
      <c r="AK119021" s="251"/>
    </row>
    <row r="119136" spans="25:37" x14ac:dyDescent="0.2">
      <c r="Y119136" s="5"/>
      <c r="AB119136" s="5"/>
      <c r="AE119136" s="5"/>
      <c r="AH119136" s="5"/>
      <c r="AK119136" s="5"/>
    </row>
    <row r="119146" spans="25:37" x14ac:dyDescent="0.2">
      <c r="Y119146" s="251"/>
      <c r="AB119146" s="251"/>
      <c r="AE119146" s="251"/>
      <c r="AH119146" s="251"/>
      <c r="AK119146" s="251"/>
    </row>
    <row r="119261" spans="25:37" x14ac:dyDescent="0.2">
      <c r="Y119261" s="5"/>
      <c r="AB119261" s="5"/>
      <c r="AE119261" s="5"/>
      <c r="AH119261" s="5"/>
      <c r="AK119261" s="5"/>
    </row>
    <row r="119271" spans="25:37" x14ac:dyDescent="0.2">
      <c r="Y119271" s="251"/>
      <c r="AB119271" s="251"/>
      <c r="AE119271" s="251"/>
      <c r="AH119271" s="251"/>
      <c r="AK119271" s="251"/>
    </row>
    <row r="119386" spans="25:37" x14ac:dyDescent="0.2">
      <c r="Y119386" s="5"/>
      <c r="AB119386" s="5"/>
      <c r="AE119386" s="5"/>
      <c r="AH119386" s="5"/>
      <c r="AK119386" s="5"/>
    </row>
    <row r="119396" spans="25:37" x14ac:dyDescent="0.2">
      <c r="Y119396" s="251"/>
      <c r="AB119396" s="251"/>
      <c r="AE119396" s="251"/>
      <c r="AH119396" s="251"/>
      <c r="AK119396" s="251"/>
    </row>
    <row r="119511" spans="25:37" x14ac:dyDescent="0.2">
      <c r="Y119511" s="5"/>
      <c r="AB119511" s="5"/>
      <c r="AE119511" s="5"/>
      <c r="AH119511" s="5"/>
      <c r="AK119511" s="5"/>
    </row>
    <row r="119521" spans="25:37" x14ac:dyDescent="0.2">
      <c r="Y119521" s="251"/>
      <c r="AB119521" s="251"/>
      <c r="AE119521" s="251"/>
      <c r="AH119521" s="251"/>
      <c r="AK119521" s="251"/>
    </row>
    <row r="119636" spans="25:37" x14ac:dyDescent="0.2">
      <c r="Y119636" s="5"/>
      <c r="AB119636" s="5"/>
      <c r="AE119636" s="5"/>
      <c r="AH119636" s="5"/>
      <c r="AK119636" s="5"/>
    </row>
    <row r="119646" spans="25:37" x14ac:dyDescent="0.2">
      <c r="Y119646" s="251"/>
      <c r="AB119646" s="251"/>
      <c r="AE119646" s="251"/>
      <c r="AH119646" s="251"/>
      <c r="AK119646" s="251"/>
    </row>
    <row r="119761" spans="25:37" x14ac:dyDescent="0.2">
      <c r="Y119761" s="5"/>
      <c r="AB119761" s="5"/>
      <c r="AE119761" s="5"/>
      <c r="AH119761" s="5"/>
      <c r="AK119761" s="5"/>
    </row>
    <row r="119771" spans="25:37" x14ac:dyDescent="0.2">
      <c r="Y119771" s="251"/>
      <c r="AB119771" s="251"/>
      <c r="AE119771" s="251"/>
      <c r="AH119771" s="251"/>
      <c r="AK119771" s="251"/>
    </row>
    <row r="119886" spans="25:37" x14ac:dyDescent="0.2">
      <c r="Y119886" s="5"/>
      <c r="AB119886" s="5"/>
      <c r="AE119886" s="5"/>
      <c r="AH119886" s="5"/>
      <c r="AK119886" s="5"/>
    </row>
    <row r="119896" spans="25:37" x14ac:dyDescent="0.2">
      <c r="Y119896" s="251"/>
      <c r="AB119896" s="251"/>
      <c r="AE119896" s="251"/>
      <c r="AH119896" s="251"/>
      <c r="AK119896" s="251"/>
    </row>
    <row r="120011" spans="25:37" x14ac:dyDescent="0.2">
      <c r="Y120011" s="5"/>
      <c r="AB120011" s="5"/>
      <c r="AE120011" s="5"/>
      <c r="AH120011" s="5"/>
      <c r="AK120011" s="5"/>
    </row>
    <row r="120021" spans="25:37" x14ac:dyDescent="0.2">
      <c r="Y120021" s="251"/>
      <c r="AB120021" s="251"/>
      <c r="AE120021" s="251"/>
      <c r="AH120021" s="251"/>
      <c r="AK120021" s="251"/>
    </row>
    <row r="120136" spans="25:37" x14ac:dyDescent="0.2">
      <c r="Y120136" s="5"/>
      <c r="AB120136" s="5"/>
      <c r="AE120136" s="5"/>
      <c r="AH120136" s="5"/>
      <c r="AK120136" s="5"/>
    </row>
    <row r="120146" spans="25:37" x14ac:dyDescent="0.2">
      <c r="Y120146" s="251"/>
      <c r="AB120146" s="251"/>
      <c r="AE120146" s="251"/>
      <c r="AH120146" s="251"/>
      <c r="AK120146" s="251"/>
    </row>
    <row r="120261" spans="25:37" x14ac:dyDescent="0.2">
      <c r="Y120261" s="5"/>
      <c r="AB120261" s="5"/>
      <c r="AE120261" s="5"/>
      <c r="AH120261" s="5"/>
      <c r="AK120261" s="5"/>
    </row>
    <row r="120271" spans="25:37" x14ac:dyDescent="0.2">
      <c r="Y120271" s="251"/>
      <c r="AB120271" s="251"/>
      <c r="AE120271" s="251"/>
      <c r="AH120271" s="251"/>
      <c r="AK120271" s="251"/>
    </row>
    <row r="120386" spans="25:37" x14ac:dyDescent="0.2">
      <c r="Y120386" s="5"/>
      <c r="AB120386" s="5"/>
      <c r="AE120386" s="5"/>
      <c r="AH120386" s="5"/>
      <c r="AK120386" s="5"/>
    </row>
    <row r="120396" spans="25:37" x14ac:dyDescent="0.2">
      <c r="Y120396" s="251"/>
      <c r="AB120396" s="251"/>
      <c r="AE120396" s="251"/>
      <c r="AH120396" s="251"/>
      <c r="AK120396" s="251"/>
    </row>
    <row r="120511" spans="25:37" x14ac:dyDescent="0.2">
      <c r="Y120511" s="5"/>
      <c r="AB120511" s="5"/>
      <c r="AE120511" s="5"/>
      <c r="AH120511" s="5"/>
      <c r="AK120511" s="5"/>
    </row>
    <row r="120521" spans="25:37" x14ac:dyDescent="0.2">
      <c r="Y120521" s="251"/>
      <c r="AB120521" s="251"/>
      <c r="AE120521" s="251"/>
      <c r="AH120521" s="251"/>
      <c r="AK120521" s="251"/>
    </row>
    <row r="120636" spans="25:37" x14ac:dyDescent="0.2">
      <c r="Y120636" s="5"/>
      <c r="AB120636" s="5"/>
      <c r="AE120636" s="5"/>
      <c r="AH120636" s="5"/>
      <c r="AK120636" s="5"/>
    </row>
    <row r="120646" spans="25:37" x14ac:dyDescent="0.2">
      <c r="Y120646" s="251"/>
      <c r="AB120646" s="251"/>
      <c r="AE120646" s="251"/>
      <c r="AH120646" s="251"/>
      <c r="AK120646" s="251"/>
    </row>
    <row r="120761" spans="25:37" x14ac:dyDescent="0.2">
      <c r="Y120761" s="5"/>
      <c r="AB120761" s="5"/>
      <c r="AE120761" s="5"/>
      <c r="AH120761" s="5"/>
      <c r="AK120761" s="5"/>
    </row>
    <row r="120771" spans="25:37" x14ac:dyDescent="0.2">
      <c r="Y120771" s="251"/>
      <c r="AB120771" s="251"/>
      <c r="AE120771" s="251"/>
      <c r="AH120771" s="251"/>
      <c r="AK120771" s="251"/>
    </row>
    <row r="120886" spans="25:37" x14ac:dyDescent="0.2">
      <c r="Y120886" s="5"/>
      <c r="AB120886" s="5"/>
      <c r="AE120886" s="5"/>
      <c r="AH120886" s="5"/>
      <c r="AK120886" s="5"/>
    </row>
    <row r="120896" spans="25:37" x14ac:dyDescent="0.2">
      <c r="Y120896" s="251"/>
      <c r="AB120896" s="251"/>
      <c r="AE120896" s="251"/>
      <c r="AH120896" s="251"/>
      <c r="AK120896" s="251"/>
    </row>
    <row r="121011" spans="25:37" x14ac:dyDescent="0.2">
      <c r="Y121011" s="5"/>
      <c r="AB121011" s="5"/>
      <c r="AE121011" s="5"/>
      <c r="AH121011" s="5"/>
      <c r="AK121011" s="5"/>
    </row>
    <row r="121021" spans="25:37" x14ac:dyDescent="0.2">
      <c r="Y121021" s="251"/>
      <c r="AB121021" s="251"/>
      <c r="AE121021" s="251"/>
      <c r="AH121021" s="251"/>
      <c r="AK121021" s="251"/>
    </row>
    <row r="121136" spans="25:37" x14ac:dyDescent="0.2">
      <c r="Y121136" s="5"/>
      <c r="AB121136" s="5"/>
      <c r="AE121136" s="5"/>
      <c r="AH121136" s="5"/>
      <c r="AK121136" s="5"/>
    </row>
    <row r="121146" spans="25:37" x14ac:dyDescent="0.2">
      <c r="Y121146" s="251"/>
      <c r="AB121146" s="251"/>
      <c r="AE121146" s="251"/>
      <c r="AH121146" s="251"/>
      <c r="AK121146" s="251"/>
    </row>
    <row r="121261" spans="25:37" x14ac:dyDescent="0.2">
      <c r="Y121261" s="5"/>
      <c r="AB121261" s="5"/>
      <c r="AE121261" s="5"/>
      <c r="AH121261" s="5"/>
      <c r="AK121261" s="5"/>
    </row>
    <row r="121271" spans="25:37" x14ac:dyDescent="0.2">
      <c r="Y121271" s="251"/>
      <c r="AB121271" s="251"/>
      <c r="AE121271" s="251"/>
      <c r="AH121271" s="251"/>
      <c r="AK121271" s="251"/>
    </row>
    <row r="121386" spans="25:37" x14ac:dyDescent="0.2">
      <c r="Y121386" s="5"/>
      <c r="AB121386" s="5"/>
      <c r="AE121386" s="5"/>
      <c r="AH121386" s="5"/>
      <c r="AK121386" s="5"/>
    </row>
    <row r="121396" spans="25:37" x14ac:dyDescent="0.2">
      <c r="Y121396" s="251"/>
      <c r="AB121396" s="251"/>
      <c r="AE121396" s="251"/>
      <c r="AH121396" s="251"/>
      <c r="AK121396" s="251"/>
    </row>
    <row r="121511" spans="25:37" x14ac:dyDescent="0.2">
      <c r="Y121511" s="5"/>
      <c r="AB121511" s="5"/>
      <c r="AE121511" s="5"/>
      <c r="AH121511" s="5"/>
      <c r="AK121511" s="5"/>
    </row>
    <row r="121521" spans="25:37" x14ac:dyDescent="0.2">
      <c r="Y121521" s="251"/>
      <c r="AB121521" s="251"/>
      <c r="AE121521" s="251"/>
      <c r="AH121521" s="251"/>
      <c r="AK121521" s="251"/>
    </row>
    <row r="121636" spans="25:37" x14ac:dyDescent="0.2">
      <c r="Y121636" s="5"/>
      <c r="AB121636" s="5"/>
      <c r="AE121636" s="5"/>
      <c r="AH121636" s="5"/>
      <c r="AK121636" s="5"/>
    </row>
    <row r="121646" spans="25:37" x14ac:dyDescent="0.2">
      <c r="Y121646" s="251"/>
      <c r="AB121646" s="251"/>
      <c r="AE121646" s="251"/>
      <c r="AH121646" s="251"/>
      <c r="AK121646" s="251"/>
    </row>
    <row r="121761" spans="25:37" x14ac:dyDescent="0.2">
      <c r="Y121761" s="5"/>
      <c r="AB121761" s="5"/>
      <c r="AE121761" s="5"/>
      <c r="AH121761" s="5"/>
      <c r="AK121761" s="5"/>
    </row>
    <row r="121771" spans="25:37" x14ac:dyDescent="0.2">
      <c r="Y121771" s="251"/>
      <c r="AB121771" s="251"/>
      <c r="AE121771" s="251"/>
      <c r="AH121771" s="251"/>
      <c r="AK121771" s="251"/>
    </row>
    <row r="121886" spans="25:37" x14ac:dyDescent="0.2">
      <c r="Y121886" s="5"/>
      <c r="AB121886" s="5"/>
      <c r="AE121886" s="5"/>
      <c r="AH121886" s="5"/>
      <c r="AK121886" s="5"/>
    </row>
    <row r="121896" spans="25:37" x14ac:dyDescent="0.2">
      <c r="Y121896" s="251"/>
      <c r="AB121896" s="251"/>
      <c r="AE121896" s="251"/>
      <c r="AH121896" s="251"/>
      <c r="AK121896" s="251"/>
    </row>
    <row r="122011" spans="25:37" x14ac:dyDescent="0.2">
      <c r="Y122011" s="5"/>
      <c r="AB122011" s="5"/>
      <c r="AE122011" s="5"/>
      <c r="AH122011" s="5"/>
      <c r="AK122011" s="5"/>
    </row>
    <row r="122021" spans="25:37" x14ac:dyDescent="0.2">
      <c r="Y122021" s="251"/>
      <c r="AB122021" s="251"/>
      <c r="AE122021" s="251"/>
      <c r="AH122021" s="251"/>
      <c r="AK122021" s="251"/>
    </row>
    <row r="122136" spans="25:37" x14ac:dyDescent="0.2">
      <c r="Y122136" s="5"/>
      <c r="AB122136" s="5"/>
      <c r="AE122136" s="5"/>
      <c r="AH122136" s="5"/>
      <c r="AK122136" s="5"/>
    </row>
    <row r="122146" spans="25:37" x14ac:dyDescent="0.2">
      <c r="Y122146" s="251"/>
      <c r="AB122146" s="251"/>
      <c r="AE122146" s="251"/>
      <c r="AH122146" s="251"/>
      <c r="AK122146" s="251"/>
    </row>
    <row r="122261" spans="25:37" x14ac:dyDescent="0.2">
      <c r="Y122261" s="5"/>
      <c r="AB122261" s="5"/>
      <c r="AE122261" s="5"/>
      <c r="AH122261" s="5"/>
      <c r="AK122261" s="5"/>
    </row>
    <row r="122271" spans="25:37" x14ac:dyDescent="0.2">
      <c r="Y122271" s="251"/>
      <c r="AB122271" s="251"/>
      <c r="AE122271" s="251"/>
      <c r="AH122271" s="251"/>
      <c r="AK122271" s="251"/>
    </row>
    <row r="122386" spans="25:37" x14ac:dyDescent="0.2">
      <c r="Y122386" s="5"/>
      <c r="AB122386" s="5"/>
      <c r="AE122386" s="5"/>
      <c r="AH122386" s="5"/>
      <c r="AK122386" s="5"/>
    </row>
    <row r="122396" spans="25:37" x14ac:dyDescent="0.2">
      <c r="Y122396" s="251"/>
      <c r="AB122396" s="251"/>
      <c r="AE122396" s="251"/>
      <c r="AH122396" s="251"/>
      <c r="AK122396" s="251"/>
    </row>
    <row r="122511" spans="25:37" x14ac:dyDescent="0.2">
      <c r="Y122511" s="5"/>
      <c r="AB122511" s="5"/>
      <c r="AE122511" s="5"/>
      <c r="AH122511" s="5"/>
      <c r="AK122511" s="5"/>
    </row>
    <row r="122521" spans="25:37" x14ac:dyDescent="0.2">
      <c r="Y122521" s="251"/>
      <c r="AB122521" s="251"/>
      <c r="AE122521" s="251"/>
      <c r="AH122521" s="251"/>
      <c r="AK122521" s="251"/>
    </row>
    <row r="122636" spans="25:37" x14ac:dyDescent="0.2">
      <c r="Y122636" s="5"/>
      <c r="AB122636" s="5"/>
      <c r="AE122636" s="5"/>
      <c r="AH122636" s="5"/>
      <c r="AK122636" s="5"/>
    </row>
    <row r="122646" spans="25:37" x14ac:dyDescent="0.2">
      <c r="Y122646" s="251"/>
      <c r="AB122646" s="251"/>
      <c r="AE122646" s="251"/>
      <c r="AH122646" s="251"/>
      <c r="AK122646" s="251"/>
    </row>
    <row r="122761" spans="25:37" x14ac:dyDescent="0.2">
      <c r="Y122761" s="5"/>
      <c r="AB122761" s="5"/>
      <c r="AE122761" s="5"/>
      <c r="AH122761" s="5"/>
      <c r="AK122761" s="5"/>
    </row>
    <row r="122771" spans="25:37" x14ac:dyDescent="0.2">
      <c r="Y122771" s="251"/>
      <c r="AB122771" s="251"/>
      <c r="AE122771" s="251"/>
      <c r="AH122771" s="251"/>
      <c r="AK122771" s="251"/>
    </row>
    <row r="122886" spans="25:37" x14ac:dyDescent="0.2">
      <c r="Y122886" s="5"/>
      <c r="AB122886" s="5"/>
      <c r="AE122886" s="5"/>
      <c r="AH122886" s="5"/>
      <c r="AK122886" s="5"/>
    </row>
    <row r="122896" spans="25:37" x14ac:dyDescent="0.2">
      <c r="Y122896" s="251"/>
      <c r="AB122896" s="251"/>
      <c r="AE122896" s="251"/>
      <c r="AH122896" s="251"/>
      <c r="AK122896" s="251"/>
    </row>
    <row r="123011" spans="25:37" x14ac:dyDescent="0.2">
      <c r="Y123011" s="5"/>
      <c r="AB123011" s="5"/>
      <c r="AE123011" s="5"/>
      <c r="AH123011" s="5"/>
      <c r="AK123011" s="5"/>
    </row>
    <row r="123021" spans="25:37" x14ac:dyDescent="0.2">
      <c r="Y123021" s="251"/>
      <c r="AB123021" s="251"/>
      <c r="AE123021" s="251"/>
      <c r="AH123021" s="251"/>
      <c r="AK123021" s="251"/>
    </row>
    <row r="123136" spans="25:37" x14ac:dyDescent="0.2">
      <c r="Y123136" s="5"/>
      <c r="AB123136" s="5"/>
      <c r="AE123136" s="5"/>
      <c r="AH123136" s="5"/>
      <c r="AK123136" s="5"/>
    </row>
    <row r="123146" spans="25:37" x14ac:dyDescent="0.2">
      <c r="Y123146" s="251"/>
      <c r="AB123146" s="251"/>
      <c r="AE123146" s="251"/>
      <c r="AH123146" s="251"/>
      <c r="AK123146" s="251"/>
    </row>
    <row r="123261" spans="25:37" x14ac:dyDescent="0.2">
      <c r="Y123261" s="5"/>
      <c r="AB123261" s="5"/>
      <c r="AE123261" s="5"/>
      <c r="AH123261" s="5"/>
      <c r="AK123261" s="5"/>
    </row>
    <row r="123271" spans="25:37" x14ac:dyDescent="0.2">
      <c r="Y123271" s="251"/>
      <c r="AB123271" s="251"/>
      <c r="AE123271" s="251"/>
      <c r="AH123271" s="251"/>
      <c r="AK123271" s="251"/>
    </row>
    <row r="123386" spans="25:37" x14ac:dyDescent="0.2">
      <c r="Y123386" s="5"/>
      <c r="AB123386" s="5"/>
      <c r="AE123386" s="5"/>
      <c r="AH123386" s="5"/>
      <c r="AK123386" s="5"/>
    </row>
    <row r="123396" spans="25:37" x14ac:dyDescent="0.2">
      <c r="Y123396" s="251"/>
      <c r="AB123396" s="251"/>
      <c r="AE123396" s="251"/>
      <c r="AH123396" s="251"/>
      <c r="AK123396" s="251"/>
    </row>
    <row r="123511" spans="25:37" x14ac:dyDescent="0.2">
      <c r="Y123511" s="5"/>
      <c r="AB123511" s="5"/>
      <c r="AE123511" s="5"/>
      <c r="AH123511" s="5"/>
      <c r="AK123511" s="5"/>
    </row>
    <row r="123521" spans="25:37" x14ac:dyDescent="0.2">
      <c r="Y123521" s="251"/>
      <c r="AB123521" s="251"/>
      <c r="AE123521" s="251"/>
      <c r="AH123521" s="251"/>
      <c r="AK123521" s="251"/>
    </row>
    <row r="123636" spans="25:37" x14ac:dyDescent="0.2">
      <c r="Y123636" s="5"/>
      <c r="AB123636" s="5"/>
      <c r="AE123636" s="5"/>
      <c r="AH123636" s="5"/>
      <c r="AK123636" s="5"/>
    </row>
    <row r="123646" spans="25:37" x14ac:dyDescent="0.2">
      <c r="Y123646" s="251"/>
      <c r="AB123646" s="251"/>
      <c r="AE123646" s="251"/>
      <c r="AH123646" s="251"/>
      <c r="AK123646" s="251"/>
    </row>
    <row r="123761" spans="25:37" x14ac:dyDescent="0.2">
      <c r="Y123761" s="5"/>
      <c r="AB123761" s="5"/>
      <c r="AE123761" s="5"/>
      <c r="AH123761" s="5"/>
      <c r="AK123761" s="5"/>
    </row>
    <row r="123771" spans="25:37" x14ac:dyDescent="0.2">
      <c r="Y123771" s="251"/>
      <c r="AB123771" s="251"/>
      <c r="AE123771" s="251"/>
      <c r="AH123771" s="251"/>
      <c r="AK123771" s="251"/>
    </row>
    <row r="123886" spans="25:37" x14ac:dyDescent="0.2">
      <c r="Y123886" s="5"/>
      <c r="AB123886" s="5"/>
      <c r="AE123886" s="5"/>
      <c r="AH123886" s="5"/>
      <c r="AK123886" s="5"/>
    </row>
    <row r="123896" spans="25:37" x14ac:dyDescent="0.2">
      <c r="Y123896" s="251"/>
      <c r="AB123896" s="251"/>
      <c r="AE123896" s="251"/>
      <c r="AH123896" s="251"/>
      <c r="AK123896" s="251"/>
    </row>
    <row r="124011" spans="25:37" x14ac:dyDescent="0.2">
      <c r="Y124011" s="5"/>
      <c r="AB124011" s="5"/>
      <c r="AE124011" s="5"/>
      <c r="AH124011" s="5"/>
      <c r="AK124011" s="5"/>
    </row>
    <row r="124021" spans="25:37" x14ac:dyDescent="0.2">
      <c r="Y124021" s="251"/>
      <c r="AB124021" s="251"/>
      <c r="AE124021" s="251"/>
      <c r="AH124021" s="251"/>
      <c r="AK124021" s="251"/>
    </row>
    <row r="124136" spans="25:37" x14ac:dyDescent="0.2">
      <c r="Y124136" s="5"/>
      <c r="AB124136" s="5"/>
      <c r="AE124136" s="5"/>
      <c r="AH124136" s="5"/>
      <c r="AK124136" s="5"/>
    </row>
    <row r="124146" spans="25:37" x14ac:dyDescent="0.2">
      <c r="Y124146" s="251"/>
      <c r="AB124146" s="251"/>
      <c r="AE124146" s="251"/>
      <c r="AH124146" s="251"/>
      <c r="AK124146" s="251"/>
    </row>
    <row r="124261" spans="25:37" x14ac:dyDescent="0.2">
      <c r="Y124261" s="5"/>
      <c r="AB124261" s="5"/>
      <c r="AE124261" s="5"/>
      <c r="AH124261" s="5"/>
      <c r="AK124261" s="5"/>
    </row>
    <row r="124271" spans="25:37" x14ac:dyDescent="0.2">
      <c r="Y124271" s="251"/>
      <c r="AB124271" s="251"/>
      <c r="AE124271" s="251"/>
      <c r="AH124271" s="251"/>
      <c r="AK124271" s="251"/>
    </row>
    <row r="124386" spans="25:37" x14ac:dyDescent="0.2">
      <c r="Y124386" s="5"/>
      <c r="AB124386" s="5"/>
      <c r="AE124386" s="5"/>
      <c r="AH124386" s="5"/>
      <c r="AK124386" s="5"/>
    </row>
    <row r="124396" spans="25:37" x14ac:dyDescent="0.2">
      <c r="Y124396" s="251"/>
      <c r="AB124396" s="251"/>
      <c r="AE124396" s="251"/>
      <c r="AH124396" s="251"/>
      <c r="AK124396" s="251"/>
    </row>
    <row r="124511" spans="25:37" x14ac:dyDescent="0.2">
      <c r="Y124511" s="5"/>
      <c r="AB124511" s="5"/>
      <c r="AE124511" s="5"/>
      <c r="AH124511" s="5"/>
      <c r="AK124511" s="5"/>
    </row>
    <row r="124521" spans="25:37" x14ac:dyDescent="0.2">
      <c r="Y124521" s="251"/>
      <c r="AB124521" s="251"/>
      <c r="AE124521" s="251"/>
      <c r="AH124521" s="251"/>
      <c r="AK124521" s="251"/>
    </row>
    <row r="124636" spans="25:37" x14ac:dyDescent="0.2">
      <c r="Y124636" s="5"/>
      <c r="AB124636" s="5"/>
      <c r="AE124636" s="5"/>
      <c r="AH124636" s="5"/>
      <c r="AK124636" s="5"/>
    </row>
    <row r="124646" spans="25:37" x14ac:dyDescent="0.2">
      <c r="Y124646" s="251"/>
      <c r="AB124646" s="251"/>
      <c r="AE124646" s="251"/>
      <c r="AH124646" s="251"/>
      <c r="AK124646" s="251"/>
    </row>
    <row r="124761" spans="25:37" x14ac:dyDescent="0.2">
      <c r="Y124761" s="5"/>
      <c r="AB124761" s="5"/>
      <c r="AE124761" s="5"/>
      <c r="AH124761" s="5"/>
      <c r="AK124761" s="5"/>
    </row>
    <row r="124771" spans="25:37" x14ac:dyDescent="0.2">
      <c r="Y124771" s="251"/>
      <c r="AB124771" s="251"/>
      <c r="AE124771" s="251"/>
      <c r="AH124771" s="251"/>
      <c r="AK124771" s="251"/>
    </row>
    <row r="124886" spans="25:37" x14ac:dyDescent="0.2">
      <c r="Y124886" s="5"/>
      <c r="AB124886" s="5"/>
      <c r="AE124886" s="5"/>
      <c r="AH124886" s="5"/>
      <c r="AK124886" s="5"/>
    </row>
    <row r="124896" spans="25:37" x14ac:dyDescent="0.2">
      <c r="Y124896" s="251"/>
      <c r="AB124896" s="251"/>
      <c r="AE124896" s="251"/>
      <c r="AH124896" s="251"/>
      <c r="AK124896" s="251"/>
    </row>
    <row r="125011" spans="25:37" x14ac:dyDescent="0.2">
      <c r="Y125011" s="5"/>
      <c r="AB125011" s="5"/>
      <c r="AE125011" s="5"/>
      <c r="AH125011" s="5"/>
      <c r="AK125011" s="5"/>
    </row>
    <row r="125021" spans="25:37" x14ac:dyDescent="0.2">
      <c r="Y125021" s="251"/>
      <c r="AB125021" s="251"/>
      <c r="AE125021" s="251"/>
      <c r="AH125021" s="251"/>
      <c r="AK125021" s="251"/>
    </row>
    <row r="125136" spans="25:37" x14ac:dyDescent="0.2">
      <c r="Y125136" s="5"/>
      <c r="AB125136" s="5"/>
      <c r="AE125136" s="5"/>
      <c r="AH125136" s="5"/>
      <c r="AK125136" s="5"/>
    </row>
    <row r="125146" spans="25:37" x14ac:dyDescent="0.2">
      <c r="Y125146" s="251"/>
      <c r="AB125146" s="251"/>
      <c r="AE125146" s="251"/>
      <c r="AH125146" s="251"/>
      <c r="AK125146" s="251"/>
    </row>
    <row r="125261" spans="25:37" x14ac:dyDescent="0.2">
      <c r="Y125261" s="5"/>
      <c r="AB125261" s="5"/>
      <c r="AE125261" s="5"/>
      <c r="AH125261" s="5"/>
      <c r="AK125261" s="5"/>
    </row>
    <row r="125271" spans="25:37" x14ac:dyDescent="0.2">
      <c r="Y125271" s="251"/>
      <c r="AB125271" s="251"/>
      <c r="AE125271" s="251"/>
      <c r="AH125271" s="251"/>
      <c r="AK125271" s="251"/>
    </row>
    <row r="125386" spans="25:37" x14ac:dyDescent="0.2">
      <c r="Y125386" s="5"/>
      <c r="AB125386" s="5"/>
      <c r="AE125386" s="5"/>
      <c r="AH125386" s="5"/>
      <c r="AK125386" s="5"/>
    </row>
    <row r="125396" spans="25:37" x14ac:dyDescent="0.2">
      <c r="Y125396" s="251"/>
      <c r="AB125396" s="251"/>
      <c r="AE125396" s="251"/>
      <c r="AH125396" s="251"/>
      <c r="AK125396" s="251"/>
    </row>
    <row r="125511" spans="25:37" x14ac:dyDescent="0.2">
      <c r="Y125511" s="5"/>
      <c r="AB125511" s="5"/>
      <c r="AE125511" s="5"/>
      <c r="AH125511" s="5"/>
      <c r="AK125511" s="5"/>
    </row>
    <row r="125521" spans="25:37" x14ac:dyDescent="0.2">
      <c r="Y125521" s="251"/>
      <c r="AB125521" s="251"/>
      <c r="AE125521" s="251"/>
      <c r="AH125521" s="251"/>
      <c r="AK125521" s="251"/>
    </row>
    <row r="125636" spans="25:37" x14ac:dyDescent="0.2">
      <c r="Y125636" s="5"/>
      <c r="AB125636" s="5"/>
      <c r="AE125636" s="5"/>
      <c r="AH125636" s="5"/>
      <c r="AK125636" s="5"/>
    </row>
    <row r="125646" spans="25:37" x14ac:dyDescent="0.2">
      <c r="Y125646" s="251"/>
      <c r="AB125646" s="251"/>
      <c r="AE125646" s="251"/>
      <c r="AH125646" s="251"/>
      <c r="AK125646" s="251"/>
    </row>
    <row r="125761" spans="25:37" x14ac:dyDescent="0.2">
      <c r="Y125761" s="5"/>
      <c r="AB125761" s="5"/>
      <c r="AE125761" s="5"/>
      <c r="AH125761" s="5"/>
      <c r="AK125761" s="5"/>
    </row>
    <row r="125771" spans="25:37" x14ac:dyDescent="0.2">
      <c r="Y125771" s="251"/>
      <c r="AB125771" s="251"/>
      <c r="AE125771" s="251"/>
      <c r="AH125771" s="251"/>
      <c r="AK125771" s="251"/>
    </row>
    <row r="125886" spans="25:37" x14ac:dyDescent="0.2">
      <c r="Y125886" s="5"/>
      <c r="AB125886" s="5"/>
      <c r="AE125886" s="5"/>
      <c r="AH125886" s="5"/>
      <c r="AK125886" s="5"/>
    </row>
    <row r="125896" spans="25:37" x14ac:dyDescent="0.2">
      <c r="Y125896" s="251"/>
      <c r="AB125896" s="251"/>
      <c r="AE125896" s="251"/>
      <c r="AH125896" s="251"/>
      <c r="AK125896" s="251"/>
    </row>
    <row r="126011" spans="25:37" x14ac:dyDescent="0.2">
      <c r="Y126011" s="5"/>
      <c r="AB126011" s="5"/>
      <c r="AE126011" s="5"/>
      <c r="AH126011" s="5"/>
      <c r="AK126011" s="5"/>
    </row>
    <row r="126021" spans="25:37" x14ac:dyDescent="0.2">
      <c r="Y126021" s="251"/>
      <c r="AB126021" s="251"/>
      <c r="AE126021" s="251"/>
      <c r="AH126021" s="251"/>
      <c r="AK126021" s="251"/>
    </row>
    <row r="126136" spans="25:37" x14ac:dyDescent="0.2">
      <c r="Y126136" s="5"/>
      <c r="AB126136" s="5"/>
      <c r="AE126136" s="5"/>
      <c r="AH126136" s="5"/>
      <c r="AK126136" s="5"/>
    </row>
    <row r="126146" spans="25:37" x14ac:dyDescent="0.2">
      <c r="Y126146" s="251"/>
      <c r="AB126146" s="251"/>
      <c r="AE126146" s="251"/>
      <c r="AH126146" s="251"/>
      <c r="AK126146" s="251"/>
    </row>
    <row r="126261" spans="25:37" x14ac:dyDescent="0.2">
      <c r="Y126261" s="5"/>
      <c r="AB126261" s="5"/>
      <c r="AE126261" s="5"/>
      <c r="AH126261" s="5"/>
      <c r="AK126261" s="5"/>
    </row>
    <row r="126271" spans="25:37" x14ac:dyDescent="0.2">
      <c r="Y126271" s="251"/>
      <c r="AB126271" s="251"/>
      <c r="AE126271" s="251"/>
      <c r="AH126271" s="251"/>
      <c r="AK126271" s="251"/>
    </row>
    <row r="126386" spans="25:37" x14ac:dyDescent="0.2">
      <c r="Y126386" s="5"/>
      <c r="AB126386" s="5"/>
      <c r="AE126386" s="5"/>
      <c r="AH126386" s="5"/>
      <c r="AK126386" s="5"/>
    </row>
    <row r="126396" spans="25:37" x14ac:dyDescent="0.2">
      <c r="Y126396" s="251"/>
      <c r="AB126396" s="251"/>
      <c r="AE126396" s="251"/>
      <c r="AH126396" s="251"/>
      <c r="AK126396" s="251"/>
    </row>
    <row r="126511" spans="25:37" x14ac:dyDescent="0.2">
      <c r="Y126511" s="5"/>
      <c r="AB126511" s="5"/>
      <c r="AE126511" s="5"/>
      <c r="AH126511" s="5"/>
      <c r="AK126511" s="5"/>
    </row>
    <row r="126521" spans="25:37" x14ac:dyDescent="0.2">
      <c r="Y126521" s="251"/>
      <c r="AB126521" s="251"/>
      <c r="AE126521" s="251"/>
      <c r="AH126521" s="251"/>
      <c r="AK126521" s="251"/>
    </row>
    <row r="126636" spans="25:37" x14ac:dyDescent="0.2">
      <c r="Y126636" s="5"/>
      <c r="AB126636" s="5"/>
      <c r="AE126636" s="5"/>
      <c r="AH126636" s="5"/>
      <c r="AK126636" s="5"/>
    </row>
    <row r="126646" spans="25:37" x14ac:dyDescent="0.2">
      <c r="Y126646" s="251"/>
      <c r="AB126646" s="251"/>
      <c r="AE126646" s="251"/>
      <c r="AH126646" s="251"/>
      <c r="AK126646" s="251"/>
    </row>
    <row r="126761" spans="25:37" x14ac:dyDescent="0.2">
      <c r="Y126761" s="5"/>
      <c r="AB126761" s="5"/>
      <c r="AE126761" s="5"/>
      <c r="AH126761" s="5"/>
      <c r="AK126761" s="5"/>
    </row>
    <row r="126771" spans="25:37" x14ac:dyDescent="0.2">
      <c r="Y126771" s="251"/>
      <c r="AB126771" s="251"/>
      <c r="AE126771" s="251"/>
      <c r="AH126771" s="251"/>
      <c r="AK126771" s="251"/>
    </row>
    <row r="126886" spans="25:37" x14ac:dyDescent="0.2">
      <c r="Y126886" s="5"/>
      <c r="AB126886" s="5"/>
      <c r="AE126886" s="5"/>
      <c r="AH126886" s="5"/>
      <c r="AK126886" s="5"/>
    </row>
    <row r="126896" spans="25:37" x14ac:dyDescent="0.2">
      <c r="Y126896" s="251"/>
      <c r="AB126896" s="251"/>
      <c r="AE126896" s="251"/>
      <c r="AH126896" s="251"/>
      <c r="AK126896" s="251"/>
    </row>
    <row r="127011" spans="25:37" x14ac:dyDescent="0.2">
      <c r="Y127011" s="5"/>
      <c r="AB127011" s="5"/>
      <c r="AE127011" s="5"/>
      <c r="AH127011" s="5"/>
      <c r="AK127011" s="5"/>
    </row>
    <row r="127021" spans="25:37" x14ac:dyDescent="0.2">
      <c r="Y127021" s="251"/>
      <c r="AB127021" s="251"/>
      <c r="AE127021" s="251"/>
      <c r="AH127021" s="251"/>
      <c r="AK127021" s="251"/>
    </row>
    <row r="127136" spans="25:37" x14ac:dyDescent="0.2">
      <c r="Y127136" s="5"/>
      <c r="AB127136" s="5"/>
      <c r="AE127136" s="5"/>
      <c r="AH127136" s="5"/>
      <c r="AK127136" s="5"/>
    </row>
    <row r="127146" spans="25:37" x14ac:dyDescent="0.2">
      <c r="Y127146" s="251"/>
      <c r="AB127146" s="251"/>
      <c r="AE127146" s="251"/>
      <c r="AH127146" s="251"/>
      <c r="AK127146" s="251"/>
    </row>
    <row r="127261" spans="25:37" x14ac:dyDescent="0.2">
      <c r="Y127261" s="5"/>
      <c r="AB127261" s="5"/>
      <c r="AE127261" s="5"/>
      <c r="AH127261" s="5"/>
      <c r="AK127261" s="5"/>
    </row>
    <row r="127271" spans="25:37" x14ac:dyDescent="0.2">
      <c r="Y127271" s="251"/>
      <c r="AB127271" s="251"/>
      <c r="AE127271" s="251"/>
      <c r="AH127271" s="251"/>
      <c r="AK127271" s="251"/>
    </row>
    <row r="127386" spans="25:37" x14ac:dyDescent="0.2">
      <c r="Y127386" s="5"/>
      <c r="AB127386" s="5"/>
      <c r="AE127386" s="5"/>
      <c r="AH127386" s="5"/>
      <c r="AK127386" s="5"/>
    </row>
    <row r="127396" spans="25:37" x14ac:dyDescent="0.2">
      <c r="Y127396" s="251"/>
      <c r="AB127396" s="251"/>
      <c r="AE127396" s="251"/>
      <c r="AH127396" s="251"/>
      <c r="AK127396" s="251"/>
    </row>
    <row r="127511" spans="25:37" x14ac:dyDescent="0.2">
      <c r="Y127511" s="5"/>
      <c r="AB127511" s="5"/>
      <c r="AE127511" s="5"/>
      <c r="AH127511" s="5"/>
      <c r="AK127511" s="5"/>
    </row>
    <row r="127521" spans="25:37" x14ac:dyDescent="0.2">
      <c r="Y127521" s="251"/>
      <c r="AB127521" s="251"/>
      <c r="AE127521" s="251"/>
      <c r="AH127521" s="251"/>
      <c r="AK127521" s="251"/>
    </row>
    <row r="127636" spans="25:37" x14ac:dyDescent="0.2">
      <c r="Y127636" s="5"/>
      <c r="AB127636" s="5"/>
      <c r="AE127636" s="5"/>
      <c r="AH127636" s="5"/>
      <c r="AK127636" s="5"/>
    </row>
    <row r="127646" spans="25:37" x14ac:dyDescent="0.2">
      <c r="Y127646" s="251"/>
      <c r="AB127646" s="251"/>
      <c r="AE127646" s="251"/>
      <c r="AH127646" s="251"/>
      <c r="AK127646" s="251"/>
    </row>
    <row r="127761" spans="25:37" x14ac:dyDescent="0.2">
      <c r="Y127761" s="5"/>
      <c r="AB127761" s="5"/>
      <c r="AE127761" s="5"/>
      <c r="AH127761" s="5"/>
      <c r="AK127761" s="5"/>
    </row>
    <row r="127771" spans="25:37" x14ac:dyDescent="0.2">
      <c r="Y127771" s="251"/>
      <c r="AB127771" s="251"/>
      <c r="AE127771" s="251"/>
      <c r="AH127771" s="251"/>
      <c r="AK127771" s="251"/>
    </row>
    <row r="127886" spans="25:37" x14ac:dyDescent="0.2">
      <c r="Y127886" s="5"/>
      <c r="AB127886" s="5"/>
      <c r="AE127886" s="5"/>
      <c r="AH127886" s="5"/>
      <c r="AK127886" s="5"/>
    </row>
    <row r="127896" spans="25:37" x14ac:dyDescent="0.2">
      <c r="Y127896" s="251"/>
      <c r="AB127896" s="251"/>
      <c r="AE127896" s="251"/>
      <c r="AH127896" s="251"/>
      <c r="AK127896" s="251"/>
    </row>
    <row r="128011" spans="25:37" x14ac:dyDescent="0.2">
      <c r="Y128011" s="5"/>
      <c r="AB128011" s="5"/>
      <c r="AE128011" s="5"/>
      <c r="AH128011" s="5"/>
      <c r="AK128011" s="5"/>
    </row>
    <row r="128021" spans="25:37" x14ac:dyDescent="0.2">
      <c r="Y128021" s="251"/>
      <c r="AB128021" s="251"/>
      <c r="AE128021" s="251"/>
      <c r="AH128021" s="251"/>
      <c r="AK128021" s="251"/>
    </row>
    <row r="128136" spans="25:37" x14ac:dyDescent="0.2">
      <c r="Y128136" s="5"/>
      <c r="AB128136" s="5"/>
      <c r="AE128136" s="5"/>
      <c r="AH128136" s="5"/>
      <c r="AK128136" s="5"/>
    </row>
    <row r="128146" spans="25:37" x14ac:dyDescent="0.2">
      <c r="Y128146" s="251"/>
      <c r="AB128146" s="251"/>
      <c r="AE128146" s="251"/>
      <c r="AH128146" s="251"/>
      <c r="AK128146" s="251"/>
    </row>
    <row r="128261" spans="25:37" x14ac:dyDescent="0.2">
      <c r="Y128261" s="5"/>
      <c r="AB128261" s="5"/>
      <c r="AE128261" s="5"/>
      <c r="AH128261" s="5"/>
      <c r="AK128261" s="5"/>
    </row>
    <row r="128271" spans="25:37" x14ac:dyDescent="0.2">
      <c r="Y128271" s="251"/>
      <c r="AB128271" s="251"/>
      <c r="AE128271" s="251"/>
      <c r="AH128271" s="251"/>
      <c r="AK128271" s="251"/>
    </row>
    <row r="128386" spans="25:37" x14ac:dyDescent="0.2">
      <c r="Y128386" s="5"/>
      <c r="AB128386" s="5"/>
      <c r="AE128386" s="5"/>
      <c r="AH128386" s="5"/>
      <c r="AK128386" s="5"/>
    </row>
    <row r="128396" spans="25:37" x14ac:dyDescent="0.2">
      <c r="Y128396" s="251"/>
      <c r="AB128396" s="251"/>
      <c r="AE128396" s="251"/>
      <c r="AH128396" s="251"/>
      <c r="AK128396" s="251"/>
    </row>
    <row r="128511" spans="25:37" x14ac:dyDescent="0.2">
      <c r="Y128511" s="5"/>
      <c r="AB128511" s="5"/>
      <c r="AE128511" s="5"/>
      <c r="AH128511" s="5"/>
      <c r="AK128511" s="5"/>
    </row>
    <row r="128521" spans="25:37" x14ac:dyDescent="0.2">
      <c r="Y128521" s="251"/>
      <c r="AB128521" s="251"/>
      <c r="AE128521" s="251"/>
      <c r="AH128521" s="251"/>
      <c r="AK128521" s="251"/>
    </row>
    <row r="128636" spans="25:37" x14ac:dyDescent="0.2">
      <c r="Y128636" s="5"/>
      <c r="AB128636" s="5"/>
      <c r="AE128636" s="5"/>
      <c r="AH128636" s="5"/>
      <c r="AK128636" s="5"/>
    </row>
    <row r="128646" spans="25:37" x14ac:dyDescent="0.2">
      <c r="Y128646" s="251"/>
      <c r="AB128646" s="251"/>
      <c r="AE128646" s="251"/>
      <c r="AH128646" s="251"/>
      <c r="AK128646" s="251"/>
    </row>
    <row r="128761" spans="25:37" x14ac:dyDescent="0.2">
      <c r="Y128761" s="5"/>
      <c r="AB128761" s="5"/>
      <c r="AE128761" s="5"/>
      <c r="AH128761" s="5"/>
      <c r="AK128761" s="5"/>
    </row>
    <row r="128771" spans="25:37" x14ac:dyDescent="0.2">
      <c r="Y128771" s="251"/>
      <c r="AB128771" s="251"/>
      <c r="AE128771" s="251"/>
      <c r="AH128771" s="251"/>
      <c r="AK128771" s="251"/>
    </row>
    <row r="128886" spans="25:37" x14ac:dyDescent="0.2">
      <c r="Y128886" s="5"/>
      <c r="AB128886" s="5"/>
      <c r="AE128886" s="5"/>
      <c r="AH128886" s="5"/>
      <c r="AK128886" s="5"/>
    </row>
    <row r="128896" spans="25:37" x14ac:dyDescent="0.2">
      <c r="Y128896" s="251"/>
      <c r="AB128896" s="251"/>
      <c r="AE128896" s="251"/>
      <c r="AH128896" s="251"/>
      <c r="AK128896" s="251"/>
    </row>
    <row r="129011" spans="25:37" x14ac:dyDescent="0.2">
      <c r="Y129011" s="5"/>
      <c r="AB129011" s="5"/>
      <c r="AE129011" s="5"/>
      <c r="AH129011" s="5"/>
      <c r="AK129011" s="5"/>
    </row>
    <row r="129021" spans="25:37" x14ac:dyDescent="0.2">
      <c r="Y129021" s="251"/>
      <c r="AB129021" s="251"/>
      <c r="AE129021" s="251"/>
      <c r="AH129021" s="251"/>
      <c r="AK129021" s="251"/>
    </row>
    <row r="129136" spans="25:37" x14ac:dyDescent="0.2">
      <c r="Y129136" s="5"/>
      <c r="AB129136" s="5"/>
      <c r="AE129136" s="5"/>
      <c r="AH129136" s="5"/>
      <c r="AK129136" s="5"/>
    </row>
    <row r="129146" spans="25:37" x14ac:dyDescent="0.2">
      <c r="Y129146" s="251"/>
      <c r="AB129146" s="251"/>
      <c r="AE129146" s="251"/>
      <c r="AH129146" s="251"/>
      <c r="AK129146" s="251"/>
    </row>
    <row r="129261" spans="25:37" x14ac:dyDescent="0.2">
      <c r="Y129261" s="5"/>
      <c r="AB129261" s="5"/>
      <c r="AE129261" s="5"/>
      <c r="AH129261" s="5"/>
      <c r="AK129261" s="5"/>
    </row>
    <row r="129271" spans="25:37" x14ac:dyDescent="0.2">
      <c r="Y129271" s="251"/>
      <c r="AB129271" s="251"/>
      <c r="AE129271" s="251"/>
      <c r="AH129271" s="251"/>
      <c r="AK129271" s="251"/>
    </row>
    <row r="129386" spans="25:37" x14ac:dyDescent="0.2">
      <c r="Y129386" s="5"/>
      <c r="AB129386" s="5"/>
      <c r="AE129386" s="5"/>
      <c r="AH129386" s="5"/>
      <c r="AK129386" s="5"/>
    </row>
    <row r="129396" spans="25:37" x14ac:dyDescent="0.2">
      <c r="Y129396" s="251"/>
      <c r="AB129396" s="251"/>
      <c r="AE129396" s="251"/>
      <c r="AH129396" s="251"/>
      <c r="AK129396" s="251"/>
    </row>
    <row r="129511" spans="25:37" x14ac:dyDescent="0.2">
      <c r="Y129511" s="5"/>
      <c r="AB129511" s="5"/>
      <c r="AE129511" s="5"/>
      <c r="AH129511" s="5"/>
      <c r="AK129511" s="5"/>
    </row>
    <row r="129521" spans="25:37" x14ac:dyDescent="0.2">
      <c r="Y129521" s="251"/>
      <c r="AB129521" s="251"/>
      <c r="AE129521" s="251"/>
      <c r="AH129521" s="251"/>
      <c r="AK129521" s="251"/>
    </row>
    <row r="129636" spans="25:37" x14ac:dyDescent="0.2">
      <c r="Y129636" s="5"/>
      <c r="AB129636" s="5"/>
      <c r="AE129636" s="5"/>
      <c r="AH129636" s="5"/>
      <c r="AK129636" s="5"/>
    </row>
    <row r="129646" spans="25:37" x14ac:dyDescent="0.2">
      <c r="Y129646" s="251"/>
      <c r="AB129646" s="251"/>
      <c r="AE129646" s="251"/>
      <c r="AH129646" s="251"/>
      <c r="AK129646" s="251"/>
    </row>
    <row r="129761" spans="25:37" x14ac:dyDescent="0.2">
      <c r="Y129761" s="5"/>
      <c r="AB129761" s="5"/>
      <c r="AE129761" s="5"/>
      <c r="AH129761" s="5"/>
      <c r="AK129761" s="5"/>
    </row>
    <row r="129771" spans="25:37" x14ac:dyDescent="0.2">
      <c r="Y129771" s="251"/>
      <c r="AB129771" s="251"/>
      <c r="AE129771" s="251"/>
      <c r="AH129771" s="251"/>
      <c r="AK129771" s="251"/>
    </row>
    <row r="129886" spans="25:37" x14ac:dyDescent="0.2">
      <c r="Y129886" s="5"/>
      <c r="AB129886" s="5"/>
      <c r="AE129886" s="5"/>
      <c r="AH129886" s="5"/>
      <c r="AK129886" s="5"/>
    </row>
    <row r="129896" spans="25:37" x14ac:dyDescent="0.2">
      <c r="Y129896" s="251"/>
      <c r="AB129896" s="251"/>
      <c r="AE129896" s="251"/>
      <c r="AH129896" s="251"/>
      <c r="AK129896" s="251"/>
    </row>
    <row r="130011" spans="25:37" x14ac:dyDescent="0.2">
      <c r="Y130011" s="5"/>
      <c r="AB130011" s="5"/>
      <c r="AE130011" s="5"/>
      <c r="AH130011" s="5"/>
      <c r="AK130011" s="5"/>
    </row>
    <row r="130021" spans="25:37" x14ac:dyDescent="0.2">
      <c r="Y130021" s="251"/>
      <c r="AB130021" s="251"/>
      <c r="AE130021" s="251"/>
      <c r="AH130021" s="251"/>
      <c r="AK130021" s="251"/>
    </row>
    <row r="130136" spans="25:37" x14ac:dyDescent="0.2">
      <c r="Y130136" s="5"/>
      <c r="AB130136" s="5"/>
      <c r="AE130136" s="5"/>
      <c r="AH130136" s="5"/>
      <c r="AK130136" s="5"/>
    </row>
    <row r="130146" spans="25:37" x14ac:dyDescent="0.2">
      <c r="Y130146" s="251"/>
      <c r="AB130146" s="251"/>
      <c r="AE130146" s="251"/>
      <c r="AH130146" s="251"/>
      <c r="AK130146" s="251"/>
    </row>
    <row r="130261" spans="25:37" x14ac:dyDescent="0.2">
      <c r="Y130261" s="5"/>
      <c r="AB130261" s="5"/>
      <c r="AE130261" s="5"/>
      <c r="AH130261" s="5"/>
      <c r="AK130261" s="5"/>
    </row>
    <row r="130271" spans="25:37" x14ac:dyDescent="0.2">
      <c r="Y130271" s="251"/>
      <c r="AB130271" s="251"/>
      <c r="AE130271" s="251"/>
      <c r="AH130271" s="251"/>
      <c r="AK130271" s="251"/>
    </row>
    <row r="130386" spans="25:37" x14ac:dyDescent="0.2">
      <c r="Y130386" s="5"/>
      <c r="AB130386" s="5"/>
      <c r="AE130386" s="5"/>
      <c r="AH130386" s="5"/>
      <c r="AK130386" s="5"/>
    </row>
    <row r="130396" spans="25:37" x14ac:dyDescent="0.2">
      <c r="Y130396" s="251"/>
      <c r="AB130396" s="251"/>
      <c r="AE130396" s="251"/>
      <c r="AH130396" s="251"/>
      <c r="AK130396" s="251"/>
    </row>
    <row r="130511" spans="25:37" x14ac:dyDescent="0.2">
      <c r="Y130511" s="5"/>
      <c r="AB130511" s="5"/>
      <c r="AE130511" s="5"/>
      <c r="AH130511" s="5"/>
      <c r="AK130511" s="5"/>
    </row>
    <row r="130521" spans="25:37" x14ac:dyDescent="0.2">
      <c r="Y130521" s="251"/>
      <c r="AB130521" s="251"/>
      <c r="AE130521" s="251"/>
      <c r="AH130521" s="251"/>
      <c r="AK130521" s="251"/>
    </row>
    <row r="130636" spans="25:37" x14ac:dyDescent="0.2">
      <c r="Y130636" s="5"/>
      <c r="AB130636" s="5"/>
      <c r="AE130636" s="5"/>
      <c r="AH130636" s="5"/>
      <c r="AK130636" s="5"/>
    </row>
    <row r="130646" spans="25:37" x14ac:dyDescent="0.2">
      <c r="Y130646" s="251"/>
      <c r="AB130646" s="251"/>
      <c r="AE130646" s="251"/>
      <c r="AH130646" s="251"/>
      <c r="AK130646" s="251"/>
    </row>
    <row r="130761" spans="25:37" x14ac:dyDescent="0.2">
      <c r="Y130761" s="5"/>
      <c r="AB130761" s="5"/>
      <c r="AE130761" s="5"/>
      <c r="AH130761" s="5"/>
      <c r="AK130761" s="5"/>
    </row>
    <row r="130771" spans="25:37" x14ac:dyDescent="0.2">
      <c r="Y130771" s="251"/>
      <c r="AB130771" s="251"/>
      <c r="AE130771" s="251"/>
      <c r="AH130771" s="251"/>
      <c r="AK130771" s="251"/>
    </row>
    <row r="130886" spans="25:37" x14ac:dyDescent="0.2">
      <c r="Y130886" s="5"/>
      <c r="AB130886" s="5"/>
      <c r="AE130886" s="5"/>
      <c r="AH130886" s="5"/>
      <c r="AK130886" s="5"/>
    </row>
    <row r="130896" spans="25:37" x14ac:dyDescent="0.2">
      <c r="Y130896" s="251"/>
      <c r="AB130896" s="251"/>
      <c r="AE130896" s="251"/>
      <c r="AH130896" s="251"/>
      <c r="AK130896" s="251"/>
    </row>
    <row r="131011" spans="25:37" x14ac:dyDescent="0.2">
      <c r="Y131011" s="5"/>
      <c r="AB131011" s="5"/>
      <c r="AE131011" s="5"/>
      <c r="AH131011" s="5"/>
      <c r="AK131011" s="5"/>
    </row>
    <row r="131021" spans="25:37" x14ac:dyDescent="0.2">
      <c r="Y131021" s="251"/>
      <c r="AB131021" s="251"/>
      <c r="AE131021" s="251"/>
      <c r="AH131021" s="251"/>
      <c r="AK131021" s="251"/>
    </row>
    <row r="131136" spans="25:37" x14ac:dyDescent="0.2">
      <c r="Y131136" s="5"/>
      <c r="AB131136" s="5"/>
      <c r="AE131136" s="5"/>
      <c r="AH131136" s="5"/>
      <c r="AK131136" s="5"/>
    </row>
    <row r="131146" spans="25:37" x14ac:dyDescent="0.2">
      <c r="Y131146" s="251"/>
      <c r="AB131146" s="251"/>
      <c r="AE131146" s="251"/>
      <c r="AH131146" s="251"/>
      <c r="AK131146" s="251"/>
    </row>
    <row r="131261" spans="25:37" x14ac:dyDescent="0.2">
      <c r="Y131261" s="5"/>
      <c r="AB131261" s="5"/>
      <c r="AE131261" s="5"/>
      <c r="AH131261" s="5"/>
      <c r="AK131261" s="5"/>
    </row>
    <row r="131271" spans="25:37" x14ac:dyDescent="0.2">
      <c r="Y131271" s="251"/>
      <c r="AB131271" s="251"/>
      <c r="AE131271" s="251"/>
      <c r="AH131271" s="251"/>
      <c r="AK131271" s="251"/>
    </row>
    <row r="131386" spans="25:37" x14ac:dyDescent="0.2">
      <c r="Y131386" s="5"/>
      <c r="AB131386" s="5"/>
      <c r="AE131386" s="5"/>
      <c r="AH131386" s="5"/>
      <c r="AK131386" s="5"/>
    </row>
    <row r="131396" spans="25:37" x14ac:dyDescent="0.2">
      <c r="Y131396" s="251"/>
      <c r="AB131396" s="251"/>
      <c r="AE131396" s="251"/>
      <c r="AH131396" s="251"/>
      <c r="AK131396" s="251"/>
    </row>
    <row r="131511" spans="25:37" x14ac:dyDescent="0.2">
      <c r="Y131511" s="5"/>
      <c r="AB131511" s="5"/>
      <c r="AE131511" s="5"/>
      <c r="AH131511" s="5"/>
      <c r="AK131511" s="5"/>
    </row>
    <row r="131521" spans="25:37" x14ac:dyDescent="0.2">
      <c r="Y131521" s="251"/>
      <c r="AB131521" s="251"/>
      <c r="AE131521" s="251"/>
      <c r="AH131521" s="251"/>
      <c r="AK131521" s="251"/>
    </row>
    <row r="131636" spans="25:37" x14ac:dyDescent="0.2">
      <c r="Y131636" s="5"/>
      <c r="AB131636" s="5"/>
      <c r="AE131636" s="5"/>
      <c r="AH131636" s="5"/>
      <c r="AK131636" s="5"/>
    </row>
    <row r="131646" spans="25:37" x14ac:dyDescent="0.2">
      <c r="Y131646" s="251"/>
      <c r="AB131646" s="251"/>
      <c r="AE131646" s="251"/>
      <c r="AH131646" s="251"/>
      <c r="AK131646" s="251"/>
    </row>
    <row r="131761" spans="25:37" x14ac:dyDescent="0.2">
      <c r="Y131761" s="5"/>
      <c r="AB131761" s="5"/>
      <c r="AE131761" s="5"/>
      <c r="AH131761" s="5"/>
      <c r="AK131761" s="5"/>
    </row>
    <row r="131771" spans="25:37" x14ac:dyDescent="0.2">
      <c r="Y131771" s="251"/>
      <c r="AB131771" s="251"/>
      <c r="AE131771" s="251"/>
      <c r="AH131771" s="251"/>
      <c r="AK131771" s="251"/>
    </row>
    <row r="131886" spans="25:37" x14ac:dyDescent="0.2">
      <c r="Y131886" s="5"/>
      <c r="AB131886" s="5"/>
      <c r="AE131886" s="5"/>
      <c r="AH131886" s="5"/>
      <c r="AK131886" s="5"/>
    </row>
    <row r="131896" spans="25:37" x14ac:dyDescent="0.2">
      <c r="Y131896" s="251"/>
      <c r="AB131896" s="251"/>
      <c r="AE131896" s="251"/>
      <c r="AH131896" s="251"/>
      <c r="AK131896" s="251"/>
    </row>
    <row r="132011" spans="25:37" x14ac:dyDescent="0.2">
      <c r="Y132011" s="5"/>
      <c r="AB132011" s="5"/>
      <c r="AE132011" s="5"/>
      <c r="AH132011" s="5"/>
      <c r="AK132011" s="5"/>
    </row>
    <row r="132021" spans="25:37" x14ac:dyDescent="0.2">
      <c r="Y132021" s="251"/>
      <c r="AB132021" s="251"/>
      <c r="AE132021" s="251"/>
      <c r="AH132021" s="251"/>
      <c r="AK132021" s="251"/>
    </row>
    <row r="132136" spans="25:37" x14ac:dyDescent="0.2">
      <c r="Y132136" s="5"/>
      <c r="AB132136" s="5"/>
      <c r="AE132136" s="5"/>
      <c r="AH132136" s="5"/>
      <c r="AK132136" s="5"/>
    </row>
    <row r="132146" spans="25:37" x14ac:dyDescent="0.2">
      <c r="Y132146" s="251"/>
      <c r="AB132146" s="251"/>
      <c r="AE132146" s="251"/>
      <c r="AH132146" s="251"/>
      <c r="AK132146" s="251"/>
    </row>
    <row r="132261" spans="25:37" x14ac:dyDescent="0.2">
      <c r="Y132261" s="5"/>
      <c r="AB132261" s="5"/>
      <c r="AE132261" s="5"/>
      <c r="AH132261" s="5"/>
      <c r="AK132261" s="5"/>
    </row>
    <row r="132271" spans="25:37" x14ac:dyDescent="0.2">
      <c r="Y132271" s="251"/>
      <c r="AB132271" s="251"/>
      <c r="AE132271" s="251"/>
      <c r="AH132271" s="251"/>
      <c r="AK132271" s="251"/>
    </row>
    <row r="132386" spans="25:37" x14ac:dyDescent="0.2">
      <c r="Y132386" s="5"/>
      <c r="AB132386" s="5"/>
      <c r="AE132386" s="5"/>
      <c r="AH132386" s="5"/>
      <c r="AK132386" s="5"/>
    </row>
    <row r="132396" spans="25:37" x14ac:dyDescent="0.2">
      <c r="Y132396" s="251"/>
      <c r="AB132396" s="251"/>
      <c r="AE132396" s="251"/>
      <c r="AH132396" s="251"/>
      <c r="AK132396" s="251"/>
    </row>
    <row r="132511" spans="25:37" x14ac:dyDescent="0.2">
      <c r="Y132511" s="5"/>
      <c r="AB132511" s="5"/>
      <c r="AE132511" s="5"/>
      <c r="AH132511" s="5"/>
      <c r="AK132511" s="5"/>
    </row>
    <row r="132521" spans="25:37" x14ac:dyDescent="0.2">
      <c r="Y132521" s="251"/>
      <c r="AB132521" s="251"/>
      <c r="AE132521" s="251"/>
      <c r="AH132521" s="251"/>
      <c r="AK132521" s="251"/>
    </row>
    <row r="132636" spans="25:37" x14ac:dyDescent="0.2">
      <c r="Y132636" s="5"/>
      <c r="AB132636" s="5"/>
      <c r="AE132636" s="5"/>
      <c r="AH132636" s="5"/>
      <c r="AK132636" s="5"/>
    </row>
    <row r="132646" spans="25:37" x14ac:dyDescent="0.2">
      <c r="Y132646" s="251"/>
      <c r="AB132646" s="251"/>
      <c r="AE132646" s="251"/>
      <c r="AH132646" s="251"/>
      <c r="AK132646" s="251"/>
    </row>
    <row r="132761" spans="25:37" x14ac:dyDescent="0.2">
      <c r="Y132761" s="5"/>
      <c r="AB132761" s="5"/>
      <c r="AE132761" s="5"/>
      <c r="AH132761" s="5"/>
      <c r="AK132761" s="5"/>
    </row>
    <row r="132771" spans="25:37" x14ac:dyDescent="0.2">
      <c r="Y132771" s="251"/>
      <c r="AB132771" s="251"/>
      <c r="AE132771" s="251"/>
      <c r="AH132771" s="251"/>
      <c r="AK132771" s="251"/>
    </row>
    <row r="132886" spans="25:37" x14ac:dyDescent="0.2">
      <c r="Y132886" s="5"/>
      <c r="AB132886" s="5"/>
      <c r="AE132886" s="5"/>
      <c r="AH132886" s="5"/>
      <c r="AK132886" s="5"/>
    </row>
    <row r="132896" spans="25:37" x14ac:dyDescent="0.2">
      <c r="Y132896" s="251"/>
      <c r="AB132896" s="251"/>
      <c r="AE132896" s="251"/>
      <c r="AH132896" s="251"/>
      <c r="AK132896" s="251"/>
    </row>
    <row r="133011" spans="25:37" x14ac:dyDescent="0.2">
      <c r="Y133011" s="5"/>
      <c r="AB133011" s="5"/>
      <c r="AE133011" s="5"/>
      <c r="AH133011" s="5"/>
      <c r="AK133011" s="5"/>
    </row>
    <row r="133021" spans="25:37" x14ac:dyDescent="0.2">
      <c r="Y133021" s="251"/>
      <c r="AB133021" s="251"/>
      <c r="AE133021" s="251"/>
      <c r="AH133021" s="251"/>
      <c r="AK133021" s="251"/>
    </row>
    <row r="133136" spans="25:37" x14ac:dyDescent="0.2">
      <c r="Y133136" s="5"/>
      <c r="AB133136" s="5"/>
      <c r="AE133136" s="5"/>
      <c r="AH133136" s="5"/>
      <c r="AK133136" s="5"/>
    </row>
    <row r="133146" spans="25:37" x14ac:dyDescent="0.2">
      <c r="Y133146" s="251"/>
      <c r="AB133146" s="251"/>
      <c r="AE133146" s="251"/>
      <c r="AH133146" s="251"/>
      <c r="AK133146" s="251"/>
    </row>
    <row r="133261" spans="25:37" x14ac:dyDescent="0.2">
      <c r="Y133261" s="5"/>
      <c r="AB133261" s="5"/>
      <c r="AE133261" s="5"/>
      <c r="AH133261" s="5"/>
      <c r="AK133261" s="5"/>
    </row>
    <row r="133271" spans="25:37" x14ac:dyDescent="0.2">
      <c r="Y133271" s="251"/>
      <c r="AB133271" s="251"/>
      <c r="AE133271" s="251"/>
      <c r="AH133271" s="251"/>
      <c r="AK133271" s="251"/>
    </row>
    <row r="133386" spans="25:37" x14ac:dyDescent="0.2">
      <c r="Y133386" s="5"/>
      <c r="AB133386" s="5"/>
      <c r="AE133386" s="5"/>
      <c r="AH133386" s="5"/>
      <c r="AK133386" s="5"/>
    </row>
    <row r="133396" spans="25:37" x14ac:dyDescent="0.2">
      <c r="Y133396" s="251"/>
      <c r="AB133396" s="251"/>
      <c r="AE133396" s="251"/>
      <c r="AH133396" s="251"/>
      <c r="AK133396" s="251"/>
    </row>
    <row r="133511" spans="25:37" x14ac:dyDescent="0.2">
      <c r="Y133511" s="5"/>
      <c r="AB133511" s="5"/>
      <c r="AE133511" s="5"/>
      <c r="AH133511" s="5"/>
      <c r="AK133511" s="5"/>
    </row>
    <row r="133521" spans="25:37" x14ac:dyDescent="0.2">
      <c r="Y133521" s="251"/>
      <c r="AB133521" s="251"/>
      <c r="AE133521" s="251"/>
      <c r="AH133521" s="251"/>
      <c r="AK133521" s="251"/>
    </row>
    <row r="133636" spans="25:37" x14ac:dyDescent="0.2">
      <c r="Y133636" s="5"/>
      <c r="AB133636" s="5"/>
      <c r="AE133636" s="5"/>
      <c r="AH133636" s="5"/>
      <c r="AK133636" s="5"/>
    </row>
    <row r="133646" spans="25:37" x14ac:dyDescent="0.2">
      <c r="Y133646" s="251"/>
      <c r="AB133646" s="251"/>
      <c r="AE133646" s="251"/>
      <c r="AH133646" s="251"/>
      <c r="AK133646" s="251"/>
    </row>
    <row r="133761" spans="25:37" x14ac:dyDescent="0.2">
      <c r="Y133761" s="5"/>
      <c r="AB133761" s="5"/>
      <c r="AE133761" s="5"/>
      <c r="AH133761" s="5"/>
      <c r="AK133761" s="5"/>
    </row>
    <row r="133771" spans="25:37" x14ac:dyDescent="0.2">
      <c r="Y133771" s="251"/>
      <c r="AB133771" s="251"/>
      <c r="AE133771" s="251"/>
      <c r="AH133771" s="251"/>
      <c r="AK133771" s="251"/>
    </row>
    <row r="133886" spans="25:37" x14ac:dyDescent="0.2">
      <c r="Y133886" s="5"/>
      <c r="AB133886" s="5"/>
      <c r="AE133886" s="5"/>
      <c r="AH133886" s="5"/>
      <c r="AK133886" s="5"/>
    </row>
    <row r="133896" spans="25:37" x14ac:dyDescent="0.2">
      <c r="Y133896" s="251"/>
      <c r="AB133896" s="251"/>
      <c r="AE133896" s="251"/>
      <c r="AH133896" s="251"/>
      <c r="AK133896" s="251"/>
    </row>
    <row r="134011" spans="25:37" x14ac:dyDescent="0.2">
      <c r="Y134011" s="5"/>
      <c r="AB134011" s="5"/>
      <c r="AE134011" s="5"/>
      <c r="AH134011" s="5"/>
      <c r="AK134011" s="5"/>
    </row>
    <row r="134021" spans="25:37" x14ac:dyDescent="0.2">
      <c r="Y134021" s="251"/>
      <c r="AB134021" s="251"/>
      <c r="AE134021" s="251"/>
      <c r="AH134021" s="251"/>
      <c r="AK134021" s="251"/>
    </row>
    <row r="134136" spans="25:37" x14ac:dyDescent="0.2">
      <c r="Y134136" s="5"/>
      <c r="AB134136" s="5"/>
      <c r="AE134136" s="5"/>
      <c r="AH134136" s="5"/>
      <c r="AK134136" s="5"/>
    </row>
    <row r="134146" spans="25:37" x14ac:dyDescent="0.2">
      <c r="Y134146" s="251"/>
      <c r="AB134146" s="251"/>
      <c r="AE134146" s="251"/>
      <c r="AH134146" s="251"/>
      <c r="AK134146" s="251"/>
    </row>
    <row r="134261" spans="25:37" x14ac:dyDescent="0.2">
      <c r="Y134261" s="5"/>
      <c r="AB134261" s="5"/>
      <c r="AE134261" s="5"/>
      <c r="AH134261" s="5"/>
      <c r="AK134261" s="5"/>
    </row>
    <row r="134271" spans="25:37" x14ac:dyDescent="0.2">
      <c r="Y134271" s="251"/>
      <c r="AB134271" s="251"/>
      <c r="AE134271" s="251"/>
      <c r="AH134271" s="251"/>
      <c r="AK134271" s="251"/>
    </row>
    <row r="134386" spans="25:37" x14ac:dyDescent="0.2">
      <c r="Y134386" s="5"/>
      <c r="AB134386" s="5"/>
      <c r="AE134386" s="5"/>
      <c r="AH134386" s="5"/>
      <c r="AK134386" s="5"/>
    </row>
    <row r="134396" spans="25:37" x14ac:dyDescent="0.2">
      <c r="Y134396" s="251"/>
      <c r="AB134396" s="251"/>
      <c r="AE134396" s="251"/>
      <c r="AH134396" s="251"/>
      <c r="AK134396" s="251"/>
    </row>
    <row r="134511" spans="25:37" x14ac:dyDescent="0.2">
      <c r="Y134511" s="5"/>
      <c r="AB134511" s="5"/>
      <c r="AE134511" s="5"/>
      <c r="AH134511" s="5"/>
      <c r="AK134511" s="5"/>
    </row>
    <row r="134521" spans="25:37" x14ac:dyDescent="0.2">
      <c r="Y134521" s="251"/>
      <c r="AB134521" s="251"/>
      <c r="AE134521" s="251"/>
      <c r="AH134521" s="251"/>
      <c r="AK134521" s="251"/>
    </row>
    <row r="134636" spans="25:37" x14ac:dyDescent="0.2">
      <c r="Y134636" s="5"/>
      <c r="AB134636" s="5"/>
      <c r="AE134636" s="5"/>
      <c r="AH134636" s="5"/>
      <c r="AK134636" s="5"/>
    </row>
    <row r="134646" spans="25:37" x14ac:dyDescent="0.2">
      <c r="Y134646" s="251"/>
      <c r="AB134646" s="251"/>
      <c r="AE134646" s="251"/>
      <c r="AH134646" s="251"/>
      <c r="AK134646" s="251"/>
    </row>
    <row r="134761" spans="25:37" x14ac:dyDescent="0.2">
      <c r="Y134761" s="5"/>
      <c r="AB134761" s="5"/>
      <c r="AE134761" s="5"/>
      <c r="AH134761" s="5"/>
      <c r="AK134761" s="5"/>
    </row>
    <row r="134771" spans="25:37" x14ac:dyDescent="0.2">
      <c r="Y134771" s="251"/>
      <c r="AB134771" s="251"/>
      <c r="AE134771" s="251"/>
      <c r="AH134771" s="251"/>
      <c r="AK134771" s="251"/>
    </row>
    <row r="134886" spans="25:37" x14ac:dyDescent="0.2">
      <c r="Y134886" s="5"/>
      <c r="AB134886" s="5"/>
      <c r="AE134886" s="5"/>
      <c r="AH134886" s="5"/>
      <c r="AK134886" s="5"/>
    </row>
    <row r="134896" spans="25:37" x14ac:dyDescent="0.2">
      <c r="Y134896" s="251"/>
      <c r="AB134896" s="251"/>
      <c r="AE134896" s="251"/>
      <c r="AH134896" s="251"/>
      <c r="AK134896" s="251"/>
    </row>
    <row r="135011" spans="25:37" x14ac:dyDescent="0.2">
      <c r="Y135011" s="5"/>
      <c r="AB135011" s="5"/>
      <c r="AE135011" s="5"/>
      <c r="AH135011" s="5"/>
      <c r="AK135011" s="5"/>
    </row>
    <row r="135021" spans="25:37" x14ac:dyDescent="0.2">
      <c r="Y135021" s="251"/>
      <c r="AB135021" s="251"/>
      <c r="AE135021" s="251"/>
      <c r="AH135021" s="251"/>
      <c r="AK135021" s="251"/>
    </row>
    <row r="135136" spans="25:37" x14ac:dyDescent="0.2">
      <c r="Y135136" s="5"/>
      <c r="AB135136" s="5"/>
      <c r="AE135136" s="5"/>
      <c r="AH135136" s="5"/>
      <c r="AK135136" s="5"/>
    </row>
    <row r="135146" spans="25:37" x14ac:dyDescent="0.2">
      <c r="Y135146" s="251"/>
      <c r="AB135146" s="251"/>
      <c r="AE135146" s="251"/>
      <c r="AH135146" s="251"/>
      <c r="AK135146" s="251"/>
    </row>
    <row r="135261" spans="25:37" x14ac:dyDescent="0.2">
      <c r="Y135261" s="5"/>
      <c r="AB135261" s="5"/>
      <c r="AE135261" s="5"/>
      <c r="AH135261" s="5"/>
      <c r="AK135261" s="5"/>
    </row>
    <row r="135271" spans="25:37" x14ac:dyDescent="0.2">
      <c r="Y135271" s="251"/>
      <c r="AB135271" s="251"/>
      <c r="AE135271" s="251"/>
      <c r="AH135271" s="251"/>
      <c r="AK135271" s="251"/>
    </row>
    <row r="135386" spans="25:37" x14ac:dyDescent="0.2">
      <c r="Y135386" s="5"/>
      <c r="AB135386" s="5"/>
      <c r="AE135386" s="5"/>
      <c r="AH135386" s="5"/>
      <c r="AK135386" s="5"/>
    </row>
    <row r="135396" spans="25:37" x14ac:dyDescent="0.2">
      <c r="Y135396" s="251"/>
      <c r="AB135396" s="251"/>
      <c r="AE135396" s="251"/>
      <c r="AH135396" s="251"/>
      <c r="AK135396" s="251"/>
    </row>
    <row r="135511" spans="25:37" x14ac:dyDescent="0.2">
      <c r="Y135511" s="5"/>
      <c r="AB135511" s="5"/>
      <c r="AE135511" s="5"/>
      <c r="AH135511" s="5"/>
      <c r="AK135511" s="5"/>
    </row>
    <row r="135521" spans="25:37" x14ac:dyDescent="0.2">
      <c r="Y135521" s="251"/>
      <c r="AB135521" s="251"/>
      <c r="AE135521" s="251"/>
      <c r="AH135521" s="251"/>
      <c r="AK135521" s="251"/>
    </row>
    <row r="135636" spans="25:37" x14ac:dyDescent="0.2">
      <c r="Y135636" s="5"/>
      <c r="AB135636" s="5"/>
      <c r="AE135636" s="5"/>
      <c r="AH135636" s="5"/>
      <c r="AK135636" s="5"/>
    </row>
    <row r="135646" spans="25:37" x14ac:dyDescent="0.2">
      <c r="Y135646" s="251"/>
      <c r="AB135646" s="251"/>
      <c r="AE135646" s="251"/>
      <c r="AH135646" s="251"/>
      <c r="AK135646" s="251"/>
    </row>
    <row r="135761" spans="25:37" x14ac:dyDescent="0.2">
      <c r="Y135761" s="5"/>
      <c r="AB135761" s="5"/>
      <c r="AE135761" s="5"/>
      <c r="AH135761" s="5"/>
      <c r="AK135761" s="5"/>
    </row>
    <row r="135771" spans="25:37" x14ac:dyDescent="0.2">
      <c r="Y135771" s="251"/>
      <c r="AB135771" s="251"/>
      <c r="AE135771" s="251"/>
      <c r="AH135771" s="251"/>
      <c r="AK135771" s="251"/>
    </row>
    <row r="135886" spans="25:37" x14ac:dyDescent="0.2">
      <c r="Y135886" s="5"/>
      <c r="AB135886" s="5"/>
      <c r="AE135886" s="5"/>
      <c r="AH135886" s="5"/>
      <c r="AK135886" s="5"/>
    </row>
    <row r="135896" spans="25:37" x14ac:dyDescent="0.2">
      <c r="Y135896" s="251"/>
      <c r="AB135896" s="251"/>
      <c r="AE135896" s="251"/>
      <c r="AH135896" s="251"/>
      <c r="AK135896" s="251"/>
    </row>
    <row r="136011" spans="25:37" x14ac:dyDescent="0.2">
      <c r="Y136011" s="5"/>
      <c r="AB136011" s="5"/>
      <c r="AE136011" s="5"/>
      <c r="AH136011" s="5"/>
      <c r="AK136011" s="5"/>
    </row>
    <row r="136021" spans="25:37" x14ac:dyDescent="0.2">
      <c r="Y136021" s="251"/>
      <c r="AB136021" s="251"/>
      <c r="AE136021" s="251"/>
      <c r="AH136021" s="251"/>
      <c r="AK136021" s="251"/>
    </row>
    <row r="136136" spans="25:37" x14ac:dyDescent="0.2">
      <c r="Y136136" s="5"/>
      <c r="AB136136" s="5"/>
      <c r="AE136136" s="5"/>
      <c r="AH136136" s="5"/>
      <c r="AK136136" s="5"/>
    </row>
    <row r="136146" spans="25:37" x14ac:dyDescent="0.2">
      <c r="Y136146" s="251"/>
      <c r="AB136146" s="251"/>
      <c r="AE136146" s="251"/>
      <c r="AH136146" s="251"/>
      <c r="AK136146" s="251"/>
    </row>
    <row r="136261" spans="25:37" x14ac:dyDescent="0.2">
      <c r="Y136261" s="5"/>
      <c r="AB136261" s="5"/>
      <c r="AE136261" s="5"/>
      <c r="AH136261" s="5"/>
      <c r="AK136261" s="5"/>
    </row>
    <row r="136271" spans="25:37" x14ac:dyDescent="0.2">
      <c r="Y136271" s="251"/>
      <c r="AB136271" s="251"/>
      <c r="AE136271" s="251"/>
      <c r="AH136271" s="251"/>
      <c r="AK136271" s="251"/>
    </row>
    <row r="136386" spans="25:37" x14ac:dyDescent="0.2">
      <c r="Y136386" s="5"/>
      <c r="AB136386" s="5"/>
      <c r="AE136386" s="5"/>
      <c r="AH136386" s="5"/>
      <c r="AK136386" s="5"/>
    </row>
    <row r="136396" spans="25:37" x14ac:dyDescent="0.2">
      <c r="Y136396" s="251"/>
      <c r="AB136396" s="251"/>
      <c r="AE136396" s="251"/>
      <c r="AH136396" s="251"/>
      <c r="AK136396" s="251"/>
    </row>
    <row r="136511" spans="25:37" x14ac:dyDescent="0.2">
      <c r="Y136511" s="5"/>
      <c r="AB136511" s="5"/>
      <c r="AE136511" s="5"/>
      <c r="AH136511" s="5"/>
      <c r="AK136511" s="5"/>
    </row>
    <row r="136521" spans="25:37" x14ac:dyDescent="0.2">
      <c r="Y136521" s="251"/>
      <c r="AB136521" s="251"/>
      <c r="AE136521" s="251"/>
      <c r="AH136521" s="251"/>
      <c r="AK136521" s="251"/>
    </row>
    <row r="136636" spans="25:37" x14ac:dyDescent="0.2">
      <c r="Y136636" s="5"/>
      <c r="AB136636" s="5"/>
      <c r="AE136636" s="5"/>
      <c r="AH136636" s="5"/>
      <c r="AK136636" s="5"/>
    </row>
    <row r="136646" spans="25:37" x14ac:dyDescent="0.2">
      <c r="Y136646" s="251"/>
      <c r="AB136646" s="251"/>
      <c r="AE136646" s="251"/>
      <c r="AH136646" s="251"/>
      <c r="AK136646" s="251"/>
    </row>
    <row r="136761" spans="25:37" x14ac:dyDescent="0.2">
      <c r="Y136761" s="5"/>
      <c r="AB136761" s="5"/>
      <c r="AE136761" s="5"/>
      <c r="AH136761" s="5"/>
      <c r="AK136761" s="5"/>
    </row>
    <row r="136771" spans="25:37" x14ac:dyDescent="0.2">
      <c r="Y136771" s="251"/>
      <c r="AB136771" s="251"/>
      <c r="AE136771" s="251"/>
      <c r="AH136771" s="251"/>
      <c r="AK136771" s="251"/>
    </row>
    <row r="136886" spans="25:37" x14ac:dyDescent="0.2">
      <c r="Y136886" s="5"/>
      <c r="AB136886" s="5"/>
      <c r="AE136886" s="5"/>
      <c r="AH136886" s="5"/>
      <c r="AK136886" s="5"/>
    </row>
    <row r="136896" spans="25:37" x14ac:dyDescent="0.2">
      <c r="Y136896" s="251"/>
      <c r="AB136896" s="251"/>
      <c r="AE136896" s="251"/>
      <c r="AH136896" s="251"/>
      <c r="AK136896" s="251"/>
    </row>
    <row r="137011" spans="25:37" x14ac:dyDescent="0.2">
      <c r="Y137011" s="5"/>
      <c r="AB137011" s="5"/>
      <c r="AE137011" s="5"/>
      <c r="AH137011" s="5"/>
      <c r="AK137011" s="5"/>
    </row>
    <row r="137021" spans="25:37" x14ac:dyDescent="0.2">
      <c r="Y137021" s="251"/>
      <c r="AB137021" s="251"/>
      <c r="AE137021" s="251"/>
      <c r="AH137021" s="251"/>
      <c r="AK137021" s="251"/>
    </row>
    <row r="137136" spans="25:37" x14ac:dyDescent="0.2">
      <c r="Y137136" s="5"/>
      <c r="AB137136" s="5"/>
      <c r="AE137136" s="5"/>
      <c r="AH137136" s="5"/>
      <c r="AK137136" s="5"/>
    </row>
    <row r="137146" spans="25:37" x14ac:dyDescent="0.2">
      <c r="Y137146" s="251"/>
      <c r="AB137146" s="251"/>
      <c r="AE137146" s="251"/>
      <c r="AH137146" s="251"/>
      <c r="AK137146" s="251"/>
    </row>
    <row r="137261" spans="25:37" x14ac:dyDescent="0.2">
      <c r="Y137261" s="5"/>
      <c r="AB137261" s="5"/>
      <c r="AE137261" s="5"/>
      <c r="AH137261" s="5"/>
      <c r="AK137261" s="5"/>
    </row>
    <row r="137271" spans="25:37" x14ac:dyDescent="0.2">
      <c r="Y137271" s="251"/>
      <c r="AB137271" s="251"/>
      <c r="AE137271" s="251"/>
      <c r="AH137271" s="251"/>
      <c r="AK137271" s="251"/>
    </row>
    <row r="137386" spans="25:37" x14ac:dyDescent="0.2">
      <c r="Y137386" s="5"/>
      <c r="AB137386" s="5"/>
      <c r="AE137386" s="5"/>
      <c r="AH137386" s="5"/>
      <c r="AK137386" s="5"/>
    </row>
    <row r="137396" spans="25:37" x14ac:dyDescent="0.2">
      <c r="Y137396" s="251"/>
      <c r="AB137396" s="251"/>
      <c r="AE137396" s="251"/>
      <c r="AH137396" s="251"/>
      <c r="AK137396" s="251"/>
    </row>
    <row r="137511" spans="25:37" x14ac:dyDescent="0.2">
      <c r="Y137511" s="5"/>
      <c r="AB137511" s="5"/>
      <c r="AE137511" s="5"/>
      <c r="AH137511" s="5"/>
      <c r="AK137511" s="5"/>
    </row>
    <row r="137521" spans="25:37" x14ac:dyDescent="0.2">
      <c r="Y137521" s="251"/>
      <c r="AB137521" s="251"/>
      <c r="AE137521" s="251"/>
      <c r="AH137521" s="251"/>
      <c r="AK137521" s="251"/>
    </row>
    <row r="137636" spans="25:37" x14ac:dyDescent="0.2">
      <c r="Y137636" s="5"/>
      <c r="AB137636" s="5"/>
      <c r="AE137636" s="5"/>
      <c r="AH137636" s="5"/>
      <c r="AK137636" s="5"/>
    </row>
    <row r="137646" spans="25:37" x14ac:dyDescent="0.2">
      <c r="Y137646" s="251"/>
      <c r="AB137646" s="251"/>
      <c r="AE137646" s="251"/>
      <c r="AH137646" s="251"/>
      <c r="AK137646" s="251"/>
    </row>
    <row r="137761" spans="25:37" x14ac:dyDescent="0.2">
      <c r="Y137761" s="5"/>
      <c r="AB137761" s="5"/>
      <c r="AE137761" s="5"/>
      <c r="AH137761" s="5"/>
      <c r="AK137761" s="5"/>
    </row>
    <row r="137771" spans="25:37" x14ac:dyDescent="0.2">
      <c r="Y137771" s="251"/>
      <c r="AB137771" s="251"/>
      <c r="AE137771" s="251"/>
      <c r="AH137771" s="251"/>
      <c r="AK137771" s="251"/>
    </row>
    <row r="137886" spans="25:37" x14ac:dyDescent="0.2">
      <c r="Y137886" s="5"/>
      <c r="AB137886" s="5"/>
      <c r="AE137886" s="5"/>
      <c r="AH137886" s="5"/>
      <c r="AK137886" s="5"/>
    </row>
    <row r="137896" spans="25:37" x14ac:dyDescent="0.2">
      <c r="Y137896" s="251"/>
      <c r="AB137896" s="251"/>
      <c r="AE137896" s="251"/>
      <c r="AH137896" s="251"/>
      <c r="AK137896" s="251"/>
    </row>
    <row r="138011" spans="25:37" x14ac:dyDescent="0.2">
      <c r="Y138011" s="5"/>
      <c r="AB138011" s="5"/>
      <c r="AE138011" s="5"/>
      <c r="AH138011" s="5"/>
      <c r="AK138011" s="5"/>
    </row>
    <row r="138021" spans="25:37" x14ac:dyDescent="0.2">
      <c r="Y138021" s="251"/>
      <c r="AB138021" s="251"/>
      <c r="AE138021" s="251"/>
      <c r="AH138021" s="251"/>
      <c r="AK138021" s="251"/>
    </row>
    <row r="138136" spans="25:37" x14ac:dyDescent="0.2">
      <c r="Y138136" s="5"/>
      <c r="AB138136" s="5"/>
      <c r="AE138136" s="5"/>
      <c r="AH138136" s="5"/>
      <c r="AK138136" s="5"/>
    </row>
    <row r="138146" spans="25:37" x14ac:dyDescent="0.2">
      <c r="Y138146" s="251"/>
      <c r="AB138146" s="251"/>
      <c r="AE138146" s="251"/>
      <c r="AH138146" s="251"/>
      <c r="AK138146" s="251"/>
    </row>
    <row r="138261" spans="25:37" x14ac:dyDescent="0.2">
      <c r="Y138261" s="5"/>
      <c r="AB138261" s="5"/>
      <c r="AE138261" s="5"/>
      <c r="AH138261" s="5"/>
      <c r="AK138261" s="5"/>
    </row>
    <row r="138271" spans="25:37" x14ac:dyDescent="0.2">
      <c r="Y138271" s="251"/>
      <c r="AB138271" s="251"/>
      <c r="AE138271" s="251"/>
      <c r="AH138271" s="251"/>
      <c r="AK138271" s="251"/>
    </row>
    <row r="138386" spans="25:37" x14ac:dyDescent="0.2">
      <c r="Y138386" s="5"/>
      <c r="AB138386" s="5"/>
      <c r="AE138386" s="5"/>
      <c r="AH138386" s="5"/>
      <c r="AK138386" s="5"/>
    </row>
    <row r="138396" spans="25:37" x14ac:dyDescent="0.2">
      <c r="Y138396" s="251"/>
      <c r="AB138396" s="251"/>
      <c r="AE138396" s="251"/>
      <c r="AH138396" s="251"/>
      <c r="AK138396" s="251"/>
    </row>
    <row r="138511" spans="25:37" x14ac:dyDescent="0.2">
      <c r="Y138511" s="5"/>
      <c r="AB138511" s="5"/>
      <c r="AE138511" s="5"/>
      <c r="AH138511" s="5"/>
      <c r="AK138511" s="5"/>
    </row>
    <row r="138521" spans="25:37" x14ac:dyDescent="0.2">
      <c r="Y138521" s="251"/>
      <c r="AB138521" s="251"/>
      <c r="AE138521" s="251"/>
      <c r="AH138521" s="251"/>
      <c r="AK138521" s="251"/>
    </row>
    <row r="138636" spans="25:37" x14ac:dyDescent="0.2">
      <c r="Y138636" s="5"/>
      <c r="AB138636" s="5"/>
      <c r="AE138636" s="5"/>
      <c r="AH138636" s="5"/>
      <c r="AK138636" s="5"/>
    </row>
    <row r="138646" spans="25:37" x14ac:dyDescent="0.2">
      <c r="Y138646" s="251"/>
      <c r="AB138646" s="251"/>
      <c r="AE138646" s="251"/>
      <c r="AH138646" s="251"/>
      <c r="AK138646" s="251"/>
    </row>
    <row r="138761" spans="25:37" x14ac:dyDescent="0.2">
      <c r="Y138761" s="5"/>
      <c r="AB138761" s="5"/>
      <c r="AE138761" s="5"/>
      <c r="AH138761" s="5"/>
      <c r="AK138761" s="5"/>
    </row>
    <row r="138771" spans="25:37" x14ac:dyDescent="0.2">
      <c r="Y138771" s="251"/>
      <c r="AB138771" s="251"/>
      <c r="AE138771" s="251"/>
      <c r="AH138771" s="251"/>
      <c r="AK138771" s="251"/>
    </row>
    <row r="138886" spans="25:37" x14ac:dyDescent="0.2">
      <c r="Y138886" s="5"/>
      <c r="AB138886" s="5"/>
      <c r="AE138886" s="5"/>
      <c r="AH138886" s="5"/>
      <c r="AK138886" s="5"/>
    </row>
    <row r="138896" spans="25:37" x14ac:dyDescent="0.2">
      <c r="Y138896" s="251"/>
      <c r="AB138896" s="251"/>
      <c r="AE138896" s="251"/>
      <c r="AH138896" s="251"/>
      <c r="AK138896" s="251"/>
    </row>
    <row r="139011" spans="25:37" x14ac:dyDescent="0.2">
      <c r="Y139011" s="5"/>
      <c r="AB139011" s="5"/>
      <c r="AE139011" s="5"/>
      <c r="AH139011" s="5"/>
      <c r="AK139011" s="5"/>
    </row>
    <row r="139021" spans="25:37" x14ac:dyDescent="0.2">
      <c r="Y139021" s="251"/>
      <c r="AB139021" s="251"/>
      <c r="AE139021" s="251"/>
      <c r="AH139021" s="251"/>
      <c r="AK139021" s="251"/>
    </row>
    <row r="139136" spans="25:37" x14ac:dyDescent="0.2">
      <c r="Y139136" s="5"/>
      <c r="AB139136" s="5"/>
      <c r="AE139136" s="5"/>
      <c r="AH139136" s="5"/>
      <c r="AK139136" s="5"/>
    </row>
    <row r="139146" spans="25:37" x14ac:dyDescent="0.2">
      <c r="Y139146" s="251"/>
      <c r="AB139146" s="251"/>
      <c r="AE139146" s="251"/>
      <c r="AH139146" s="251"/>
      <c r="AK139146" s="251"/>
    </row>
    <row r="139261" spans="25:37" x14ac:dyDescent="0.2">
      <c r="Y139261" s="5"/>
      <c r="AB139261" s="5"/>
      <c r="AE139261" s="5"/>
      <c r="AH139261" s="5"/>
      <c r="AK139261" s="5"/>
    </row>
    <row r="139271" spans="25:37" x14ac:dyDescent="0.2">
      <c r="Y139271" s="251"/>
      <c r="AB139271" s="251"/>
      <c r="AE139271" s="251"/>
      <c r="AH139271" s="251"/>
      <c r="AK139271" s="251"/>
    </row>
    <row r="139386" spans="25:37" x14ac:dyDescent="0.2">
      <c r="Y139386" s="5"/>
      <c r="AB139386" s="5"/>
      <c r="AE139386" s="5"/>
      <c r="AH139386" s="5"/>
      <c r="AK139386" s="5"/>
    </row>
    <row r="139396" spans="25:37" x14ac:dyDescent="0.2">
      <c r="Y139396" s="251"/>
      <c r="AB139396" s="251"/>
      <c r="AE139396" s="251"/>
      <c r="AH139396" s="251"/>
      <c r="AK139396" s="251"/>
    </row>
    <row r="139511" spans="25:37" x14ac:dyDescent="0.2">
      <c r="Y139511" s="5"/>
      <c r="AB139511" s="5"/>
      <c r="AE139511" s="5"/>
      <c r="AH139511" s="5"/>
      <c r="AK139511" s="5"/>
    </row>
    <row r="139521" spans="25:37" x14ac:dyDescent="0.2">
      <c r="Y139521" s="251"/>
      <c r="AB139521" s="251"/>
      <c r="AE139521" s="251"/>
      <c r="AH139521" s="251"/>
      <c r="AK139521" s="251"/>
    </row>
    <row r="139636" spans="25:37" x14ac:dyDescent="0.2">
      <c r="Y139636" s="5"/>
      <c r="AB139636" s="5"/>
      <c r="AE139636" s="5"/>
      <c r="AH139636" s="5"/>
      <c r="AK139636" s="5"/>
    </row>
    <row r="139646" spans="25:37" x14ac:dyDescent="0.2">
      <c r="Y139646" s="251"/>
      <c r="AB139646" s="251"/>
      <c r="AE139646" s="251"/>
      <c r="AH139646" s="251"/>
      <c r="AK139646" s="251"/>
    </row>
    <row r="139761" spans="25:37" x14ac:dyDescent="0.2">
      <c r="Y139761" s="5"/>
      <c r="AB139761" s="5"/>
      <c r="AE139761" s="5"/>
      <c r="AH139761" s="5"/>
      <c r="AK139761" s="5"/>
    </row>
    <row r="139771" spans="25:37" x14ac:dyDescent="0.2">
      <c r="Y139771" s="251"/>
      <c r="AB139771" s="251"/>
      <c r="AE139771" s="251"/>
      <c r="AH139771" s="251"/>
      <c r="AK139771" s="251"/>
    </row>
    <row r="139886" spans="25:37" x14ac:dyDescent="0.2">
      <c r="Y139886" s="5"/>
      <c r="AB139886" s="5"/>
      <c r="AE139886" s="5"/>
      <c r="AH139886" s="5"/>
      <c r="AK139886" s="5"/>
    </row>
    <row r="139896" spans="25:37" x14ac:dyDescent="0.2">
      <c r="Y139896" s="251"/>
      <c r="AB139896" s="251"/>
      <c r="AE139896" s="251"/>
      <c r="AH139896" s="251"/>
      <c r="AK139896" s="251"/>
    </row>
    <row r="140011" spans="25:37" x14ac:dyDescent="0.2">
      <c r="Y140011" s="5"/>
      <c r="AB140011" s="5"/>
      <c r="AE140011" s="5"/>
      <c r="AH140011" s="5"/>
      <c r="AK140011" s="5"/>
    </row>
    <row r="140021" spans="25:37" x14ac:dyDescent="0.2">
      <c r="Y140021" s="251"/>
      <c r="AB140021" s="251"/>
      <c r="AE140021" s="251"/>
      <c r="AH140021" s="251"/>
      <c r="AK140021" s="251"/>
    </row>
    <row r="140136" spans="25:37" x14ac:dyDescent="0.2">
      <c r="Y140136" s="5"/>
      <c r="AB140136" s="5"/>
      <c r="AE140136" s="5"/>
      <c r="AH140136" s="5"/>
      <c r="AK140136" s="5"/>
    </row>
    <row r="140146" spans="25:37" x14ac:dyDescent="0.2">
      <c r="Y140146" s="251"/>
      <c r="AB140146" s="251"/>
      <c r="AE140146" s="251"/>
      <c r="AH140146" s="251"/>
      <c r="AK140146" s="251"/>
    </row>
    <row r="140261" spans="25:37" x14ac:dyDescent="0.2">
      <c r="Y140261" s="5"/>
      <c r="AB140261" s="5"/>
      <c r="AE140261" s="5"/>
      <c r="AH140261" s="5"/>
      <c r="AK140261" s="5"/>
    </row>
    <row r="140271" spans="25:37" x14ac:dyDescent="0.2">
      <c r="Y140271" s="251"/>
      <c r="AB140271" s="251"/>
      <c r="AE140271" s="251"/>
      <c r="AH140271" s="251"/>
      <c r="AK140271" s="251"/>
    </row>
    <row r="140386" spans="25:37" x14ac:dyDescent="0.2">
      <c r="Y140386" s="5"/>
      <c r="AB140386" s="5"/>
      <c r="AE140386" s="5"/>
      <c r="AH140386" s="5"/>
      <c r="AK140386" s="5"/>
    </row>
    <row r="140396" spans="25:37" x14ac:dyDescent="0.2">
      <c r="Y140396" s="251"/>
      <c r="AB140396" s="251"/>
      <c r="AE140396" s="251"/>
      <c r="AH140396" s="251"/>
      <c r="AK140396" s="251"/>
    </row>
    <row r="140511" spans="25:37" x14ac:dyDescent="0.2">
      <c r="Y140511" s="5"/>
      <c r="AB140511" s="5"/>
      <c r="AE140511" s="5"/>
      <c r="AH140511" s="5"/>
      <c r="AK140511" s="5"/>
    </row>
    <row r="140521" spans="25:37" x14ac:dyDescent="0.2">
      <c r="Y140521" s="251"/>
      <c r="AB140521" s="251"/>
      <c r="AE140521" s="251"/>
      <c r="AH140521" s="251"/>
      <c r="AK140521" s="251"/>
    </row>
    <row r="140636" spans="25:37" x14ac:dyDescent="0.2">
      <c r="Y140636" s="5"/>
      <c r="AB140636" s="5"/>
      <c r="AE140636" s="5"/>
      <c r="AH140636" s="5"/>
      <c r="AK140636" s="5"/>
    </row>
    <row r="140646" spans="25:37" x14ac:dyDescent="0.2">
      <c r="Y140646" s="251"/>
      <c r="AB140646" s="251"/>
      <c r="AE140646" s="251"/>
      <c r="AH140646" s="251"/>
      <c r="AK140646" s="251"/>
    </row>
    <row r="140761" spans="25:37" x14ac:dyDescent="0.2">
      <c r="Y140761" s="5"/>
      <c r="AB140761" s="5"/>
      <c r="AE140761" s="5"/>
      <c r="AH140761" s="5"/>
      <c r="AK140761" s="5"/>
    </row>
    <row r="140771" spans="25:37" x14ac:dyDescent="0.2">
      <c r="Y140771" s="251"/>
      <c r="AB140771" s="251"/>
      <c r="AE140771" s="251"/>
      <c r="AH140771" s="251"/>
      <c r="AK140771" s="251"/>
    </row>
    <row r="140886" spans="25:37" x14ac:dyDescent="0.2">
      <c r="Y140886" s="5"/>
      <c r="AB140886" s="5"/>
      <c r="AE140886" s="5"/>
      <c r="AH140886" s="5"/>
      <c r="AK140886" s="5"/>
    </row>
    <row r="140896" spans="25:37" x14ac:dyDescent="0.2">
      <c r="Y140896" s="251"/>
      <c r="AB140896" s="251"/>
      <c r="AE140896" s="251"/>
      <c r="AH140896" s="251"/>
      <c r="AK140896" s="251"/>
    </row>
    <row r="141011" spans="25:37" x14ac:dyDescent="0.2">
      <c r="Y141011" s="5"/>
      <c r="AB141011" s="5"/>
      <c r="AE141011" s="5"/>
      <c r="AH141011" s="5"/>
      <c r="AK141011" s="5"/>
    </row>
    <row r="141021" spans="25:37" x14ac:dyDescent="0.2">
      <c r="Y141021" s="251"/>
      <c r="AB141021" s="251"/>
      <c r="AE141021" s="251"/>
      <c r="AH141021" s="251"/>
      <c r="AK141021" s="251"/>
    </row>
    <row r="141136" spans="25:37" x14ac:dyDescent="0.2">
      <c r="Y141136" s="5"/>
      <c r="AB141136" s="5"/>
      <c r="AE141136" s="5"/>
      <c r="AH141136" s="5"/>
      <c r="AK141136" s="5"/>
    </row>
    <row r="141146" spans="25:37" x14ac:dyDescent="0.2">
      <c r="Y141146" s="251"/>
      <c r="AB141146" s="251"/>
      <c r="AE141146" s="251"/>
      <c r="AH141146" s="251"/>
      <c r="AK141146" s="251"/>
    </row>
    <row r="141261" spans="25:37" x14ac:dyDescent="0.2">
      <c r="Y141261" s="5"/>
      <c r="AB141261" s="5"/>
      <c r="AE141261" s="5"/>
      <c r="AH141261" s="5"/>
      <c r="AK141261" s="5"/>
    </row>
    <row r="141271" spans="25:37" x14ac:dyDescent="0.2">
      <c r="Y141271" s="251"/>
      <c r="AB141271" s="251"/>
      <c r="AE141271" s="251"/>
      <c r="AH141271" s="251"/>
      <c r="AK141271" s="251"/>
    </row>
    <row r="141386" spans="25:37" x14ac:dyDescent="0.2">
      <c r="Y141386" s="5"/>
      <c r="AB141386" s="5"/>
      <c r="AE141386" s="5"/>
      <c r="AH141386" s="5"/>
      <c r="AK141386" s="5"/>
    </row>
    <row r="141396" spans="25:37" x14ac:dyDescent="0.2">
      <c r="Y141396" s="251"/>
      <c r="AB141396" s="251"/>
      <c r="AE141396" s="251"/>
      <c r="AH141396" s="251"/>
      <c r="AK141396" s="251"/>
    </row>
    <row r="141511" spans="25:37" x14ac:dyDescent="0.2">
      <c r="Y141511" s="5"/>
      <c r="AB141511" s="5"/>
      <c r="AE141511" s="5"/>
      <c r="AH141511" s="5"/>
      <c r="AK141511" s="5"/>
    </row>
    <row r="141521" spans="25:37" x14ac:dyDescent="0.2">
      <c r="Y141521" s="251"/>
      <c r="AB141521" s="251"/>
      <c r="AE141521" s="251"/>
      <c r="AH141521" s="251"/>
      <c r="AK141521" s="251"/>
    </row>
    <row r="141636" spans="25:37" x14ac:dyDescent="0.2">
      <c r="Y141636" s="5"/>
      <c r="AB141636" s="5"/>
      <c r="AE141636" s="5"/>
      <c r="AH141636" s="5"/>
      <c r="AK141636" s="5"/>
    </row>
    <row r="141646" spans="25:37" x14ac:dyDescent="0.2">
      <c r="Y141646" s="251"/>
      <c r="AB141646" s="251"/>
      <c r="AE141646" s="251"/>
      <c r="AH141646" s="251"/>
      <c r="AK141646" s="251"/>
    </row>
    <row r="141761" spans="25:37" x14ac:dyDescent="0.2">
      <c r="Y141761" s="5"/>
      <c r="AB141761" s="5"/>
      <c r="AE141761" s="5"/>
      <c r="AH141761" s="5"/>
      <c r="AK141761" s="5"/>
    </row>
    <row r="141771" spans="25:37" x14ac:dyDescent="0.2">
      <c r="Y141771" s="251"/>
      <c r="AB141771" s="251"/>
      <c r="AE141771" s="251"/>
      <c r="AH141771" s="251"/>
      <c r="AK141771" s="251"/>
    </row>
    <row r="141886" spans="25:37" x14ac:dyDescent="0.2">
      <c r="Y141886" s="5"/>
      <c r="AB141886" s="5"/>
      <c r="AE141886" s="5"/>
      <c r="AH141886" s="5"/>
      <c r="AK141886" s="5"/>
    </row>
    <row r="141896" spans="25:37" x14ac:dyDescent="0.2">
      <c r="Y141896" s="251"/>
      <c r="AB141896" s="251"/>
      <c r="AE141896" s="251"/>
      <c r="AH141896" s="251"/>
      <c r="AK141896" s="251"/>
    </row>
    <row r="142011" spans="25:37" x14ac:dyDescent="0.2">
      <c r="Y142011" s="5"/>
      <c r="AB142011" s="5"/>
      <c r="AE142011" s="5"/>
      <c r="AH142011" s="5"/>
      <c r="AK142011" s="5"/>
    </row>
    <row r="142021" spans="25:37" x14ac:dyDescent="0.2">
      <c r="Y142021" s="251"/>
      <c r="AB142021" s="251"/>
      <c r="AE142021" s="251"/>
      <c r="AH142021" s="251"/>
      <c r="AK142021" s="251"/>
    </row>
    <row r="142136" spans="25:37" x14ac:dyDescent="0.2">
      <c r="Y142136" s="5"/>
      <c r="AB142136" s="5"/>
      <c r="AE142136" s="5"/>
      <c r="AH142136" s="5"/>
      <c r="AK142136" s="5"/>
    </row>
    <row r="142146" spans="25:37" x14ac:dyDescent="0.2">
      <c r="Y142146" s="251"/>
      <c r="AB142146" s="251"/>
      <c r="AE142146" s="251"/>
      <c r="AH142146" s="251"/>
      <c r="AK142146" s="251"/>
    </row>
    <row r="142261" spans="25:37" x14ac:dyDescent="0.2">
      <c r="Y142261" s="5"/>
      <c r="AB142261" s="5"/>
      <c r="AE142261" s="5"/>
      <c r="AH142261" s="5"/>
      <c r="AK142261" s="5"/>
    </row>
    <row r="142271" spans="25:37" x14ac:dyDescent="0.2">
      <c r="Y142271" s="251"/>
      <c r="AB142271" s="251"/>
      <c r="AE142271" s="251"/>
      <c r="AH142271" s="251"/>
      <c r="AK142271" s="251"/>
    </row>
    <row r="142386" spans="25:37" x14ac:dyDescent="0.2">
      <c r="Y142386" s="5"/>
      <c r="AB142386" s="5"/>
      <c r="AE142386" s="5"/>
      <c r="AH142386" s="5"/>
      <c r="AK142386" s="5"/>
    </row>
    <row r="142396" spans="25:37" x14ac:dyDescent="0.2">
      <c r="Y142396" s="251"/>
      <c r="AB142396" s="251"/>
      <c r="AE142396" s="251"/>
      <c r="AH142396" s="251"/>
      <c r="AK142396" s="251"/>
    </row>
    <row r="142511" spans="25:37" x14ac:dyDescent="0.2">
      <c r="Y142511" s="5"/>
      <c r="AB142511" s="5"/>
      <c r="AE142511" s="5"/>
      <c r="AH142511" s="5"/>
      <c r="AK142511" s="5"/>
    </row>
    <row r="142521" spans="25:37" x14ac:dyDescent="0.2">
      <c r="Y142521" s="251"/>
      <c r="AB142521" s="251"/>
      <c r="AE142521" s="251"/>
      <c r="AH142521" s="251"/>
      <c r="AK142521" s="251"/>
    </row>
    <row r="142636" spans="25:37" x14ac:dyDescent="0.2">
      <c r="Y142636" s="5"/>
      <c r="AB142636" s="5"/>
      <c r="AE142636" s="5"/>
      <c r="AH142636" s="5"/>
      <c r="AK142636" s="5"/>
    </row>
    <row r="142646" spans="25:37" x14ac:dyDescent="0.2">
      <c r="Y142646" s="251"/>
      <c r="AB142646" s="251"/>
      <c r="AE142646" s="251"/>
      <c r="AH142646" s="251"/>
      <c r="AK142646" s="251"/>
    </row>
    <row r="142761" spans="25:37" x14ac:dyDescent="0.2">
      <c r="Y142761" s="5"/>
      <c r="AB142761" s="5"/>
      <c r="AE142761" s="5"/>
      <c r="AH142761" s="5"/>
      <c r="AK142761" s="5"/>
    </row>
    <row r="142771" spans="25:37" x14ac:dyDescent="0.2">
      <c r="Y142771" s="251"/>
      <c r="AB142771" s="251"/>
      <c r="AE142771" s="251"/>
      <c r="AH142771" s="251"/>
      <c r="AK142771" s="251"/>
    </row>
    <row r="142886" spans="25:37" x14ac:dyDescent="0.2">
      <c r="Y142886" s="5"/>
      <c r="AB142886" s="5"/>
      <c r="AE142886" s="5"/>
      <c r="AH142886" s="5"/>
      <c r="AK142886" s="5"/>
    </row>
    <row r="142896" spans="25:37" x14ac:dyDescent="0.2">
      <c r="Y142896" s="251"/>
      <c r="AB142896" s="251"/>
      <c r="AE142896" s="251"/>
      <c r="AH142896" s="251"/>
      <c r="AK142896" s="251"/>
    </row>
    <row r="143011" spans="25:37" x14ac:dyDescent="0.2">
      <c r="Y143011" s="5"/>
      <c r="AB143011" s="5"/>
      <c r="AE143011" s="5"/>
      <c r="AH143011" s="5"/>
      <c r="AK143011" s="5"/>
    </row>
    <row r="143021" spans="25:37" x14ac:dyDescent="0.2">
      <c r="Y143021" s="251"/>
      <c r="AB143021" s="251"/>
      <c r="AE143021" s="251"/>
      <c r="AH143021" s="251"/>
      <c r="AK143021" s="251"/>
    </row>
    <row r="143136" spans="25:37" x14ac:dyDescent="0.2">
      <c r="Y143136" s="5"/>
      <c r="AB143136" s="5"/>
      <c r="AE143136" s="5"/>
      <c r="AH143136" s="5"/>
      <c r="AK143136" s="5"/>
    </row>
    <row r="143146" spans="25:37" x14ac:dyDescent="0.2">
      <c r="Y143146" s="251"/>
      <c r="AB143146" s="251"/>
      <c r="AE143146" s="251"/>
      <c r="AH143146" s="251"/>
      <c r="AK143146" s="251"/>
    </row>
    <row r="143261" spans="25:37" x14ac:dyDescent="0.2">
      <c r="Y143261" s="5"/>
      <c r="AB143261" s="5"/>
      <c r="AE143261" s="5"/>
      <c r="AH143261" s="5"/>
      <c r="AK143261" s="5"/>
    </row>
    <row r="143271" spans="25:37" x14ac:dyDescent="0.2">
      <c r="Y143271" s="251"/>
      <c r="AB143271" s="251"/>
      <c r="AE143271" s="251"/>
      <c r="AH143271" s="251"/>
      <c r="AK143271" s="251"/>
    </row>
    <row r="143386" spans="25:37" x14ac:dyDescent="0.2">
      <c r="Y143386" s="5"/>
      <c r="AB143386" s="5"/>
      <c r="AE143386" s="5"/>
      <c r="AH143386" s="5"/>
      <c r="AK143386" s="5"/>
    </row>
    <row r="143396" spans="25:37" x14ac:dyDescent="0.2">
      <c r="Y143396" s="251"/>
      <c r="AB143396" s="251"/>
      <c r="AE143396" s="251"/>
      <c r="AH143396" s="251"/>
      <c r="AK143396" s="251"/>
    </row>
    <row r="143511" spans="25:37" x14ac:dyDescent="0.2">
      <c r="Y143511" s="5"/>
      <c r="AB143511" s="5"/>
      <c r="AE143511" s="5"/>
      <c r="AH143511" s="5"/>
      <c r="AK143511" s="5"/>
    </row>
    <row r="143521" spans="25:37" x14ac:dyDescent="0.2">
      <c r="Y143521" s="251"/>
      <c r="AB143521" s="251"/>
      <c r="AE143521" s="251"/>
      <c r="AH143521" s="251"/>
      <c r="AK143521" s="251"/>
    </row>
    <row r="143636" spans="25:37" x14ac:dyDescent="0.2">
      <c r="Y143636" s="5"/>
      <c r="AB143636" s="5"/>
      <c r="AE143636" s="5"/>
      <c r="AH143636" s="5"/>
      <c r="AK143636" s="5"/>
    </row>
    <row r="143646" spans="25:37" x14ac:dyDescent="0.2">
      <c r="Y143646" s="251"/>
      <c r="AB143646" s="251"/>
      <c r="AE143646" s="251"/>
      <c r="AH143646" s="251"/>
      <c r="AK143646" s="251"/>
    </row>
    <row r="143761" spans="25:37" x14ac:dyDescent="0.2">
      <c r="Y143761" s="5"/>
      <c r="AB143761" s="5"/>
      <c r="AE143761" s="5"/>
      <c r="AH143761" s="5"/>
      <c r="AK143761" s="5"/>
    </row>
    <row r="143771" spans="25:37" x14ac:dyDescent="0.2">
      <c r="Y143771" s="251"/>
      <c r="AB143771" s="251"/>
      <c r="AE143771" s="251"/>
      <c r="AH143771" s="251"/>
      <c r="AK143771" s="251"/>
    </row>
    <row r="143886" spans="25:37" x14ac:dyDescent="0.2">
      <c r="Y143886" s="5"/>
      <c r="AB143886" s="5"/>
      <c r="AE143886" s="5"/>
      <c r="AH143886" s="5"/>
      <c r="AK143886" s="5"/>
    </row>
    <row r="143896" spans="25:37" x14ac:dyDescent="0.2">
      <c r="Y143896" s="251"/>
      <c r="AB143896" s="251"/>
      <c r="AE143896" s="251"/>
      <c r="AH143896" s="251"/>
      <c r="AK143896" s="251"/>
    </row>
    <row r="144011" spans="25:37" x14ac:dyDescent="0.2">
      <c r="Y144011" s="5"/>
      <c r="AB144011" s="5"/>
      <c r="AE144011" s="5"/>
      <c r="AH144011" s="5"/>
      <c r="AK144011" s="5"/>
    </row>
    <row r="144021" spans="25:37" x14ac:dyDescent="0.2">
      <c r="Y144021" s="251"/>
      <c r="AB144021" s="251"/>
      <c r="AE144021" s="251"/>
      <c r="AH144021" s="251"/>
      <c r="AK144021" s="251"/>
    </row>
    <row r="144136" spans="25:37" x14ac:dyDescent="0.2">
      <c r="Y144136" s="5"/>
      <c r="AB144136" s="5"/>
      <c r="AE144136" s="5"/>
      <c r="AH144136" s="5"/>
      <c r="AK144136" s="5"/>
    </row>
    <row r="144146" spans="25:37" x14ac:dyDescent="0.2">
      <c r="Y144146" s="251"/>
      <c r="AB144146" s="251"/>
      <c r="AE144146" s="251"/>
      <c r="AH144146" s="251"/>
      <c r="AK144146" s="251"/>
    </row>
    <row r="144261" spans="25:37" x14ac:dyDescent="0.2">
      <c r="Y144261" s="5"/>
      <c r="AB144261" s="5"/>
      <c r="AE144261" s="5"/>
      <c r="AH144261" s="5"/>
      <c r="AK144261" s="5"/>
    </row>
    <row r="144271" spans="25:37" x14ac:dyDescent="0.2">
      <c r="Y144271" s="251"/>
      <c r="AB144271" s="251"/>
      <c r="AE144271" s="251"/>
      <c r="AH144271" s="251"/>
      <c r="AK144271" s="251"/>
    </row>
    <row r="144386" spans="25:37" x14ac:dyDescent="0.2">
      <c r="Y144386" s="5"/>
      <c r="AB144386" s="5"/>
      <c r="AE144386" s="5"/>
      <c r="AH144386" s="5"/>
      <c r="AK144386" s="5"/>
    </row>
    <row r="144396" spans="25:37" x14ac:dyDescent="0.2">
      <c r="Y144396" s="251"/>
      <c r="AB144396" s="251"/>
      <c r="AE144396" s="251"/>
      <c r="AH144396" s="251"/>
      <c r="AK144396" s="251"/>
    </row>
    <row r="144511" spans="25:37" x14ac:dyDescent="0.2">
      <c r="Y144511" s="5"/>
      <c r="AB144511" s="5"/>
      <c r="AE144511" s="5"/>
      <c r="AH144511" s="5"/>
      <c r="AK144511" s="5"/>
    </row>
    <row r="144521" spans="25:37" x14ac:dyDescent="0.2">
      <c r="Y144521" s="251"/>
      <c r="AB144521" s="251"/>
      <c r="AE144521" s="251"/>
      <c r="AH144521" s="251"/>
      <c r="AK144521" s="251"/>
    </row>
    <row r="144636" spans="25:37" x14ac:dyDescent="0.2">
      <c r="Y144636" s="5"/>
      <c r="AB144636" s="5"/>
      <c r="AE144636" s="5"/>
      <c r="AH144636" s="5"/>
      <c r="AK144636" s="5"/>
    </row>
    <row r="144646" spans="25:37" x14ac:dyDescent="0.2">
      <c r="Y144646" s="251"/>
      <c r="AB144646" s="251"/>
      <c r="AE144646" s="251"/>
      <c r="AH144646" s="251"/>
      <c r="AK144646" s="251"/>
    </row>
    <row r="144761" spans="25:37" x14ac:dyDescent="0.2">
      <c r="Y144761" s="5"/>
      <c r="AB144761" s="5"/>
      <c r="AE144761" s="5"/>
      <c r="AH144761" s="5"/>
      <c r="AK144761" s="5"/>
    </row>
    <row r="144771" spans="25:37" x14ac:dyDescent="0.2">
      <c r="Y144771" s="251"/>
      <c r="AB144771" s="251"/>
      <c r="AE144771" s="251"/>
      <c r="AH144771" s="251"/>
      <c r="AK144771" s="251"/>
    </row>
    <row r="144886" spans="25:37" x14ac:dyDescent="0.2">
      <c r="Y144886" s="5"/>
      <c r="AB144886" s="5"/>
      <c r="AE144886" s="5"/>
      <c r="AH144886" s="5"/>
      <c r="AK144886" s="5"/>
    </row>
    <row r="144896" spans="25:37" x14ac:dyDescent="0.2">
      <c r="Y144896" s="251"/>
      <c r="AB144896" s="251"/>
      <c r="AE144896" s="251"/>
      <c r="AH144896" s="251"/>
      <c r="AK144896" s="251"/>
    </row>
    <row r="145011" spans="25:37" x14ac:dyDescent="0.2">
      <c r="Y145011" s="5"/>
      <c r="AB145011" s="5"/>
      <c r="AE145011" s="5"/>
      <c r="AH145011" s="5"/>
      <c r="AK145011" s="5"/>
    </row>
    <row r="145021" spans="25:37" x14ac:dyDescent="0.2">
      <c r="Y145021" s="251"/>
      <c r="AB145021" s="251"/>
      <c r="AE145021" s="251"/>
      <c r="AH145021" s="251"/>
      <c r="AK145021" s="251"/>
    </row>
    <row r="145136" spans="25:37" x14ac:dyDescent="0.2">
      <c r="Y145136" s="5"/>
      <c r="AB145136" s="5"/>
      <c r="AE145136" s="5"/>
      <c r="AH145136" s="5"/>
      <c r="AK145136" s="5"/>
    </row>
    <row r="145146" spans="25:37" x14ac:dyDescent="0.2">
      <c r="Y145146" s="251"/>
      <c r="AB145146" s="251"/>
      <c r="AE145146" s="251"/>
      <c r="AH145146" s="251"/>
      <c r="AK145146" s="251"/>
    </row>
    <row r="145261" spans="25:37" x14ac:dyDescent="0.2">
      <c r="Y145261" s="5"/>
      <c r="AB145261" s="5"/>
      <c r="AE145261" s="5"/>
      <c r="AH145261" s="5"/>
      <c r="AK145261" s="5"/>
    </row>
    <row r="145271" spans="25:37" x14ac:dyDescent="0.2">
      <c r="Y145271" s="251"/>
      <c r="AB145271" s="251"/>
      <c r="AE145271" s="251"/>
      <c r="AH145271" s="251"/>
      <c r="AK145271" s="251"/>
    </row>
    <row r="145386" spans="25:37" x14ac:dyDescent="0.2">
      <c r="Y145386" s="5"/>
      <c r="AB145386" s="5"/>
      <c r="AE145386" s="5"/>
      <c r="AH145386" s="5"/>
      <c r="AK145386" s="5"/>
    </row>
    <row r="145396" spans="25:37" x14ac:dyDescent="0.2">
      <c r="Y145396" s="251"/>
      <c r="AB145396" s="251"/>
      <c r="AE145396" s="251"/>
      <c r="AH145396" s="251"/>
      <c r="AK145396" s="251"/>
    </row>
    <row r="145511" spans="25:37" x14ac:dyDescent="0.2">
      <c r="Y145511" s="5"/>
      <c r="AB145511" s="5"/>
      <c r="AE145511" s="5"/>
      <c r="AH145511" s="5"/>
      <c r="AK145511" s="5"/>
    </row>
    <row r="145521" spans="25:37" x14ac:dyDescent="0.2">
      <c r="Y145521" s="251"/>
      <c r="AB145521" s="251"/>
      <c r="AE145521" s="251"/>
      <c r="AH145521" s="251"/>
      <c r="AK145521" s="251"/>
    </row>
    <row r="145636" spans="25:37" x14ac:dyDescent="0.2">
      <c r="Y145636" s="5"/>
      <c r="AB145636" s="5"/>
      <c r="AE145636" s="5"/>
      <c r="AH145636" s="5"/>
      <c r="AK145636" s="5"/>
    </row>
    <row r="145646" spans="25:37" x14ac:dyDescent="0.2">
      <c r="Y145646" s="251"/>
      <c r="AB145646" s="251"/>
      <c r="AE145646" s="251"/>
      <c r="AH145646" s="251"/>
      <c r="AK145646" s="251"/>
    </row>
    <row r="145761" spans="25:37" x14ac:dyDescent="0.2">
      <c r="Y145761" s="5"/>
      <c r="AB145761" s="5"/>
      <c r="AE145761" s="5"/>
      <c r="AH145761" s="5"/>
      <c r="AK145761" s="5"/>
    </row>
    <row r="145771" spans="25:37" x14ac:dyDescent="0.2">
      <c r="Y145771" s="251"/>
      <c r="AB145771" s="251"/>
      <c r="AE145771" s="251"/>
      <c r="AH145771" s="251"/>
      <c r="AK145771" s="251"/>
    </row>
    <row r="145886" spans="25:37" x14ac:dyDescent="0.2">
      <c r="Y145886" s="5"/>
      <c r="AB145886" s="5"/>
      <c r="AE145886" s="5"/>
      <c r="AH145886" s="5"/>
      <c r="AK145886" s="5"/>
    </row>
    <row r="145896" spans="25:37" x14ac:dyDescent="0.2">
      <c r="Y145896" s="251"/>
      <c r="AB145896" s="251"/>
      <c r="AE145896" s="251"/>
      <c r="AH145896" s="251"/>
      <c r="AK145896" s="251"/>
    </row>
    <row r="146011" spans="25:37" x14ac:dyDescent="0.2">
      <c r="Y146011" s="5"/>
      <c r="AB146011" s="5"/>
      <c r="AE146011" s="5"/>
      <c r="AH146011" s="5"/>
      <c r="AK146011" s="5"/>
    </row>
    <row r="146021" spans="25:37" x14ac:dyDescent="0.2">
      <c r="Y146021" s="251"/>
      <c r="AB146021" s="251"/>
      <c r="AE146021" s="251"/>
      <c r="AH146021" s="251"/>
      <c r="AK146021" s="251"/>
    </row>
    <row r="146136" spans="25:37" x14ac:dyDescent="0.2">
      <c r="Y146136" s="5"/>
      <c r="AB146136" s="5"/>
      <c r="AE146136" s="5"/>
      <c r="AH146136" s="5"/>
      <c r="AK146136" s="5"/>
    </row>
    <row r="146146" spans="25:37" x14ac:dyDescent="0.2">
      <c r="Y146146" s="251"/>
      <c r="AB146146" s="251"/>
      <c r="AE146146" s="251"/>
      <c r="AH146146" s="251"/>
      <c r="AK146146" s="251"/>
    </row>
    <row r="146261" spans="25:37" x14ac:dyDescent="0.2">
      <c r="Y146261" s="5"/>
      <c r="AB146261" s="5"/>
      <c r="AE146261" s="5"/>
      <c r="AH146261" s="5"/>
      <c r="AK146261" s="5"/>
    </row>
    <row r="146271" spans="25:37" x14ac:dyDescent="0.2">
      <c r="Y146271" s="251"/>
      <c r="AB146271" s="251"/>
      <c r="AE146271" s="251"/>
      <c r="AH146271" s="251"/>
      <c r="AK146271" s="251"/>
    </row>
    <row r="146386" spans="25:37" x14ac:dyDescent="0.2">
      <c r="Y146386" s="5"/>
      <c r="AB146386" s="5"/>
      <c r="AE146386" s="5"/>
      <c r="AH146386" s="5"/>
      <c r="AK146386" s="5"/>
    </row>
    <row r="146396" spans="25:37" x14ac:dyDescent="0.2">
      <c r="Y146396" s="251"/>
      <c r="AB146396" s="251"/>
      <c r="AE146396" s="251"/>
      <c r="AH146396" s="251"/>
      <c r="AK146396" s="251"/>
    </row>
    <row r="146511" spans="25:37" x14ac:dyDescent="0.2">
      <c r="Y146511" s="5"/>
      <c r="AB146511" s="5"/>
      <c r="AE146511" s="5"/>
      <c r="AH146511" s="5"/>
      <c r="AK146511" s="5"/>
    </row>
    <row r="146521" spans="25:37" x14ac:dyDescent="0.2">
      <c r="Y146521" s="251"/>
      <c r="AB146521" s="251"/>
      <c r="AE146521" s="251"/>
      <c r="AH146521" s="251"/>
      <c r="AK146521" s="251"/>
    </row>
    <row r="146636" spans="25:37" x14ac:dyDescent="0.2">
      <c r="Y146636" s="5"/>
      <c r="AB146636" s="5"/>
      <c r="AE146636" s="5"/>
      <c r="AH146636" s="5"/>
      <c r="AK146636" s="5"/>
    </row>
    <row r="146646" spans="25:37" x14ac:dyDescent="0.2">
      <c r="Y146646" s="251"/>
      <c r="AB146646" s="251"/>
      <c r="AE146646" s="251"/>
      <c r="AH146646" s="251"/>
      <c r="AK146646" s="251"/>
    </row>
    <row r="146761" spans="25:37" x14ac:dyDescent="0.2">
      <c r="Y146761" s="5"/>
      <c r="AB146761" s="5"/>
      <c r="AE146761" s="5"/>
      <c r="AH146761" s="5"/>
      <c r="AK146761" s="5"/>
    </row>
    <row r="146771" spans="25:37" x14ac:dyDescent="0.2">
      <c r="Y146771" s="251"/>
      <c r="AB146771" s="251"/>
      <c r="AE146771" s="251"/>
      <c r="AH146771" s="251"/>
      <c r="AK146771" s="251"/>
    </row>
    <row r="146886" spans="25:37" x14ac:dyDescent="0.2">
      <c r="Y146886" s="5"/>
      <c r="AB146886" s="5"/>
      <c r="AE146886" s="5"/>
      <c r="AH146886" s="5"/>
      <c r="AK146886" s="5"/>
    </row>
    <row r="146896" spans="25:37" x14ac:dyDescent="0.2">
      <c r="Y146896" s="251"/>
      <c r="AB146896" s="251"/>
      <c r="AE146896" s="251"/>
      <c r="AH146896" s="251"/>
      <c r="AK146896" s="251"/>
    </row>
    <row r="147011" spans="25:37" x14ac:dyDescent="0.2">
      <c r="Y147011" s="5"/>
      <c r="AB147011" s="5"/>
      <c r="AE147011" s="5"/>
      <c r="AH147011" s="5"/>
      <c r="AK147011" s="5"/>
    </row>
    <row r="147021" spans="25:37" x14ac:dyDescent="0.2">
      <c r="Y147021" s="251"/>
      <c r="AB147021" s="251"/>
      <c r="AE147021" s="251"/>
      <c r="AH147021" s="251"/>
      <c r="AK147021" s="251"/>
    </row>
    <row r="147136" spans="25:37" x14ac:dyDescent="0.2">
      <c r="Y147136" s="5"/>
      <c r="AB147136" s="5"/>
      <c r="AE147136" s="5"/>
      <c r="AH147136" s="5"/>
      <c r="AK147136" s="5"/>
    </row>
    <row r="147146" spans="25:37" x14ac:dyDescent="0.2">
      <c r="Y147146" s="251"/>
      <c r="AB147146" s="251"/>
      <c r="AE147146" s="251"/>
      <c r="AH147146" s="251"/>
      <c r="AK147146" s="251"/>
    </row>
    <row r="147261" spans="25:37" x14ac:dyDescent="0.2">
      <c r="Y147261" s="5"/>
      <c r="AB147261" s="5"/>
      <c r="AE147261" s="5"/>
      <c r="AH147261" s="5"/>
      <c r="AK147261" s="5"/>
    </row>
    <row r="147271" spans="25:37" x14ac:dyDescent="0.2">
      <c r="Y147271" s="251"/>
      <c r="AB147271" s="251"/>
      <c r="AE147271" s="251"/>
      <c r="AH147271" s="251"/>
      <c r="AK147271" s="251"/>
    </row>
    <row r="147386" spans="25:37" x14ac:dyDescent="0.2">
      <c r="Y147386" s="5"/>
      <c r="AB147386" s="5"/>
      <c r="AE147386" s="5"/>
      <c r="AH147386" s="5"/>
      <c r="AK147386" s="5"/>
    </row>
    <row r="147396" spans="25:37" x14ac:dyDescent="0.2">
      <c r="Y147396" s="251"/>
      <c r="AB147396" s="251"/>
      <c r="AE147396" s="251"/>
      <c r="AH147396" s="251"/>
      <c r="AK147396" s="251"/>
    </row>
    <row r="147511" spans="25:37" x14ac:dyDescent="0.2">
      <c r="Y147511" s="5"/>
      <c r="AB147511" s="5"/>
      <c r="AE147511" s="5"/>
      <c r="AH147511" s="5"/>
      <c r="AK147511" s="5"/>
    </row>
    <row r="147521" spans="25:37" x14ac:dyDescent="0.2">
      <c r="Y147521" s="251"/>
      <c r="AB147521" s="251"/>
      <c r="AE147521" s="251"/>
      <c r="AH147521" s="251"/>
      <c r="AK147521" s="251"/>
    </row>
    <row r="147636" spans="25:37" x14ac:dyDescent="0.2">
      <c r="Y147636" s="5"/>
      <c r="AB147636" s="5"/>
      <c r="AE147636" s="5"/>
      <c r="AH147636" s="5"/>
      <c r="AK147636" s="5"/>
    </row>
    <row r="147646" spans="25:37" x14ac:dyDescent="0.2">
      <c r="Y147646" s="251"/>
      <c r="AB147646" s="251"/>
      <c r="AE147646" s="251"/>
      <c r="AH147646" s="251"/>
      <c r="AK147646" s="251"/>
    </row>
    <row r="147761" spans="25:37" x14ac:dyDescent="0.2">
      <c r="Y147761" s="5"/>
      <c r="AB147761" s="5"/>
      <c r="AE147761" s="5"/>
      <c r="AH147761" s="5"/>
      <c r="AK147761" s="5"/>
    </row>
    <row r="147771" spans="25:37" x14ac:dyDescent="0.2">
      <c r="Y147771" s="251"/>
      <c r="AB147771" s="251"/>
      <c r="AE147771" s="251"/>
      <c r="AH147771" s="251"/>
      <c r="AK147771" s="251"/>
    </row>
    <row r="147886" spans="25:37" x14ac:dyDescent="0.2">
      <c r="Y147886" s="5"/>
      <c r="AB147886" s="5"/>
      <c r="AE147886" s="5"/>
      <c r="AH147886" s="5"/>
      <c r="AK147886" s="5"/>
    </row>
    <row r="147896" spans="25:37" x14ac:dyDescent="0.2">
      <c r="Y147896" s="251"/>
      <c r="AB147896" s="251"/>
      <c r="AE147896" s="251"/>
      <c r="AH147896" s="251"/>
      <c r="AK147896" s="251"/>
    </row>
    <row r="148011" spans="25:37" x14ac:dyDescent="0.2">
      <c r="Y148011" s="5"/>
      <c r="AB148011" s="5"/>
      <c r="AE148011" s="5"/>
      <c r="AH148011" s="5"/>
      <c r="AK148011" s="5"/>
    </row>
    <row r="148021" spans="25:37" x14ac:dyDescent="0.2">
      <c r="Y148021" s="251"/>
      <c r="AB148021" s="251"/>
      <c r="AE148021" s="251"/>
      <c r="AH148021" s="251"/>
      <c r="AK148021" s="251"/>
    </row>
    <row r="148136" spans="25:37" x14ac:dyDescent="0.2">
      <c r="Y148136" s="5"/>
      <c r="AB148136" s="5"/>
      <c r="AE148136" s="5"/>
      <c r="AH148136" s="5"/>
      <c r="AK148136" s="5"/>
    </row>
    <row r="148146" spans="25:37" x14ac:dyDescent="0.2">
      <c r="Y148146" s="251"/>
      <c r="AB148146" s="251"/>
      <c r="AE148146" s="251"/>
      <c r="AH148146" s="251"/>
      <c r="AK148146" s="251"/>
    </row>
    <row r="148261" spans="25:37" x14ac:dyDescent="0.2">
      <c r="Y148261" s="5"/>
      <c r="AB148261" s="5"/>
      <c r="AE148261" s="5"/>
      <c r="AH148261" s="5"/>
      <c r="AK148261" s="5"/>
    </row>
    <row r="148271" spans="25:37" x14ac:dyDescent="0.2">
      <c r="Y148271" s="251"/>
      <c r="AB148271" s="251"/>
      <c r="AE148271" s="251"/>
      <c r="AH148271" s="251"/>
      <c r="AK148271" s="251"/>
    </row>
    <row r="148386" spans="25:37" x14ac:dyDescent="0.2">
      <c r="Y148386" s="5"/>
      <c r="AB148386" s="5"/>
      <c r="AE148386" s="5"/>
      <c r="AH148386" s="5"/>
      <c r="AK148386" s="5"/>
    </row>
    <row r="148396" spans="25:37" x14ac:dyDescent="0.2">
      <c r="Y148396" s="251"/>
      <c r="AB148396" s="251"/>
      <c r="AE148396" s="251"/>
      <c r="AH148396" s="251"/>
      <c r="AK148396" s="251"/>
    </row>
    <row r="148511" spans="25:37" x14ac:dyDescent="0.2">
      <c r="Y148511" s="5"/>
      <c r="AB148511" s="5"/>
      <c r="AE148511" s="5"/>
      <c r="AH148511" s="5"/>
      <c r="AK148511" s="5"/>
    </row>
    <row r="148521" spans="25:37" x14ac:dyDescent="0.2">
      <c r="Y148521" s="251"/>
      <c r="AB148521" s="251"/>
      <c r="AE148521" s="251"/>
      <c r="AH148521" s="251"/>
      <c r="AK148521" s="251"/>
    </row>
    <row r="148636" spans="25:37" x14ac:dyDescent="0.2">
      <c r="Y148636" s="5"/>
      <c r="AB148636" s="5"/>
      <c r="AE148636" s="5"/>
      <c r="AH148636" s="5"/>
      <c r="AK148636" s="5"/>
    </row>
    <row r="148646" spans="25:37" x14ac:dyDescent="0.2">
      <c r="Y148646" s="251"/>
      <c r="AB148646" s="251"/>
      <c r="AE148646" s="251"/>
      <c r="AH148646" s="251"/>
      <c r="AK148646" s="251"/>
    </row>
    <row r="148761" spans="25:37" x14ac:dyDescent="0.2">
      <c r="Y148761" s="5"/>
      <c r="AB148761" s="5"/>
      <c r="AE148761" s="5"/>
      <c r="AH148761" s="5"/>
      <c r="AK148761" s="5"/>
    </row>
    <row r="148771" spans="25:37" x14ac:dyDescent="0.2">
      <c r="Y148771" s="251"/>
      <c r="AB148771" s="251"/>
      <c r="AE148771" s="251"/>
      <c r="AH148771" s="251"/>
      <c r="AK148771" s="251"/>
    </row>
    <row r="148886" spans="25:37" x14ac:dyDescent="0.2">
      <c r="Y148886" s="5"/>
      <c r="AB148886" s="5"/>
      <c r="AE148886" s="5"/>
      <c r="AH148886" s="5"/>
      <c r="AK148886" s="5"/>
    </row>
    <row r="148896" spans="25:37" x14ac:dyDescent="0.2">
      <c r="Y148896" s="251"/>
      <c r="AB148896" s="251"/>
      <c r="AE148896" s="251"/>
      <c r="AH148896" s="251"/>
      <c r="AK148896" s="251"/>
    </row>
    <row r="149011" spans="25:37" x14ac:dyDescent="0.2">
      <c r="Y149011" s="5"/>
      <c r="AB149011" s="5"/>
      <c r="AE149011" s="5"/>
      <c r="AH149011" s="5"/>
      <c r="AK149011" s="5"/>
    </row>
    <row r="149021" spans="25:37" x14ac:dyDescent="0.2">
      <c r="Y149021" s="251"/>
      <c r="AB149021" s="251"/>
      <c r="AE149021" s="251"/>
      <c r="AH149021" s="251"/>
      <c r="AK149021" s="251"/>
    </row>
    <row r="149136" spans="25:37" x14ac:dyDescent="0.2">
      <c r="Y149136" s="5"/>
      <c r="AB149136" s="5"/>
      <c r="AE149136" s="5"/>
      <c r="AH149136" s="5"/>
      <c r="AK149136" s="5"/>
    </row>
    <row r="149146" spans="25:37" x14ac:dyDescent="0.2">
      <c r="Y149146" s="251"/>
      <c r="AB149146" s="251"/>
      <c r="AE149146" s="251"/>
      <c r="AH149146" s="251"/>
      <c r="AK149146" s="251"/>
    </row>
    <row r="149261" spans="25:37" x14ac:dyDescent="0.2">
      <c r="Y149261" s="5"/>
      <c r="AB149261" s="5"/>
      <c r="AE149261" s="5"/>
      <c r="AH149261" s="5"/>
      <c r="AK149261" s="5"/>
    </row>
    <row r="149271" spans="25:37" x14ac:dyDescent="0.2">
      <c r="Y149271" s="251"/>
      <c r="AB149271" s="251"/>
      <c r="AE149271" s="251"/>
      <c r="AH149271" s="251"/>
      <c r="AK149271" s="251"/>
    </row>
    <row r="149386" spans="25:37" x14ac:dyDescent="0.2">
      <c r="Y149386" s="5"/>
      <c r="AB149386" s="5"/>
      <c r="AE149386" s="5"/>
      <c r="AH149386" s="5"/>
      <c r="AK149386" s="5"/>
    </row>
    <row r="149396" spans="25:37" x14ac:dyDescent="0.2">
      <c r="Y149396" s="251"/>
      <c r="AB149396" s="251"/>
      <c r="AE149396" s="251"/>
      <c r="AH149396" s="251"/>
      <c r="AK149396" s="251"/>
    </row>
    <row r="149511" spans="25:37" x14ac:dyDescent="0.2">
      <c r="Y149511" s="5"/>
      <c r="AB149511" s="5"/>
      <c r="AE149511" s="5"/>
      <c r="AH149511" s="5"/>
      <c r="AK149511" s="5"/>
    </row>
    <row r="149521" spans="25:37" x14ac:dyDescent="0.2">
      <c r="Y149521" s="251"/>
      <c r="AB149521" s="251"/>
      <c r="AE149521" s="251"/>
      <c r="AH149521" s="251"/>
      <c r="AK149521" s="251"/>
    </row>
    <row r="149636" spans="25:37" x14ac:dyDescent="0.2">
      <c r="Y149636" s="5"/>
      <c r="AB149636" s="5"/>
      <c r="AE149636" s="5"/>
      <c r="AH149636" s="5"/>
      <c r="AK149636" s="5"/>
    </row>
    <row r="149646" spans="25:37" x14ac:dyDescent="0.2">
      <c r="Y149646" s="251"/>
      <c r="AB149646" s="251"/>
      <c r="AE149646" s="251"/>
      <c r="AH149646" s="251"/>
      <c r="AK149646" s="251"/>
    </row>
    <row r="149761" spans="25:37" x14ac:dyDescent="0.2">
      <c r="Y149761" s="5"/>
      <c r="AB149761" s="5"/>
      <c r="AE149761" s="5"/>
      <c r="AH149761" s="5"/>
      <c r="AK149761" s="5"/>
    </row>
    <row r="149771" spans="25:37" x14ac:dyDescent="0.2">
      <c r="Y149771" s="251"/>
      <c r="AB149771" s="251"/>
      <c r="AE149771" s="251"/>
      <c r="AH149771" s="251"/>
      <c r="AK149771" s="251"/>
    </row>
    <row r="149886" spans="25:37" x14ac:dyDescent="0.2">
      <c r="Y149886" s="5"/>
      <c r="AB149886" s="5"/>
      <c r="AE149886" s="5"/>
      <c r="AH149886" s="5"/>
      <c r="AK149886" s="5"/>
    </row>
    <row r="149896" spans="25:37" x14ac:dyDescent="0.2">
      <c r="Y149896" s="251"/>
      <c r="AB149896" s="251"/>
      <c r="AE149896" s="251"/>
      <c r="AH149896" s="251"/>
      <c r="AK149896" s="251"/>
    </row>
    <row r="150011" spans="25:37" x14ac:dyDescent="0.2">
      <c r="Y150011" s="5"/>
      <c r="AB150011" s="5"/>
      <c r="AE150011" s="5"/>
      <c r="AH150011" s="5"/>
      <c r="AK150011" s="5"/>
    </row>
    <row r="150021" spans="25:37" x14ac:dyDescent="0.2">
      <c r="Y150021" s="251"/>
      <c r="AB150021" s="251"/>
      <c r="AE150021" s="251"/>
      <c r="AH150021" s="251"/>
      <c r="AK150021" s="251"/>
    </row>
    <row r="150136" spans="25:37" x14ac:dyDescent="0.2">
      <c r="Y150136" s="5"/>
      <c r="AB150136" s="5"/>
      <c r="AE150136" s="5"/>
      <c r="AH150136" s="5"/>
      <c r="AK150136" s="5"/>
    </row>
    <row r="150146" spans="25:37" x14ac:dyDescent="0.2">
      <c r="Y150146" s="251"/>
      <c r="AB150146" s="251"/>
      <c r="AE150146" s="251"/>
      <c r="AH150146" s="251"/>
      <c r="AK150146" s="251"/>
    </row>
    <row r="150261" spans="25:37" x14ac:dyDescent="0.2">
      <c r="Y150261" s="5"/>
      <c r="AB150261" s="5"/>
      <c r="AE150261" s="5"/>
      <c r="AH150261" s="5"/>
      <c r="AK150261" s="5"/>
    </row>
    <row r="150271" spans="25:37" x14ac:dyDescent="0.2">
      <c r="Y150271" s="251"/>
      <c r="AB150271" s="251"/>
      <c r="AE150271" s="251"/>
      <c r="AH150271" s="251"/>
      <c r="AK150271" s="251"/>
    </row>
    <row r="150386" spans="25:37" x14ac:dyDescent="0.2">
      <c r="Y150386" s="5"/>
      <c r="AB150386" s="5"/>
      <c r="AE150386" s="5"/>
      <c r="AH150386" s="5"/>
      <c r="AK150386" s="5"/>
    </row>
    <row r="150396" spans="25:37" x14ac:dyDescent="0.2">
      <c r="Y150396" s="251"/>
      <c r="AB150396" s="251"/>
      <c r="AE150396" s="251"/>
      <c r="AH150396" s="251"/>
      <c r="AK150396" s="251"/>
    </row>
    <row r="150511" spans="25:37" x14ac:dyDescent="0.2">
      <c r="Y150511" s="5"/>
      <c r="AB150511" s="5"/>
      <c r="AE150511" s="5"/>
      <c r="AH150511" s="5"/>
      <c r="AK150511" s="5"/>
    </row>
    <row r="150521" spans="25:37" x14ac:dyDescent="0.2">
      <c r="Y150521" s="251"/>
      <c r="AB150521" s="251"/>
      <c r="AE150521" s="251"/>
      <c r="AH150521" s="251"/>
      <c r="AK150521" s="251"/>
    </row>
    <row r="150636" spans="25:37" x14ac:dyDescent="0.2">
      <c r="Y150636" s="5"/>
      <c r="AB150636" s="5"/>
      <c r="AE150636" s="5"/>
      <c r="AH150636" s="5"/>
      <c r="AK150636" s="5"/>
    </row>
    <row r="150646" spans="25:37" x14ac:dyDescent="0.2">
      <c r="Y150646" s="251"/>
      <c r="AB150646" s="251"/>
      <c r="AE150646" s="251"/>
      <c r="AH150646" s="251"/>
      <c r="AK150646" s="251"/>
    </row>
    <row r="150761" spans="25:37" x14ac:dyDescent="0.2">
      <c r="Y150761" s="5"/>
      <c r="AB150761" s="5"/>
      <c r="AE150761" s="5"/>
      <c r="AH150761" s="5"/>
      <c r="AK150761" s="5"/>
    </row>
    <row r="150771" spans="25:37" x14ac:dyDescent="0.2">
      <c r="Y150771" s="251"/>
      <c r="AB150771" s="251"/>
      <c r="AE150771" s="251"/>
      <c r="AH150771" s="251"/>
      <c r="AK150771" s="251"/>
    </row>
    <row r="150886" spans="25:37" x14ac:dyDescent="0.2">
      <c r="Y150886" s="5"/>
      <c r="AB150886" s="5"/>
      <c r="AE150886" s="5"/>
      <c r="AH150886" s="5"/>
      <c r="AK150886" s="5"/>
    </row>
    <row r="150896" spans="25:37" x14ac:dyDescent="0.2">
      <c r="Y150896" s="251"/>
      <c r="AB150896" s="251"/>
      <c r="AE150896" s="251"/>
      <c r="AH150896" s="251"/>
      <c r="AK150896" s="251"/>
    </row>
    <row r="151011" spans="25:37" x14ac:dyDescent="0.2">
      <c r="Y151011" s="5"/>
      <c r="AB151011" s="5"/>
      <c r="AE151011" s="5"/>
      <c r="AH151011" s="5"/>
      <c r="AK151011" s="5"/>
    </row>
    <row r="151021" spans="25:37" x14ac:dyDescent="0.2">
      <c r="Y151021" s="251"/>
      <c r="AB151021" s="251"/>
      <c r="AE151021" s="251"/>
      <c r="AH151021" s="251"/>
      <c r="AK151021" s="251"/>
    </row>
    <row r="151136" spans="25:37" x14ac:dyDescent="0.2">
      <c r="Y151136" s="5"/>
      <c r="AB151136" s="5"/>
      <c r="AE151136" s="5"/>
      <c r="AH151136" s="5"/>
      <c r="AK151136" s="5"/>
    </row>
    <row r="151146" spans="25:37" x14ac:dyDescent="0.2">
      <c r="Y151146" s="251"/>
      <c r="AB151146" s="251"/>
      <c r="AE151146" s="251"/>
      <c r="AH151146" s="251"/>
      <c r="AK151146" s="251"/>
    </row>
    <row r="151261" spans="25:37" x14ac:dyDescent="0.2">
      <c r="Y151261" s="5"/>
      <c r="AB151261" s="5"/>
      <c r="AE151261" s="5"/>
      <c r="AH151261" s="5"/>
      <c r="AK151261" s="5"/>
    </row>
    <row r="151271" spans="25:37" x14ac:dyDescent="0.2">
      <c r="Y151271" s="251"/>
      <c r="AB151271" s="251"/>
      <c r="AE151271" s="251"/>
      <c r="AH151271" s="251"/>
      <c r="AK151271" s="251"/>
    </row>
    <row r="151386" spans="25:37" x14ac:dyDescent="0.2">
      <c r="Y151386" s="5"/>
      <c r="AB151386" s="5"/>
      <c r="AE151386" s="5"/>
      <c r="AH151386" s="5"/>
      <c r="AK151386" s="5"/>
    </row>
    <row r="151396" spans="25:37" x14ac:dyDescent="0.2">
      <c r="Y151396" s="251"/>
      <c r="AB151396" s="251"/>
      <c r="AE151396" s="251"/>
      <c r="AH151396" s="251"/>
      <c r="AK151396" s="251"/>
    </row>
    <row r="151511" spans="25:37" x14ac:dyDescent="0.2">
      <c r="Y151511" s="5"/>
      <c r="AB151511" s="5"/>
      <c r="AE151511" s="5"/>
      <c r="AH151511" s="5"/>
      <c r="AK151511" s="5"/>
    </row>
    <row r="151521" spans="25:37" x14ac:dyDescent="0.2">
      <c r="Y151521" s="251"/>
      <c r="AB151521" s="251"/>
      <c r="AE151521" s="251"/>
      <c r="AH151521" s="251"/>
      <c r="AK151521" s="251"/>
    </row>
    <row r="151636" spans="25:37" x14ac:dyDescent="0.2">
      <c r="Y151636" s="5"/>
      <c r="AB151636" s="5"/>
      <c r="AE151636" s="5"/>
      <c r="AH151636" s="5"/>
      <c r="AK151636" s="5"/>
    </row>
    <row r="151646" spans="25:37" x14ac:dyDescent="0.2">
      <c r="Y151646" s="251"/>
      <c r="AB151646" s="251"/>
      <c r="AE151646" s="251"/>
      <c r="AH151646" s="251"/>
      <c r="AK151646" s="251"/>
    </row>
    <row r="151761" spans="25:37" x14ac:dyDescent="0.2">
      <c r="Y151761" s="5"/>
      <c r="AB151761" s="5"/>
      <c r="AE151761" s="5"/>
      <c r="AH151761" s="5"/>
      <c r="AK151761" s="5"/>
    </row>
    <row r="151771" spans="25:37" x14ac:dyDescent="0.2">
      <c r="Y151771" s="251"/>
      <c r="AB151771" s="251"/>
      <c r="AE151771" s="251"/>
      <c r="AH151771" s="251"/>
      <c r="AK151771" s="251"/>
    </row>
    <row r="151886" spans="25:37" x14ac:dyDescent="0.2">
      <c r="Y151886" s="5"/>
      <c r="AB151886" s="5"/>
      <c r="AE151886" s="5"/>
      <c r="AH151886" s="5"/>
      <c r="AK151886" s="5"/>
    </row>
    <row r="151896" spans="25:37" x14ac:dyDescent="0.2">
      <c r="Y151896" s="251"/>
      <c r="AB151896" s="251"/>
      <c r="AE151896" s="251"/>
      <c r="AH151896" s="251"/>
      <c r="AK151896" s="251"/>
    </row>
    <row r="152011" spans="25:37" x14ac:dyDescent="0.2">
      <c r="Y152011" s="5"/>
      <c r="AB152011" s="5"/>
      <c r="AE152011" s="5"/>
      <c r="AH152011" s="5"/>
      <c r="AK152011" s="5"/>
    </row>
    <row r="152021" spans="25:37" x14ac:dyDescent="0.2">
      <c r="Y152021" s="251"/>
      <c r="AB152021" s="251"/>
      <c r="AE152021" s="251"/>
      <c r="AH152021" s="251"/>
      <c r="AK152021" s="251"/>
    </row>
    <row r="152136" spans="25:37" x14ac:dyDescent="0.2">
      <c r="Y152136" s="5"/>
      <c r="AB152136" s="5"/>
      <c r="AE152136" s="5"/>
      <c r="AH152136" s="5"/>
      <c r="AK152136" s="5"/>
    </row>
    <row r="152146" spans="25:37" x14ac:dyDescent="0.2">
      <c r="Y152146" s="251"/>
      <c r="AB152146" s="251"/>
      <c r="AE152146" s="251"/>
      <c r="AH152146" s="251"/>
      <c r="AK152146" s="251"/>
    </row>
    <row r="152261" spans="25:37" x14ac:dyDescent="0.2">
      <c r="Y152261" s="5"/>
      <c r="AB152261" s="5"/>
      <c r="AE152261" s="5"/>
      <c r="AH152261" s="5"/>
      <c r="AK152261" s="5"/>
    </row>
    <row r="152271" spans="25:37" x14ac:dyDescent="0.2">
      <c r="Y152271" s="251"/>
      <c r="AB152271" s="251"/>
      <c r="AE152271" s="251"/>
      <c r="AH152271" s="251"/>
      <c r="AK152271" s="251"/>
    </row>
    <row r="152386" spans="25:37" x14ac:dyDescent="0.2">
      <c r="Y152386" s="5"/>
      <c r="AB152386" s="5"/>
      <c r="AE152386" s="5"/>
      <c r="AH152386" s="5"/>
      <c r="AK152386" s="5"/>
    </row>
    <row r="152396" spans="25:37" x14ac:dyDescent="0.2">
      <c r="Y152396" s="251"/>
      <c r="AB152396" s="251"/>
      <c r="AE152396" s="251"/>
      <c r="AH152396" s="251"/>
      <c r="AK152396" s="251"/>
    </row>
    <row r="152511" spans="25:37" x14ac:dyDescent="0.2">
      <c r="Y152511" s="5"/>
      <c r="AB152511" s="5"/>
      <c r="AE152511" s="5"/>
      <c r="AH152511" s="5"/>
      <c r="AK152511" s="5"/>
    </row>
    <row r="152521" spans="25:37" x14ac:dyDescent="0.2">
      <c r="Y152521" s="251"/>
      <c r="AB152521" s="251"/>
      <c r="AE152521" s="251"/>
      <c r="AH152521" s="251"/>
      <c r="AK152521" s="251"/>
    </row>
    <row r="152636" spans="25:37" x14ac:dyDescent="0.2">
      <c r="Y152636" s="5"/>
      <c r="AB152636" s="5"/>
      <c r="AE152636" s="5"/>
      <c r="AH152636" s="5"/>
      <c r="AK152636" s="5"/>
    </row>
    <row r="152646" spans="25:37" x14ac:dyDescent="0.2">
      <c r="Y152646" s="251"/>
      <c r="AB152646" s="251"/>
      <c r="AE152646" s="251"/>
      <c r="AH152646" s="251"/>
      <c r="AK152646" s="251"/>
    </row>
    <row r="152761" spans="25:37" x14ac:dyDescent="0.2">
      <c r="Y152761" s="5"/>
      <c r="AB152761" s="5"/>
      <c r="AE152761" s="5"/>
      <c r="AH152761" s="5"/>
      <c r="AK152761" s="5"/>
    </row>
    <row r="152771" spans="25:37" x14ac:dyDescent="0.2">
      <c r="Y152771" s="251"/>
      <c r="AB152771" s="251"/>
      <c r="AE152771" s="251"/>
      <c r="AH152771" s="251"/>
      <c r="AK152771" s="251"/>
    </row>
    <row r="152886" spans="25:37" x14ac:dyDescent="0.2">
      <c r="Y152886" s="5"/>
      <c r="AB152886" s="5"/>
      <c r="AE152886" s="5"/>
      <c r="AH152886" s="5"/>
      <c r="AK152886" s="5"/>
    </row>
    <row r="152896" spans="25:37" x14ac:dyDescent="0.2">
      <c r="Y152896" s="251"/>
      <c r="AB152896" s="251"/>
      <c r="AE152896" s="251"/>
      <c r="AH152896" s="251"/>
      <c r="AK152896" s="251"/>
    </row>
    <row r="153011" spans="25:37" x14ac:dyDescent="0.2">
      <c r="Y153011" s="5"/>
      <c r="AB153011" s="5"/>
      <c r="AE153011" s="5"/>
      <c r="AH153011" s="5"/>
      <c r="AK153011" s="5"/>
    </row>
    <row r="153021" spans="25:37" x14ac:dyDescent="0.2">
      <c r="Y153021" s="251"/>
      <c r="AB153021" s="251"/>
      <c r="AE153021" s="251"/>
      <c r="AH153021" s="251"/>
      <c r="AK153021" s="251"/>
    </row>
    <row r="153136" spans="25:37" x14ac:dyDescent="0.2">
      <c r="Y153136" s="5"/>
      <c r="AB153136" s="5"/>
      <c r="AE153136" s="5"/>
      <c r="AH153136" s="5"/>
      <c r="AK153136" s="5"/>
    </row>
    <row r="153146" spans="25:37" x14ac:dyDescent="0.2">
      <c r="Y153146" s="251"/>
      <c r="AB153146" s="251"/>
      <c r="AE153146" s="251"/>
      <c r="AH153146" s="251"/>
      <c r="AK153146" s="251"/>
    </row>
    <row r="153261" spans="25:37" x14ac:dyDescent="0.2">
      <c r="Y153261" s="5"/>
      <c r="AB153261" s="5"/>
      <c r="AE153261" s="5"/>
      <c r="AH153261" s="5"/>
      <c r="AK153261" s="5"/>
    </row>
    <row r="153271" spans="25:37" x14ac:dyDescent="0.2">
      <c r="Y153271" s="251"/>
      <c r="AB153271" s="251"/>
      <c r="AE153271" s="251"/>
      <c r="AH153271" s="251"/>
      <c r="AK153271" s="251"/>
    </row>
    <row r="153386" spans="25:37" x14ac:dyDescent="0.2">
      <c r="Y153386" s="5"/>
      <c r="AB153386" s="5"/>
      <c r="AE153386" s="5"/>
      <c r="AH153386" s="5"/>
      <c r="AK153386" s="5"/>
    </row>
    <row r="153396" spans="25:37" x14ac:dyDescent="0.2">
      <c r="Y153396" s="251"/>
      <c r="AB153396" s="251"/>
      <c r="AE153396" s="251"/>
      <c r="AH153396" s="251"/>
      <c r="AK153396" s="251"/>
    </row>
    <row r="153511" spans="25:37" x14ac:dyDescent="0.2">
      <c r="Y153511" s="5"/>
      <c r="AB153511" s="5"/>
      <c r="AE153511" s="5"/>
      <c r="AH153511" s="5"/>
      <c r="AK153511" s="5"/>
    </row>
    <row r="153521" spans="25:37" x14ac:dyDescent="0.2">
      <c r="Y153521" s="251"/>
      <c r="AB153521" s="251"/>
      <c r="AE153521" s="251"/>
      <c r="AH153521" s="251"/>
      <c r="AK153521" s="251"/>
    </row>
    <row r="153636" spans="25:37" x14ac:dyDescent="0.2">
      <c r="Y153636" s="5"/>
      <c r="AB153636" s="5"/>
      <c r="AE153636" s="5"/>
      <c r="AH153636" s="5"/>
      <c r="AK153636" s="5"/>
    </row>
    <row r="153646" spans="25:37" x14ac:dyDescent="0.2">
      <c r="Y153646" s="251"/>
      <c r="AB153646" s="251"/>
      <c r="AE153646" s="251"/>
      <c r="AH153646" s="251"/>
      <c r="AK153646" s="251"/>
    </row>
    <row r="153761" spans="25:37" x14ac:dyDescent="0.2">
      <c r="Y153761" s="5"/>
      <c r="AB153761" s="5"/>
      <c r="AE153761" s="5"/>
      <c r="AH153761" s="5"/>
      <c r="AK153761" s="5"/>
    </row>
    <row r="153771" spans="25:37" x14ac:dyDescent="0.2">
      <c r="Y153771" s="251"/>
      <c r="AB153771" s="251"/>
      <c r="AE153771" s="251"/>
      <c r="AH153771" s="251"/>
      <c r="AK153771" s="251"/>
    </row>
    <row r="153886" spans="25:37" x14ac:dyDescent="0.2">
      <c r="Y153886" s="5"/>
      <c r="AB153886" s="5"/>
      <c r="AE153886" s="5"/>
      <c r="AH153886" s="5"/>
      <c r="AK153886" s="5"/>
    </row>
    <row r="153896" spans="25:37" x14ac:dyDescent="0.2">
      <c r="Y153896" s="251"/>
      <c r="AB153896" s="251"/>
      <c r="AE153896" s="251"/>
      <c r="AH153896" s="251"/>
      <c r="AK153896" s="251"/>
    </row>
    <row r="154011" spans="25:37" x14ac:dyDescent="0.2">
      <c r="Y154011" s="5"/>
      <c r="AB154011" s="5"/>
      <c r="AE154011" s="5"/>
      <c r="AH154011" s="5"/>
      <c r="AK154011" s="5"/>
    </row>
    <row r="154021" spans="25:37" x14ac:dyDescent="0.2">
      <c r="Y154021" s="251"/>
      <c r="AB154021" s="251"/>
      <c r="AE154021" s="251"/>
      <c r="AH154021" s="251"/>
      <c r="AK154021" s="251"/>
    </row>
    <row r="154136" spans="25:37" x14ac:dyDescent="0.2">
      <c r="Y154136" s="5"/>
      <c r="AB154136" s="5"/>
      <c r="AE154136" s="5"/>
      <c r="AH154136" s="5"/>
      <c r="AK154136" s="5"/>
    </row>
    <row r="154146" spans="25:37" x14ac:dyDescent="0.2">
      <c r="Y154146" s="251"/>
      <c r="AB154146" s="251"/>
      <c r="AE154146" s="251"/>
      <c r="AH154146" s="251"/>
      <c r="AK154146" s="251"/>
    </row>
    <row r="154261" spans="25:37" x14ac:dyDescent="0.2">
      <c r="Y154261" s="5"/>
      <c r="AB154261" s="5"/>
      <c r="AE154261" s="5"/>
      <c r="AH154261" s="5"/>
      <c r="AK154261" s="5"/>
    </row>
    <row r="154271" spans="25:37" x14ac:dyDescent="0.2">
      <c r="Y154271" s="251"/>
      <c r="AB154271" s="251"/>
      <c r="AE154271" s="251"/>
      <c r="AH154271" s="251"/>
      <c r="AK154271" s="251"/>
    </row>
    <row r="154386" spans="25:37" x14ac:dyDescent="0.2">
      <c r="Y154386" s="5"/>
      <c r="AB154386" s="5"/>
      <c r="AE154386" s="5"/>
      <c r="AH154386" s="5"/>
      <c r="AK154386" s="5"/>
    </row>
    <row r="154396" spans="25:37" x14ac:dyDescent="0.2">
      <c r="Y154396" s="251"/>
      <c r="AB154396" s="251"/>
      <c r="AE154396" s="251"/>
      <c r="AH154396" s="251"/>
      <c r="AK154396" s="251"/>
    </row>
    <row r="154511" spans="25:37" x14ac:dyDescent="0.2">
      <c r="Y154511" s="5"/>
      <c r="AB154511" s="5"/>
      <c r="AE154511" s="5"/>
      <c r="AH154511" s="5"/>
      <c r="AK154511" s="5"/>
    </row>
    <row r="154521" spans="25:37" x14ac:dyDescent="0.2">
      <c r="Y154521" s="251"/>
      <c r="AB154521" s="251"/>
      <c r="AE154521" s="251"/>
      <c r="AH154521" s="251"/>
      <c r="AK154521" s="251"/>
    </row>
    <row r="154636" spans="25:37" x14ac:dyDescent="0.2">
      <c r="Y154636" s="5"/>
      <c r="AB154636" s="5"/>
      <c r="AE154636" s="5"/>
      <c r="AH154636" s="5"/>
      <c r="AK154636" s="5"/>
    </row>
    <row r="154646" spans="25:37" x14ac:dyDescent="0.2">
      <c r="Y154646" s="251"/>
      <c r="AB154646" s="251"/>
      <c r="AE154646" s="251"/>
      <c r="AH154646" s="251"/>
      <c r="AK154646" s="251"/>
    </row>
    <row r="154761" spans="25:37" x14ac:dyDescent="0.2">
      <c r="Y154761" s="5"/>
      <c r="AB154761" s="5"/>
      <c r="AE154761" s="5"/>
      <c r="AH154761" s="5"/>
      <c r="AK154761" s="5"/>
    </row>
    <row r="154771" spans="25:37" x14ac:dyDescent="0.2">
      <c r="Y154771" s="251"/>
      <c r="AB154771" s="251"/>
      <c r="AE154771" s="251"/>
      <c r="AH154771" s="251"/>
      <c r="AK154771" s="251"/>
    </row>
    <row r="154886" spans="25:37" x14ac:dyDescent="0.2">
      <c r="Y154886" s="5"/>
      <c r="AB154886" s="5"/>
      <c r="AE154886" s="5"/>
      <c r="AH154886" s="5"/>
      <c r="AK154886" s="5"/>
    </row>
    <row r="154896" spans="25:37" x14ac:dyDescent="0.2">
      <c r="Y154896" s="251"/>
      <c r="AB154896" s="251"/>
      <c r="AE154896" s="251"/>
      <c r="AH154896" s="251"/>
      <c r="AK154896" s="251"/>
    </row>
    <row r="155011" spans="25:37" x14ac:dyDescent="0.2">
      <c r="Y155011" s="5"/>
      <c r="AB155011" s="5"/>
      <c r="AE155011" s="5"/>
      <c r="AH155011" s="5"/>
      <c r="AK155011" s="5"/>
    </row>
    <row r="155021" spans="25:37" x14ac:dyDescent="0.2">
      <c r="Y155021" s="251"/>
      <c r="AB155021" s="251"/>
      <c r="AE155021" s="251"/>
      <c r="AH155021" s="251"/>
      <c r="AK155021" s="251"/>
    </row>
    <row r="155136" spans="25:37" x14ac:dyDescent="0.2">
      <c r="Y155136" s="5"/>
      <c r="AB155136" s="5"/>
      <c r="AE155136" s="5"/>
      <c r="AH155136" s="5"/>
      <c r="AK155136" s="5"/>
    </row>
    <row r="155146" spans="25:37" x14ac:dyDescent="0.2">
      <c r="Y155146" s="251"/>
      <c r="AB155146" s="251"/>
      <c r="AE155146" s="251"/>
      <c r="AH155146" s="251"/>
      <c r="AK155146" s="251"/>
    </row>
    <row r="155261" spans="25:37" x14ac:dyDescent="0.2">
      <c r="Y155261" s="5"/>
      <c r="AB155261" s="5"/>
      <c r="AE155261" s="5"/>
      <c r="AH155261" s="5"/>
      <c r="AK155261" s="5"/>
    </row>
    <row r="155271" spans="25:37" x14ac:dyDescent="0.2">
      <c r="Y155271" s="251"/>
      <c r="AB155271" s="251"/>
      <c r="AE155271" s="251"/>
      <c r="AH155271" s="251"/>
      <c r="AK155271" s="251"/>
    </row>
    <row r="155386" spans="25:37" x14ac:dyDescent="0.2">
      <c r="Y155386" s="5"/>
      <c r="AB155386" s="5"/>
      <c r="AE155386" s="5"/>
      <c r="AH155386" s="5"/>
      <c r="AK155386" s="5"/>
    </row>
    <row r="155396" spans="25:37" x14ac:dyDescent="0.2">
      <c r="Y155396" s="251"/>
      <c r="AB155396" s="251"/>
      <c r="AE155396" s="251"/>
      <c r="AH155396" s="251"/>
      <c r="AK155396" s="251"/>
    </row>
    <row r="155511" spans="25:37" x14ac:dyDescent="0.2">
      <c r="Y155511" s="5"/>
      <c r="AB155511" s="5"/>
      <c r="AE155511" s="5"/>
      <c r="AH155511" s="5"/>
      <c r="AK155511" s="5"/>
    </row>
    <row r="155521" spans="25:37" x14ac:dyDescent="0.2">
      <c r="Y155521" s="251"/>
      <c r="AB155521" s="251"/>
      <c r="AE155521" s="251"/>
      <c r="AH155521" s="251"/>
      <c r="AK155521" s="251"/>
    </row>
    <row r="155636" spans="25:37" x14ac:dyDescent="0.2">
      <c r="Y155636" s="5"/>
      <c r="AB155636" s="5"/>
      <c r="AE155636" s="5"/>
      <c r="AH155636" s="5"/>
      <c r="AK155636" s="5"/>
    </row>
    <row r="155646" spans="25:37" x14ac:dyDescent="0.2">
      <c r="Y155646" s="251"/>
      <c r="AB155646" s="251"/>
      <c r="AE155646" s="251"/>
      <c r="AH155646" s="251"/>
      <c r="AK155646" s="251"/>
    </row>
    <row r="155761" spans="25:37" x14ac:dyDescent="0.2">
      <c r="Y155761" s="5"/>
      <c r="AB155761" s="5"/>
      <c r="AE155761" s="5"/>
      <c r="AH155761" s="5"/>
      <c r="AK155761" s="5"/>
    </row>
    <row r="155771" spans="25:37" x14ac:dyDescent="0.2">
      <c r="Y155771" s="251"/>
      <c r="AB155771" s="251"/>
      <c r="AE155771" s="251"/>
      <c r="AH155771" s="251"/>
      <c r="AK155771" s="251"/>
    </row>
    <row r="155886" spans="25:37" x14ac:dyDescent="0.2">
      <c r="Y155886" s="5"/>
      <c r="AB155886" s="5"/>
      <c r="AE155886" s="5"/>
      <c r="AH155886" s="5"/>
      <c r="AK155886" s="5"/>
    </row>
    <row r="155896" spans="25:37" x14ac:dyDescent="0.2">
      <c r="Y155896" s="251"/>
      <c r="AB155896" s="251"/>
      <c r="AE155896" s="251"/>
      <c r="AH155896" s="251"/>
      <c r="AK155896" s="251"/>
    </row>
    <row r="156011" spans="25:37" x14ac:dyDescent="0.2">
      <c r="Y156011" s="5"/>
      <c r="AB156011" s="5"/>
      <c r="AE156011" s="5"/>
      <c r="AH156011" s="5"/>
      <c r="AK156011" s="5"/>
    </row>
    <row r="156021" spans="25:37" x14ac:dyDescent="0.2">
      <c r="Y156021" s="251"/>
      <c r="AB156021" s="251"/>
      <c r="AE156021" s="251"/>
      <c r="AH156021" s="251"/>
      <c r="AK156021" s="251"/>
    </row>
    <row r="156136" spans="25:37" x14ac:dyDescent="0.2">
      <c r="Y156136" s="5"/>
      <c r="AB156136" s="5"/>
      <c r="AE156136" s="5"/>
      <c r="AH156136" s="5"/>
      <c r="AK156136" s="5"/>
    </row>
    <row r="156146" spans="25:37" x14ac:dyDescent="0.2">
      <c r="Y156146" s="251"/>
      <c r="AB156146" s="251"/>
      <c r="AE156146" s="251"/>
      <c r="AH156146" s="251"/>
      <c r="AK156146" s="251"/>
    </row>
    <row r="156261" spans="25:37" x14ac:dyDescent="0.2">
      <c r="Y156261" s="5"/>
      <c r="AB156261" s="5"/>
      <c r="AE156261" s="5"/>
      <c r="AH156261" s="5"/>
      <c r="AK156261" s="5"/>
    </row>
    <row r="156271" spans="25:37" x14ac:dyDescent="0.2">
      <c r="Y156271" s="251"/>
      <c r="AB156271" s="251"/>
      <c r="AE156271" s="251"/>
      <c r="AH156271" s="251"/>
      <c r="AK156271" s="251"/>
    </row>
    <row r="156386" spans="25:37" x14ac:dyDescent="0.2">
      <c r="Y156386" s="5"/>
      <c r="AB156386" s="5"/>
      <c r="AE156386" s="5"/>
      <c r="AH156386" s="5"/>
      <c r="AK156386" s="5"/>
    </row>
    <row r="156396" spans="25:37" x14ac:dyDescent="0.2">
      <c r="Y156396" s="251"/>
      <c r="AB156396" s="251"/>
      <c r="AE156396" s="251"/>
      <c r="AH156396" s="251"/>
      <c r="AK156396" s="251"/>
    </row>
    <row r="156511" spans="25:37" x14ac:dyDescent="0.2">
      <c r="Y156511" s="5"/>
      <c r="AB156511" s="5"/>
      <c r="AE156511" s="5"/>
      <c r="AH156511" s="5"/>
      <c r="AK156511" s="5"/>
    </row>
    <row r="156521" spans="25:37" x14ac:dyDescent="0.2">
      <c r="Y156521" s="251"/>
      <c r="AB156521" s="251"/>
      <c r="AE156521" s="251"/>
      <c r="AH156521" s="251"/>
      <c r="AK156521" s="251"/>
    </row>
    <row r="156636" spans="25:37" x14ac:dyDescent="0.2">
      <c r="Y156636" s="5"/>
      <c r="AB156636" s="5"/>
      <c r="AE156636" s="5"/>
      <c r="AH156636" s="5"/>
      <c r="AK156636" s="5"/>
    </row>
    <row r="156646" spans="25:37" x14ac:dyDescent="0.2">
      <c r="Y156646" s="251"/>
      <c r="AB156646" s="251"/>
      <c r="AE156646" s="251"/>
      <c r="AH156646" s="251"/>
      <c r="AK156646" s="251"/>
    </row>
    <row r="156761" spans="25:37" x14ac:dyDescent="0.2">
      <c r="Y156761" s="5"/>
      <c r="AB156761" s="5"/>
      <c r="AE156761" s="5"/>
      <c r="AH156761" s="5"/>
      <c r="AK156761" s="5"/>
    </row>
    <row r="156771" spans="25:37" x14ac:dyDescent="0.2">
      <c r="Y156771" s="251"/>
      <c r="AB156771" s="251"/>
      <c r="AE156771" s="251"/>
      <c r="AH156771" s="251"/>
      <c r="AK156771" s="251"/>
    </row>
    <row r="156886" spans="25:37" x14ac:dyDescent="0.2">
      <c r="Y156886" s="5"/>
      <c r="AB156886" s="5"/>
      <c r="AE156886" s="5"/>
      <c r="AH156886" s="5"/>
      <c r="AK156886" s="5"/>
    </row>
    <row r="156896" spans="25:37" x14ac:dyDescent="0.2">
      <c r="Y156896" s="251"/>
      <c r="AB156896" s="251"/>
      <c r="AE156896" s="251"/>
      <c r="AH156896" s="251"/>
      <c r="AK156896" s="251"/>
    </row>
    <row r="157011" spans="25:37" x14ac:dyDescent="0.2">
      <c r="Y157011" s="5"/>
      <c r="AB157011" s="5"/>
      <c r="AE157011" s="5"/>
      <c r="AH157011" s="5"/>
      <c r="AK157011" s="5"/>
    </row>
    <row r="157021" spans="25:37" x14ac:dyDescent="0.2">
      <c r="Y157021" s="251"/>
      <c r="AB157021" s="251"/>
      <c r="AE157021" s="251"/>
      <c r="AH157021" s="251"/>
      <c r="AK157021" s="251"/>
    </row>
    <row r="157136" spans="25:37" x14ac:dyDescent="0.2">
      <c r="Y157136" s="5"/>
      <c r="AB157136" s="5"/>
      <c r="AE157136" s="5"/>
      <c r="AH157136" s="5"/>
      <c r="AK157136" s="5"/>
    </row>
    <row r="157146" spans="25:37" x14ac:dyDescent="0.2">
      <c r="Y157146" s="251"/>
      <c r="AB157146" s="251"/>
      <c r="AE157146" s="251"/>
      <c r="AH157146" s="251"/>
      <c r="AK157146" s="251"/>
    </row>
    <row r="157261" spans="25:37" x14ac:dyDescent="0.2">
      <c r="Y157261" s="5"/>
      <c r="AB157261" s="5"/>
      <c r="AE157261" s="5"/>
      <c r="AH157261" s="5"/>
      <c r="AK157261" s="5"/>
    </row>
    <row r="157271" spans="25:37" x14ac:dyDescent="0.2">
      <c r="Y157271" s="251"/>
      <c r="AB157271" s="251"/>
      <c r="AE157271" s="251"/>
      <c r="AH157271" s="251"/>
      <c r="AK157271" s="251"/>
    </row>
    <row r="157386" spans="25:37" x14ac:dyDescent="0.2">
      <c r="Y157386" s="5"/>
      <c r="AB157386" s="5"/>
      <c r="AE157386" s="5"/>
      <c r="AH157386" s="5"/>
      <c r="AK157386" s="5"/>
    </row>
    <row r="157396" spans="25:37" x14ac:dyDescent="0.2">
      <c r="Y157396" s="251"/>
      <c r="AB157396" s="251"/>
      <c r="AE157396" s="251"/>
      <c r="AH157396" s="251"/>
      <c r="AK157396" s="251"/>
    </row>
    <row r="157511" spans="25:37" x14ac:dyDescent="0.2">
      <c r="Y157511" s="5"/>
      <c r="AB157511" s="5"/>
      <c r="AE157511" s="5"/>
      <c r="AH157511" s="5"/>
      <c r="AK157511" s="5"/>
    </row>
    <row r="157521" spans="25:37" x14ac:dyDescent="0.2">
      <c r="Y157521" s="251"/>
      <c r="AB157521" s="251"/>
      <c r="AE157521" s="251"/>
      <c r="AH157521" s="251"/>
      <c r="AK157521" s="251"/>
    </row>
    <row r="157636" spans="25:37" x14ac:dyDescent="0.2">
      <c r="Y157636" s="5"/>
      <c r="AB157636" s="5"/>
      <c r="AE157636" s="5"/>
      <c r="AH157636" s="5"/>
      <c r="AK157636" s="5"/>
    </row>
    <row r="157646" spans="25:37" x14ac:dyDescent="0.2">
      <c r="Y157646" s="251"/>
      <c r="AB157646" s="251"/>
      <c r="AE157646" s="251"/>
      <c r="AH157646" s="251"/>
      <c r="AK157646" s="251"/>
    </row>
    <row r="157761" spans="25:37" x14ac:dyDescent="0.2">
      <c r="Y157761" s="5"/>
      <c r="AB157761" s="5"/>
      <c r="AE157761" s="5"/>
      <c r="AH157761" s="5"/>
      <c r="AK157761" s="5"/>
    </row>
    <row r="157771" spans="25:37" x14ac:dyDescent="0.2">
      <c r="Y157771" s="251"/>
      <c r="AB157771" s="251"/>
      <c r="AE157771" s="251"/>
      <c r="AH157771" s="251"/>
      <c r="AK157771" s="251"/>
    </row>
    <row r="157886" spans="25:37" x14ac:dyDescent="0.2">
      <c r="Y157886" s="5"/>
      <c r="AB157886" s="5"/>
      <c r="AE157886" s="5"/>
      <c r="AH157886" s="5"/>
      <c r="AK157886" s="5"/>
    </row>
    <row r="157896" spans="25:37" x14ac:dyDescent="0.2">
      <c r="Y157896" s="251"/>
      <c r="AB157896" s="251"/>
      <c r="AE157896" s="251"/>
      <c r="AH157896" s="251"/>
      <c r="AK157896" s="251"/>
    </row>
    <row r="158011" spans="25:37" x14ac:dyDescent="0.2">
      <c r="Y158011" s="5"/>
      <c r="AB158011" s="5"/>
      <c r="AE158011" s="5"/>
      <c r="AH158011" s="5"/>
      <c r="AK158011" s="5"/>
    </row>
    <row r="158021" spans="25:37" x14ac:dyDescent="0.2">
      <c r="Y158021" s="251"/>
      <c r="AB158021" s="251"/>
      <c r="AE158021" s="251"/>
      <c r="AH158021" s="251"/>
      <c r="AK158021" s="251"/>
    </row>
    <row r="158136" spans="25:37" x14ac:dyDescent="0.2">
      <c r="Y158136" s="5"/>
      <c r="AB158136" s="5"/>
      <c r="AE158136" s="5"/>
      <c r="AH158136" s="5"/>
      <c r="AK158136" s="5"/>
    </row>
    <row r="158146" spans="25:37" x14ac:dyDescent="0.2">
      <c r="Y158146" s="251"/>
      <c r="AB158146" s="251"/>
      <c r="AE158146" s="251"/>
      <c r="AH158146" s="251"/>
      <c r="AK158146" s="251"/>
    </row>
    <row r="158261" spans="25:37" x14ac:dyDescent="0.2">
      <c r="Y158261" s="5"/>
      <c r="AB158261" s="5"/>
      <c r="AE158261" s="5"/>
      <c r="AH158261" s="5"/>
      <c r="AK158261" s="5"/>
    </row>
    <row r="158271" spans="25:37" x14ac:dyDescent="0.2">
      <c r="Y158271" s="251"/>
      <c r="AB158271" s="251"/>
      <c r="AE158271" s="251"/>
      <c r="AH158271" s="251"/>
      <c r="AK158271" s="251"/>
    </row>
    <row r="158386" spans="25:37" x14ac:dyDescent="0.2">
      <c r="Y158386" s="5"/>
      <c r="AB158386" s="5"/>
      <c r="AE158386" s="5"/>
      <c r="AH158386" s="5"/>
      <c r="AK158386" s="5"/>
    </row>
    <row r="158396" spans="25:37" x14ac:dyDescent="0.2">
      <c r="Y158396" s="251"/>
      <c r="AB158396" s="251"/>
      <c r="AE158396" s="251"/>
      <c r="AH158396" s="251"/>
      <c r="AK158396" s="251"/>
    </row>
    <row r="158511" spans="25:37" x14ac:dyDescent="0.2">
      <c r="Y158511" s="5"/>
      <c r="AB158511" s="5"/>
      <c r="AE158511" s="5"/>
      <c r="AH158511" s="5"/>
      <c r="AK158511" s="5"/>
    </row>
    <row r="158521" spans="25:37" x14ac:dyDescent="0.2">
      <c r="Y158521" s="251"/>
      <c r="AB158521" s="251"/>
      <c r="AE158521" s="251"/>
      <c r="AH158521" s="251"/>
      <c r="AK158521" s="251"/>
    </row>
    <row r="158636" spans="25:37" x14ac:dyDescent="0.2">
      <c r="Y158636" s="5"/>
      <c r="AB158636" s="5"/>
      <c r="AE158636" s="5"/>
      <c r="AH158636" s="5"/>
      <c r="AK158636" s="5"/>
    </row>
    <row r="158646" spans="25:37" x14ac:dyDescent="0.2">
      <c r="Y158646" s="251"/>
      <c r="AB158646" s="251"/>
      <c r="AE158646" s="251"/>
      <c r="AH158646" s="251"/>
      <c r="AK158646" s="251"/>
    </row>
    <row r="158761" spans="25:37" x14ac:dyDescent="0.2">
      <c r="Y158761" s="5"/>
      <c r="AB158761" s="5"/>
      <c r="AE158761" s="5"/>
      <c r="AH158761" s="5"/>
      <c r="AK158761" s="5"/>
    </row>
    <row r="158771" spans="25:37" x14ac:dyDescent="0.2">
      <c r="Y158771" s="251"/>
      <c r="AB158771" s="251"/>
      <c r="AE158771" s="251"/>
      <c r="AH158771" s="251"/>
      <c r="AK158771" s="251"/>
    </row>
    <row r="158886" spans="25:37" x14ac:dyDescent="0.2">
      <c r="Y158886" s="5"/>
      <c r="AB158886" s="5"/>
      <c r="AE158886" s="5"/>
      <c r="AH158886" s="5"/>
      <c r="AK158886" s="5"/>
    </row>
    <row r="158896" spans="25:37" x14ac:dyDescent="0.2">
      <c r="Y158896" s="251"/>
      <c r="AB158896" s="251"/>
      <c r="AE158896" s="251"/>
      <c r="AH158896" s="251"/>
      <c r="AK158896" s="251"/>
    </row>
    <row r="159011" spans="25:37" x14ac:dyDescent="0.2">
      <c r="Y159011" s="5"/>
      <c r="AB159011" s="5"/>
      <c r="AE159011" s="5"/>
      <c r="AH159011" s="5"/>
      <c r="AK159011" s="5"/>
    </row>
    <row r="159021" spans="25:37" x14ac:dyDescent="0.2">
      <c r="Y159021" s="251"/>
      <c r="AB159021" s="251"/>
      <c r="AE159021" s="251"/>
      <c r="AH159021" s="251"/>
      <c r="AK159021" s="251"/>
    </row>
    <row r="159136" spans="25:37" x14ac:dyDescent="0.2">
      <c r="Y159136" s="5"/>
      <c r="AB159136" s="5"/>
      <c r="AE159136" s="5"/>
      <c r="AH159136" s="5"/>
      <c r="AK159136" s="5"/>
    </row>
    <row r="159146" spans="25:37" x14ac:dyDescent="0.2">
      <c r="Y159146" s="251"/>
      <c r="AB159146" s="251"/>
      <c r="AE159146" s="251"/>
      <c r="AH159146" s="251"/>
      <c r="AK159146" s="251"/>
    </row>
    <row r="159261" spans="25:37" x14ac:dyDescent="0.2">
      <c r="Y159261" s="5"/>
      <c r="AB159261" s="5"/>
      <c r="AE159261" s="5"/>
      <c r="AH159261" s="5"/>
      <c r="AK159261" s="5"/>
    </row>
    <row r="159271" spans="25:37" x14ac:dyDescent="0.2">
      <c r="Y159271" s="251"/>
      <c r="AB159271" s="251"/>
      <c r="AE159271" s="251"/>
      <c r="AH159271" s="251"/>
      <c r="AK159271" s="251"/>
    </row>
    <row r="159386" spans="25:37" x14ac:dyDescent="0.2">
      <c r="Y159386" s="5"/>
      <c r="AB159386" s="5"/>
      <c r="AE159386" s="5"/>
      <c r="AH159386" s="5"/>
      <c r="AK159386" s="5"/>
    </row>
    <row r="159396" spans="25:37" x14ac:dyDescent="0.2">
      <c r="Y159396" s="251"/>
      <c r="AB159396" s="251"/>
      <c r="AE159396" s="251"/>
      <c r="AH159396" s="251"/>
      <c r="AK159396" s="251"/>
    </row>
    <row r="159511" spans="25:37" x14ac:dyDescent="0.2">
      <c r="Y159511" s="5"/>
      <c r="AB159511" s="5"/>
      <c r="AE159511" s="5"/>
      <c r="AH159511" s="5"/>
      <c r="AK159511" s="5"/>
    </row>
    <row r="159521" spans="25:37" x14ac:dyDescent="0.2">
      <c r="Y159521" s="251"/>
      <c r="AB159521" s="251"/>
      <c r="AE159521" s="251"/>
      <c r="AH159521" s="251"/>
      <c r="AK159521" s="251"/>
    </row>
    <row r="159636" spans="25:37" x14ac:dyDescent="0.2">
      <c r="Y159636" s="5"/>
      <c r="AB159636" s="5"/>
      <c r="AE159636" s="5"/>
      <c r="AH159636" s="5"/>
      <c r="AK159636" s="5"/>
    </row>
    <row r="159646" spans="25:37" x14ac:dyDescent="0.2">
      <c r="Y159646" s="251"/>
      <c r="AB159646" s="251"/>
      <c r="AE159646" s="251"/>
      <c r="AH159646" s="251"/>
      <c r="AK159646" s="251"/>
    </row>
    <row r="159761" spans="25:37" x14ac:dyDescent="0.2">
      <c r="Y159761" s="5"/>
      <c r="AB159761" s="5"/>
      <c r="AE159761" s="5"/>
      <c r="AH159761" s="5"/>
      <c r="AK159761" s="5"/>
    </row>
    <row r="159771" spans="25:37" x14ac:dyDescent="0.2">
      <c r="Y159771" s="251"/>
      <c r="AB159771" s="251"/>
      <c r="AE159771" s="251"/>
      <c r="AH159771" s="251"/>
      <c r="AK159771" s="251"/>
    </row>
    <row r="159886" spans="25:37" x14ac:dyDescent="0.2">
      <c r="Y159886" s="5"/>
      <c r="AB159886" s="5"/>
      <c r="AE159886" s="5"/>
      <c r="AH159886" s="5"/>
      <c r="AK159886" s="5"/>
    </row>
    <row r="159896" spans="25:37" x14ac:dyDescent="0.2">
      <c r="Y159896" s="251"/>
      <c r="AB159896" s="251"/>
      <c r="AE159896" s="251"/>
      <c r="AH159896" s="251"/>
      <c r="AK159896" s="251"/>
    </row>
    <row r="160011" spans="25:37" x14ac:dyDescent="0.2">
      <c r="Y160011" s="5"/>
      <c r="AB160011" s="5"/>
      <c r="AE160011" s="5"/>
      <c r="AH160011" s="5"/>
      <c r="AK160011" s="5"/>
    </row>
    <row r="160021" spans="25:37" x14ac:dyDescent="0.2">
      <c r="Y160021" s="251"/>
      <c r="AB160021" s="251"/>
      <c r="AE160021" s="251"/>
      <c r="AH160021" s="251"/>
      <c r="AK160021" s="251"/>
    </row>
    <row r="160136" spans="25:37" x14ac:dyDescent="0.2">
      <c r="Y160136" s="5"/>
      <c r="AB160136" s="5"/>
      <c r="AE160136" s="5"/>
      <c r="AH160136" s="5"/>
      <c r="AK160136" s="5"/>
    </row>
    <row r="160146" spans="25:37" x14ac:dyDescent="0.2">
      <c r="Y160146" s="251"/>
      <c r="AB160146" s="251"/>
      <c r="AE160146" s="251"/>
      <c r="AH160146" s="251"/>
      <c r="AK160146" s="251"/>
    </row>
    <row r="160261" spans="25:37" x14ac:dyDescent="0.2">
      <c r="Y160261" s="5"/>
      <c r="AB160261" s="5"/>
      <c r="AE160261" s="5"/>
      <c r="AH160261" s="5"/>
      <c r="AK160261" s="5"/>
    </row>
    <row r="160271" spans="25:37" x14ac:dyDescent="0.2">
      <c r="Y160271" s="251"/>
      <c r="AB160271" s="251"/>
      <c r="AE160271" s="251"/>
      <c r="AH160271" s="251"/>
      <c r="AK160271" s="251"/>
    </row>
    <row r="160386" spans="25:37" x14ac:dyDescent="0.2">
      <c r="Y160386" s="5"/>
      <c r="AB160386" s="5"/>
      <c r="AE160386" s="5"/>
      <c r="AH160386" s="5"/>
      <c r="AK160386" s="5"/>
    </row>
    <row r="160396" spans="25:37" x14ac:dyDescent="0.2">
      <c r="Y160396" s="251"/>
      <c r="AB160396" s="251"/>
      <c r="AE160396" s="251"/>
      <c r="AH160396" s="251"/>
      <c r="AK160396" s="251"/>
    </row>
    <row r="160511" spans="25:37" x14ac:dyDescent="0.2">
      <c r="Y160511" s="5"/>
      <c r="AB160511" s="5"/>
      <c r="AE160511" s="5"/>
      <c r="AH160511" s="5"/>
      <c r="AK160511" s="5"/>
    </row>
    <row r="160521" spans="25:37" x14ac:dyDescent="0.2">
      <c r="Y160521" s="251"/>
      <c r="AB160521" s="251"/>
      <c r="AE160521" s="251"/>
      <c r="AH160521" s="251"/>
      <c r="AK160521" s="251"/>
    </row>
    <row r="160636" spans="25:37" x14ac:dyDescent="0.2">
      <c r="Y160636" s="5"/>
      <c r="AB160636" s="5"/>
      <c r="AE160636" s="5"/>
      <c r="AH160636" s="5"/>
      <c r="AK160636" s="5"/>
    </row>
    <row r="160646" spans="25:37" x14ac:dyDescent="0.2">
      <c r="Y160646" s="251"/>
      <c r="AB160646" s="251"/>
      <c r="AE160646" s="251"/>
      <c r="AH160646" s="251"/>
      <c r="AK160646" s="251"/>
    </row>
    <row r="160761" spans="25:37" x14ac:dyDescent="0.2">
      <c r="Y160761" s="5"/>
      <c r="AB160761" s="5"/>
      <c r="AE160761" s="5"/>
      <c r="AH160761" s="5"/>
      <c r="AK160761" s="5"/>
    </row>
    <row r="160771" spans="25:37" x14ac:dyDescent="0.2">
      <c r="Y160771" s="251"/>
      <c r="AB160771" s="251"/>
      <c r="AE160771" s="251"/>
      <c r="AH160771" s="251"/>
      <c r="AK160771" s="251"/>
    </row>
    <row r="160886" spans="25:37" x14ac:dyDescent="0.2">
      <c r="Y160886" s="5"/>
      <c r="AB160886" s="5"/>
      <c r="AE160886" s="5"/>
      <c r="AH160886" s="5"/>
      <c r="AK160886" s="5"/>
    </row>
    <row r="160896" spans="25:37" x14ac:dyDescent="0.2">
      <c r="Y160896" s="251"/>
      <c r="AB160896" s="251"/>
      <c r="AE160896" s="251"/>
      <c r="AH160896" s="251"/>
      <c r="AK160896" s="251"/>
    </row>
    <row r="161011" spans="25:37" x14ac:dyDescent="0.2">
      <c r="Y161011" s="5"/>
      <c r="AB161011" s="5"/>
      <c r="AE161011" s="5"/>
      <c r="AH161011" s="5"/>
      <c r="AK161011" s="5"/>
    </row>
    <row r="161021" spans="25:37" x14ac:dyDescent="0.2">
      <c r="Y161021" s="251"/>
      <c r="AB161021" s="251"/>
      <c r="AE161021" s="251"/>
      <c r="AH161021" s="251"/>
      <c r="AK161021" s="251"/>
    </row>
    <row r="161136" spans="25:37" x14ac:dyDescent="0.2">
      <c r="Y161136" s="5"/>
      <c r="AB161136" s="5"/>
      <c r="AE161136" s="5"/>
      <c r="AH161136" s="5"/>
      <c r="AK161136" s="5"/>
    </row>
    <row r="161146" spans="25:37" x14ac:dyDescent="0.2">
      <c r="Y161146" s="251"/>
      <c r="AB161146" s="251"/>
      <c r="AE161146" s="251"/>
      <c r="AH161146" s="251"/>
      <c r="AK161146" s="251"/>
    </row>
    <row r="161261" spans="25:37" x14ac:dyDescent="0.2">
      <c r="Y161261" s="5"/>
      <c r="AB161261" s="5"/>
      <c r="AE161261" s="5"/>
      <c r="AH161261" s="5"/>
      <c r="AK161261" s="5"/>
    </row>
    <row r="161271" spans="25:37" x14ac:dyDescent="0.2">
      <c r="Y161271" s="251"/>
      <c r="AB161271" s="251"/>
      <c r="AE161271" s="251"/>
      <c r="AH161271" s="251"/>
      <c r="AK161271" s="251"/>
    </row>
    <row r="161386" spans="25:37" x14ac:dyDescent="0.2">
      <c r="Y161386" s="5"/>
      <c r="AB161386" s="5"/>
      <c r="AE161386" s="5"/>
      <c r="AH161386" s="5"/>
      <c r="AK161386" s="5"/>
    </row>
    <row r="161396" spans="25:37" x14ac:dyDescent="0.2">
      <c r="Y161396" s="251"/>
      <c r="AB161396" s="251"/>
      <c r="AE161396" s="251"/>
      <c r="AH161396" s="251"/>
      <c r="AK161396" s="251"/>
    </row>
    <row r="161511" spans="25:37" x14ac:dyDescent="0.2">
      <c r="Y161511" s="5"/>
      <c r="AB161511" s="5"/>
      <c r="AE161511" s="5"/>
      <c r="AH161511" s="5"/>
      <c r="AK161511" s="5"/>
    </row>
    <row r="161521" spans="25:37" x14ac:dyDescent="0.2">
      <c r="Y161521" s="251"/>
      <c r="AB161521" s="251"/>
      <c r="AE161521" s="251"/>
      <c r="AH161521" s="251"/>
      <c r="AK161521" s="251"/>
    </row>
    <row r="161636" spans="25:37" x14ac:dyDescent="0.2">
      <c r="Y161636" s="5"/>
      <c r="AB161636" s="5"/>
      <c r="AE161636" s="5"/>
      <c r="AH161636" s="5"/>
      <c r="AK161636" s="5"/>
    </row>
    <row r="161646" spans="25:37" x14ac:dyDescent="0.2">
      <c r="Y161646" s="251"/>
      <c r="AB161646" s="251"/>
      <c r="AE161646" s="251"/>
      <c r="AH161646" s="251"/>
      <c r="AK161646" s="251"/>
    </row>
    <row r="161761" spans="25:37" x14ac:dyDescent="0.2">
      <c r="Y161761" s="5"/>
      <c r="AB161761" s="5"/>
      <c r="AE161761" s="5"/>
      <c r="AH161761" s="5"/>
      <c r="AK161761" s="5"/>
    </row>
    <row r="161771" spans="25:37" x14ac:dyDescent="0.2">
      <c r="Y161771" s="251"/>
      <c r="AB161771" s="251"/>
      <c r="AE161771" s="251"/>
      <c r="AH161771" s="251"/>
      <c r="AK161771" s="251"/>
    </row>
    <row r="161886" spans="25:37" x14ac:dyDescent="0.2">
      <c r="Y161886" s="5"/>
      <c r="AB161886" s="5"/>
      <c r="AE161886" s="5"/>
      <c r="AH161886" s="5"/>
      <c r="AK161886" s="5"/>
    </row>
    <row r="161896" spans="25:37" x14ac:dyDescent="0.2">
      <c r="Y161896" s="251"/>
      <c r="AB161896" s="251"/>
      <c r="AE161896" s="251"/>
      <c r="AH161896" s="251"/>
      <c r="AK161896" s="251"/>
    </row>
    <row r="162011" spans="25:37" x14ac:dyDescent="0.2">
      <c r="Y162011" s="5"/>
      <c r="AB162011" s="5"/>
      <c r="AE162011" s="5"/>
      <c r="AH162011" s="5"/>
      <c r="AK162011" s="5"/>
    </row>
    <row r="162021" spans="25:37" x14ac:dyDescent="0.2">
      <c r="Y162021" s="251"/>
      <c r="AB162021" s="251"/>
      <c r="AE162021" s="251"/>
      <c r="AH162021" s="251"/>
      <c r="AK162021" s="251"/>
    </row>
    <row r="162136" spans="25:37" x14ac:dyDescent="0.2">
      <c r="Y162136" s="5"/>
      <c r="AB162136" s="5"/>
      <c r="AE162136" s="5"/>
      <c r="AH162136" s="5"/>
      <c r="AK162136" s="5"/>
    </row>
    <row r="162146" spans="25:37" x14ac:dyDescent="0.2">
      <c r="Y162146" s="251"/>
      <c r="AB162146" s="251"/>
      <c r="AE162146" s="251"/>
      <c r="AH162146" s="251"/>
      <c r="AK162146" s="251"/>
    </row>
    <row r="162261" spans="25:37" x14ac:dyDescent="0.2">
      <c r="Y162261" s="5"/>
      <c r="AB162261" s="5"/>
      <c r="AE162261" s="5"/>
      <c r="AH162261" s="5"/>
      <c r="AK162261" s="5"/>
    </row>
    <row r="162271" spans="25:37" x14ac:dyDescent="0.2">
      <c r="Y162271" s="251"/>
      <c r="AB162271" s="251"/>
      <c r="AE162271" s="251"/>
      <c r="AH162271" s="251"/>
      <c r="AK162271" s="251"/>
    </row>
    <row r="162386" spans="25:37" x14ac:dyDescent="0.2">
      <c r="Y162386" s="5"/>
      <c r="AB162386" s="5"/>
      <c r="AE162386" s="5"/>
      <c r="AH162386" s="5"/>
      <c r="AK162386" s="5"/>
    </row>
    <row r="162396" spans="25:37" x14ac:dyDescent="0.2">
      <c r="Y162396" s="251"/>
      <c r="AB162396" s="251"/>
      <c r="AE162396" s="251"/>
      <c r="AH162396" s="251"/>
      <c r="AK162396" s="251"/>
    </row>
    <row r="162511" spans="25:37" x14ac:dyDescent="0.2">
      <c r="Y162511" s="5"/>
      <c r="AB162511" s="5"/>
      <c r="AE162511" s="5"/>
      <c r="AH162511" s="5"/>
      <c r="AK162511" s="5"/>
    </row>
    <row r="162521" spans="25:37" x14ac:dyDescent="0.2">
      <c r="Y162521" s="251"/>
      <c r="AB162521" s="251"/>
      <c r="AE162521" s="251"/>
      <c r="AH162521" s="251"/>
      <c r="AK162521" s="251"/>
    </row>
    <row r="162636" spans="25:37" x14ac:dyDescent="0.2">
      <c r="Y162636" s="5"/>
      <c r="AB162636" s="5"/>
      <c r="AE162636" s="5"/>
      <c r="AH162636" s="5"/>
      <c r="AK162636" s="5"/>
    </row>
    <row r="162646" spans="25:37" x14ac:dyDescent="0.2">
      <c r="Y162646" s="251"/>
      <c r="AB162646" s="251"/>
      <c r="AE162646" s="251"/>
      <c r="AH162646" s="251"/>
      <c r="AK162646" s="251"/>
    </row>
    <row r="162761" spans="25:37" x14ac:dyDescent="0.2">
      <c r="Y162761" s="5"/>
      <c r="AB162761" s="5"/>
      <c r="AE162761" s="5"/>
      <c r="AH162761" s="5"/>
      <c r="AK162761" s="5"/>
    </row>
    <row r="162771" spans="25:37" x14ac:dyDescent="0.2">
      <c r="Y162771" s="251"/>
      <c r="AB162771" s="251"/>
      <c r="AE162771" s="251"/>
      <c r="AH162771" s="251"/>
      <c r="AK162771" s="251"/>
    </row>
    <row r="162886" spans="25:37" x14ac:dyDescent="0.2">
      <c r="Y162886" s="5"/>
      <c r="AB162886" s="5"/>
      <c r="AE162886" s="5"/>
      <c r="AH162886" s="5"/>
      <c r="AK162886" s="5"/>
    </row>
    <row r="162896" spans="25:37" x14ac:dyDescent="0.2">
      <c r="Y162896" s="251"/>
      <c r="AB162896" s="251"/>
      <c r="AE162896" s="251"/>
      <c r="AH162896" s="251"/>
      <c r="AK162896" s="251"/>
    </row>
    <row r="163011" spans="25:37" x14ac:dyDescent="0.2">
      <c r="Y163011" s="5"/>
      <c r="AB163011" s="5"/>
      <c r="AE163011" s="5"/>
      <c r="AH163011" s="5"/>
      <c r="AK163011" s="5"/>
    </row>
    <row r="163021" spans="25:37" x14ac:dyDescent="0.2">
      <c r="Y163021" s="251"/>
      <c r="AB163021" s="251"/>
      <c r="AE163021" s="251"/>
      <c r="AH163021" s="251"/>
      <c r="AK163021" s="251"/>
    </row>
    <row r="163136" spans="25:37" x14ac:dyDescent="0.2">
      <c r="Y163136" s="5"/>
      <c r="AB163136" s="5"/>
      <c r="AE163136" s="5"/>
      <c r="AH163136" s="5"/>
      <c r="AK163136" s="5"/>
    </row>
    <row r="163146" spans="25:37" x14ac:dyDescent="0.2">
      <c r="Y163146" s="251"/>
      <c r="AB163146" s="251"/>
      <c r="AE163146" s="251"/>
      <c r="AH163146" s="251"/>
      <c r="AK163146" s="251"/>
    </row>
    <row r="163261" spans="25:37" x14ac:dyDescent="0.2">
      <c r="Y163261" s="5"/>
      <c r="AB163261" s="5"/>
      <c r="AE163261" s="5"/>
      <c r="AH163261" s="5"/>
      <c r="AK163261" s="5"/>
    </row>
    <row r="163271" spans="25:37" x14ac:dyDescent="0.2">
      <c r="Y163271" s="251"/>
      <c r="AB163271" s="251"/>
      <c r="AE163271" s="251"/>
      <c r="AH163271" s="251"/>
      <c r="AK163271" s="251"/>
    </row>
    <row r="163386" spans="25:37" x14ac:dyDescent="0.2">
      <c r="Y163386" s="5"/>
      <c r="AB163386" s="5"/>
      <c r="AE163386" s="5"/>
      <c r="AH163386" s="5"/>
      <c r="AK163386" s="5"/>
    </row>
    <row r="163396" spans="25:37" x14ac:dyDescent="0.2">
      <c r="Y163396" s="251"/>
      <c r="AB163396" s="251"/>
      <c r="AE163396" s="251"/>
      <c r="AH163396" s="251"/>
      <c r="AK163396" s="251"/>
    </row>
    <row r="163511" spans="25:37" x14ac:dyDescent="0.2">
      <c r="Y163511" s="5"/>
      <c r="AB163511" s="5"/>
      <c r="AE163511" s="5"/>
      <c r="AH163511" s="5"/>
      <c r="AK163511" s="5"/>
    </row>
    <row r="163521" spans="25:37" x14ac:dyDescent="0.2">
      <c r="Y163521" s="251"/>
      <c r="AB163521" s="251"/>
      <c r="AE163521" s="251"/>
      <c r="AH163521" s="251"/>
      <c r="AK163521" s="251"/>
    </row>
    <row r="163636" spans="25:37" x14ac:dyDescent="0.2">
      <c r="Y163636" s="5"/>
      <c r="AB163636" s="5"/>
      <c r="AE163636" s="5"/>
      <c r="AH163636" s="5"/>
      <c r="AK163636" s="5"/>
    </row>
    <row r="163646" spans="25:37" x14ac:dyDescent="0.2">
      <c r="Y163646" s="251"/>
      <c r="AB163646" s="251"/>
      <c r="AE163646" s="251"/>
      <c r="AH163646" s="251"/>
      <c r="AK163646" s="251"/>
    </row>
    <row r="163761" spans="25:37" x14ac:dyDescent="0.2">
      <c r="Y163761" s="5"/>
      <c r="AB163761" s="5"/>
      <c r="AE163761" s="5"/>
      <c r="AH163761" s="5"/>
      <c r="AK163761" s="5"/>
    </row>
    <row r="163771" spans="25:37" x14ac:dyDescent="0.2">
      <c r="Y163771" s="251"/>
      <c r="AB163771" s="251"/>
      <c r="AE163771" s="251"/>
      <c r="AH163771" s="251"/>
      <c r="AK163771" s="251"/>
    </row>
    <row r="163886" spans="25:37" x14ac:dyDescent="0.2">
      <c r="Y163886" s="5"/>
      <c r="AB163886" s="5"/>
      <c r="AE163886" s="5"/>
      <c r="AH163886" s="5"/>
      <c r="AK163886" s="5"/>
    </row>
    <row r="163896" spans="25:37" x14ac:dyDescent="0.2">
      <c r="Y163896" s="251"/>
      <c r="AB163896" s="251"/>
      <c r="AE163896" s="251"/>
      <c r="AH163896" s="251"/>
      <c r="AK163896" s="251"/>
    </row>
    <row r="164011" spans="25:37" x14ac:dyDescent="0.2">
      <c r="Y164011" s="5"/>
      <c r="AB164011" s="5"/>
      <c r="AE164011" s="5"/>
      <c r="AH164011" s="5"/>
      <c r="AK164011" s="5"/>
    </row>
    <row r="164021" spans="25:37" x14ac:dyDescent="0.2">
      <c r="Y164021" s="251"/>
      <c r="AB164021" s="251"/>
      <c r="AE164021" s="251"/>
      <c r="AH164021" s="251"/>
      <c r="AK164021" s="251"/>
    </row>
    <row r="164136" spans="25:37" x14ac:dyDescent="0.2">
      <c r="Y164136" s="5"/>
      <c r="AB164136" s="5"/>
      <c r="AE164136" s="5"/>
      <c r="AH164136" s="5"/>
      <c r="AK164136" s="5"/>
    </row>
    <row r="164146" spans="25:37" x14ac:dyDescent="0.2">
      <c r="Y164146" s="251"/>
      <c r="AB164146" s="251"/>
      <c r="AE164146" s="251"/>
      <c r="AH164146" s="251"/>
      <c r="AK164146" s="251"/>
    </row>
    <row r="164261" spans="25:37" x14ac:dyDescent="0.2">
      <c r="Y164261" s="5"/>
      <c r="AB164261" s="5"/>
      <c r="AE164261" s="5"/>
      <c r="AH164261" s="5"/>
      <c r="AK164261" s="5"/>
    </row>
    <row r="164271" spans="25:37" x14ac:dyDescent="0.2">
      <c r="Y164271" s="251"/>
      <c r="AB164271" s="251"/>
      <c r="AE164271" s="251"/>
      <c r="AH164271" s="251"/>
      <c r="AK164271" s="251"/>
    </row>
    <row r="164386" spans="25:37" x14ac:dyDescent="0.2">
      <c r="Y164386" s="5"/>
      <c r="AB164386" s="5"/>
      <c r="AE164386" s="5"/>
      <c r="AH164386" s="5"/>
      <c r="AK164386" s="5"/>
    </row>
    <row r="164396" spans="25:37" x14ac:dyDescent="0.2">
      <c r="Y164396" s="251"/>
      <c r="AB164396" s="251"/>
      <c r="AE164396" s="251"/>
      <c r="AH164396" s="251"/>
      <c r="AK164396" s="251"/>
    </row>
    <row r="164511" spans="25:37" x14ac:dyDescent="0.2">
      <c r="Y164511" s="5"/>
      <c r="AB164511" s="5"/>
      <c r="AE164511" s="5"/>
      <c r="AH164511" s="5"/>
      <c r="AK164511" s="5"/>
    </row>
    <row r="164521" spans="25:37" x14ac:dyDescent="0.2">
      <c r="Y164521" s="251"/>
      <c r="AB164521" s="251"/>
      <c r="AE164521" s="251"/>
      <c r="AH164521" s="251"/>
      <c r="AK164521" s="251"/>
    </row>
    <row r="164636" spans="25:37" x14ac:dyDescent="0.2">
      <c r="Y164636" s="5"/>
      <c r="AB164636" s="5"/>
      <c r="AE164636" s="5"/>
      <c r="AH164636" s="5"/>
      <c r="AK164636" s="5"/>
    </row>
    <row r="164646" spans="25:37" x14ac:dyDescent="0.2">
      <c r="Y164646" s="251"/>
      <c r="AB164646" s="251"/>
      <c r="AE164646" s="251"/>
      <c r="AH164646" s="251"/>
      <c r="AK164646" s="251"/>
    </row>
    <row r="164761" spans="25:37" x14ac:dyDescent="0.2">
      <c r="Y164761" s="5"/>
      <c r="AB164761" s="5"/>
      <c r="AE164761" s="5"/>
      <c r="AH164761" s="5"/>
      <c r="AK164761" s="5"/>
    </row>
    <row r="164771" spans="25:37" x14ac:dyDescent="0.2">
      <c r="Y164771" s="251"/>
      <c r="AB164771" s="251"/>
      <c r="AE164771" s="251"/>
      <c r="AH164771" s="251"/>
      <c r="AK164771" s="251"/>
    </row>
    <row r="164886" spans="25:37" x14ac:dyDescent="0.2">
      <c r="Y164886" s="5"/>
      <c r="AB164886" s="5"/>
      <c r="AE164886" s="5"/>
      <c r="AH164886" s="5"/>
      <c r="AK164886" s="5"/>
    </row>
    <row r="164896" spans="25:37" x14ac:dyDescent="0.2">
      <c r="Y164896" s="251"/>
      <c r="AB164896" s="251"/>
      <c r="AE164896" s="251"/>
      <c r="AH164896" s="251"/>
      <c r="AK164896" s="251"/>
    </row>
    <row r="165011" spans="25:37" x14ac:dyDescent="0.2">
      <c r="Y165011" s="5"/>
      <c r="AB165011" s="5"/>
      <c r="AE165011" s="5"/>
      <c r="AH165011" s="5"/>
      <c r="AK165011" s="5"/>
    </row>
    <row r="165021" spans="25:37" x14ac:dyDescent="0.2">
      <c r="Y165021" s="251"/>
      <c r="AB165021" s="251"/>
      <c r="AE165021" s="251"/>
      <c r="AH165021" s="251"/>
      <c r="AK165021" s="251"/>
    </row>
    <row r="165136" spans="25:37" x14ac:dyDescent="0.2">
      <c r="Y165136" s="5"/>
      <c r="AB165136" s="5"/>
      <c r="AE165136" s="5"/>
      <c r="AH165136" s="5"/>
      <c r="AK165136" s="5"/>
    </row>
    <row r="165146" spans="25:37" x14ac:dyDescent="0.2">
      <c r="Y165146" s="251"/>
      <c r="AB165146" s="251"/>
      <c r="AE165146" s="251"/>
      <c r="AH165146" s="251"/>
      <c r="AK165146" s="251"/>
    </row>
    <row r="165261" spans="25:37" x14ac:dyDescent="0.2">
      <c r="Y165261" s="5"/>
      <c r="AB165261" s="5"/>
      <c r="AE165261" s="5"/>
      <c r="AH165261" s="5"/>
      <c r="AK165261" s="5"/>
    </row>
    <row r="165271" spans="25:37" x14ac:dyDescent="0.2">
      <c r="Y165271" s="251"/>
      <c r="AB165271" s="251"/>
      <c r="AE165271" s="251"/>
      <c r="AH165271" s="251"/>
      <c r="AK165271" s="251"/>
    </row>
    <row r="165386" spans="25:37" x14ac:dyDescent="0.2">
      <c r="Y165386" s="5"/>
      <c r="AB165386" s="5"/>
      <c r="AE165386" s="5"/>
      <c r="AH165386" s="5"/>
      <c r="AK165386" s="5"/>
    </row>
    <row r="165396" spans="25:37" x14ac:dyDescent="0.2">
      <c r="Y165396" s="251"/>
      <c r="AB165396" s="251"/>
      <c r="AE165396" s="251"/>
      <c r="AH165396" s="251"/>
      <c r="AK165396" s="251"/>
    </row>
    <row r="165511" spans="25:37" x14ac:dyDescent="0.2">
      <c r="Y165511" s="5"/>
      <c r="AB165511" s="5"/>
      <c r="AE165511" s="5"/>
      <c r="AH165511" s="5"/>
      <c r="AK165511" s="5"/>
    </row>
    <row r="165521" spans="25:37" x14ac:dyDescent="0.2">
      <c r="Y165521" s="251"/>
      <c r="AB165521" s="251"/>
      <c r="AE165521" s="251"/>
      <c r="AH165521" s="251"/>
      <c r="AK165521" s="251"/>
    </row>
    <row r="165636" spans="25:37" x14ac:dyDescent="0.2">
      <c r="Y165636" s="5"/>
      <c r="AB165636" s="5"/>
      <c r="AE165636" s="5"/>
      <c r="AH165636" s="5"/>
      <c r="AK165636" s="5"/>
    </row>
    <row r="165646" spans="25:37" x14ac:dyDescent="0.2">
      <c r="Y165646" s="251"/>
      <c r="AB165646" s="251"/>
      <c r="AE165646" s="251"/>
      <c r="AH165646" s="251"/>
      <c r="AK165646" s="251"/>
    </row>
    <row r="165761" spans="25:37" x14ac:dyDescent="0.2">
      <c r="Y165761" s="5"/>
      <c r="AB165761" s="5"/>
      <c r="AE165761" s="5"/>
      <c r="AH165761" s="5"/>
      <c r="AK165761" s="5"/>
    </row>
    <row r="165771" spans="25:37" x14ac:dyDescent="0.2">
      <c r="Y165771" s="251"/>
      <c r="AB165771" s="251"/>
      <c r="AE165771" s="251"/>
      <c r="AH165771" s="251"/>
      <c r="AK165771" s="251"/>
    </row>
    <row r="165886" spans="25:37" x14ac:dyDescent="0.2">
      <c r="Y165886" s="5"/>
      <c r="AB165886" s="5"/>
      <c r="AE165886" s="5"/>
      <c r="AH165886" s="5"/>
      <c r="AK165886" s="5"/>
    </row>
    <row r="165896" spans="25:37" x14ac:dyDescent="0.2">
      <c r="Y165896" s="251"/>
      <c r="AB165896" s="251"/>
      <c r="AE165896" s="251"/>
      <c r="AH165896" s="251"/>
      <c r="AK165896" s="251"/>
    </row>
    <row r="166011" spans="25:37" x14ac:dyDescent="0.2">
      <c r="Y166011" s="5"/>
      <c r="AB166011" s="5"/>
      <c r="AE166011" s="5"/>
      <c r="AH166011" s="5"/>
      <c r="AK166011" s="5"/>
    </row>
    <row r="166021" spans="25:37" x14ac:dyDescent="0.2">
      <c r="Y166021" s="251"/>
      <c r="AB166021" s="251"/>
      <c r="AE166021" s="251"/>
      <c r="AH166021" s="251"/>
      <c r="AK166021" s="251"/>
    </row>
    <row r="166136" spans="25:37" x14ac:dyDescent="0.2">
      <c r="Y166136" s="5"/>
      <c r="AB166136" s="5"/>
      <c r="AE166136" s="5"/>
      <c r="AH166136" s="5"/>
      <c r="AK166136" s="5"/>
    </row>
    <row r="166146" spans="25:37" x14ac:dyDescent="0.2">
      <c r="Y166146" s="251"/>
      <c r="AB166146" s="251"/>
      <c r="AE166146" s="251"/>
      <c r="AH166146" s="251"/>
      <c r="AK166146" s="251"/>
    </row>
    <row r="166261" spans="25:37" x14ac:dyDescent="0.2">
      <c r="Y166261" s="5"/>
      <c r="AB166261" s="5"/>
      <c r="AE166261" s="5"/>
      <c r="AH166261" s="5"/>
      <c r="AK166261" s="5"/>
    </row>
    <row r="166271" spans="25:37" x14ac:dyDescent="0.2">
      <c r="Y166271" s="251"/>
      <c r="AB166271" s="251"/>
      <c r="AE166271" s="251"/>
      <c r="AH166271" s="251"/>
      <c r="AK166271" s="251"/>
    </row>
    <row r="166386" spans="25:37" x14ac:dyDescent="0.2">
      <c r="Y166386" s="5"/>
      <c r="AB166386" s="5"/>
      <c r="AE166386" s="5"/>
      <c r="AH166386" s="5"/>
      <c r="AK166386" s="5"/>
    </row>
    <row r="166396" spans="25:37" x14ac:dyDescent="0.2">
      <c r="Y166396" s="251"/>
      <c r="AB166396" s="251"/>
      <c r="AE166396" s="251"/>
      <c r="AH166396" s="251"/>
      <c r="AK166396" s="251"/>
    </row>
    <row r="166511" spans="25:37" x14ac:dyDescent="0.2">
      <c r="Y166511" s="5"/>
      <c r="AB166511" s="5"/>
      <c r="AE166511" s="5"/>
      <c r="AH166511" s="5"/>
      <c r="AK166511" s="5"/>
    </row>
    <row r="166521" spans="25:37" x14ac:dyDescent="0.2">
      <c r="Y166521" s="251"/>
      <c r="AB166521" s="251"/>
      <c r="AE166521" s="251"/>
      <c r="AH166521" s="251"/>
      <c r="AK166521" s="251"/>
    </row>
    <row r="166636" spans="25:37" x14ac:dyDescent="0.2">
      <c r="Y166636" s="5"/>
      <c r="AB166636" s="5"/>
      <c r="AE166636" s="5"/>
      <c r="AH166636" s="5"/>
      <c r="AK166636" s="5"/>
    </row>
    <row r="166646" spans="25:37" x14ac:dyDescent="0.2">
      <c r="Y166646" s="251"/>
      <c r="AB166646" s="251"/>
      <c r="AE166646" s="251"/>
      <c r="AH166646" s="251"/>
      <c r="AK166646" s="251"/>
    </row>
    <row r="166761" spans="25:37" x14ac:dyDescent="0.2">
      <c r="Y166761" s="5"/>
      <c r="AB166761" s="5"/>
      <c r="AE166761" s="5"/>
      <c r="AH166761" s="5"/>
      <c r="AK166761" s="5"/>
    </row>
    <row r="166771" spans="25:37" x14ac:dyDescent="0.2">
      <c r="Y166771" s="251"/>
      <c r="AB166771" s="251"/>
      <c r="AE166771" s="251"/>
      <c r="AH166771" s="251"/>
      <c r="AK166771" s="251"/>
    </row>
    <row r="166886" spans="25:37" x14ac:dyDescent="0.2">
      <c r="Y166886" s="5"/>
      <c r="AB166886" s="5"/>
      <c r="AE166886" s="5"/>
      <c r="AH166886" s="5"/>
      <c r="AK166886" s="5"/>
    </row>
    <row r="166896" spans="25:37" x14ac:dyDescent="0.2">
      <c r="Y166896" s="251"/>
      <c r="AB166896" s="251"/>
      <c r="AE166896" s="251"/>
      <c r="AH166896" s="251"/>
      <c r="AK166896" s="251"/>
    </row>
    <row r="167011" spans="25:37" x14ac:dyDescent="0.2">
      <c r="Y167011" s="5"/>
      <c r="AB167011" s="5"/>
      <c r="AE167011" s="5"/>
      <c r="AH167011" s="5"/>
      <c r="AK167011" s="5"/>
    </row>
    <row r="167021" spans="25:37" x14ac:dyDescent="0.2">
      <c r="Y167021" s="251"/>
      <c r="AB167021" s="251"/>
      <c r="AE167021" s="251"/>
      <c r="AH167021" s="251"/>
      <c r="AK167021" s="251"/>
    </row>
    <row r="167136" spans="25:37" x14ac:dyDescent="0.2">
      <c r="Y167136" s="5"/>
      <c r="AB167136" s="5"/>
      <c r="AE167136" s="5"/>
      <c r="AH167136" s="5"/>
      <c r="AK167136" s="5"/>
    </row>
    <row r="167146" spans="25:37" x14ac:dyDescent="0.2">
      <c r="Y167146" s="251"/>
      <c r="AB167146" s="251"/>
      <c r="AE167146" s="251"/>
      <c r="AH167146" s="251"/>
      <c r="AK167146" s="251"/>
    </row>
    <row r="167261" spans="25:37" x14ac:dyDescent="0.2">
      <c r="Y167261" s="5"/>
      <c r="AB167261" s="5"/>
      <c r="AE167261" s="5"/>
      <c r="AH167261" s="5"/>
      <c r="AK167261" s="5"/>
    </row>
    <row r="167271" spans="25:37" x14ac:dyDescent="0.2">
      <c r="Y167271" s="251"/>
      <c r="AB167271" s="251"/>
      <c r="AE167271" s="251"/>
      <c r="AH167271" s="251"/>
      <c r="AK167271" s="251"/>
    </row>
    <row r="167386" spans="25:37" x14ac:dyDescent="0.2">
      <c r="Y167386" s="5"/>
      <c r="AB167386" s="5"/>
      <c r="AE167386" s="5"/>
      <c r="AH167386" s="5"/>
      <c r="AK167386" s="5"/>
    </row>
    <row r="167396" spans="25:37" x14ac:dyDescent="0.2">
      <c r="Y167396" s="251"/>
      <c r="AB167396" s="251"/>
      <c r="AE167396" s="251"/>
      <c r="AH167396" s="251"/>
      <c r="AK167396" s="251"/>
    </row>
    <row r="167511" spans="25:37" x14ac:dyDescent="0.2">
      <c r="Y167511" s="5"/>
      <c r="AB167511" s="5"/>
      <c r="AE167511" s="5"/>
      <c r="AH167511" s="5"/>
      <c r="AK167511" s="5"/>
    </row>
    <row r="167521" spans="25:37" x14ac:dyDescent="0.2">
      <c r="Y167521" s="251"/>
      <c r="AB167521" s="251"/>
      <c r="AE167521" s="251"/>
      <c r="AH167521" s="251"/>
      <c r="AK167521" s="251"/>
    </row>
    <row r="167636" spans="25:37" x14ac:dyDescent="0.2">
      <c r="Y167636" s="5"/>
      <c r="AB167636" s="5"/>
      <c r="AE167636" s="5"/>
      <c r="AH167636" s="5"/>
      <c r="AK167636" s="5"/>
    </row>
    <row r="167646" spans="25:37" x14ac:dyDescent="0.2">
      <c r="Y167646" s="251"/>
      <c r="AB167646" s="251"/>
      <c r="AE167646" s="251"/>
      <c r="AH167646" s="251"/>
      <c r="AK167646" s="251"/>
    </row>
    <row r="167761" spans="25:37" x14ac:dyDescent="0.2">
      <c r="Y167761" s="5"/>
      <c r="AB167761" s="5"/>
      <c r="AE167761" s="5"/>
      <c r="AH167761" s="5"/>
      <c r="AK167761" s="5"/>
    </row>
    <row r="167771" spans="25:37" x14ac:dyDescent="0.2">
      <c r="Y167771" s="251"/>
      <c r="AB167771" s="251"/>
      <c r="AE167771" s="251"/>
      <c r="AH167771" s="251"/>
      <c r="AK167771" s="251"/>
    </row>
    <row r="167886" spans="25:37" x14ac:dyDescent="0.2">
      <c r="Y167886" s="5"/>
      <c r="AB167886" s="5"/>
      <c r="AE167886" s="5"/>
      <c r="AH167886" s="5"/>
      <c r="AK167886" s="5"/>
    </row>
    <row r="167896" spans="25:37" x14ac:dyDescent="0.2">
      <c r="Y167896" s="251"/>
      <c r="AB167896" s="251"/>
      <c r="AE167896" s="251"/>
      <c r="AH167896" s="251"/>
      <c r="AK167896" s="251"/>
    </row>
    <row r="168011" spans="25:37" x14ac:dyDescent="0.2">
      <c r="Y168011" s="5"/>
      <c r="AB168011" s="5"/>
      <c r="AE168011" s="5"/>
      <c r="AH168011" s="5"/>
      <c r="AK168011" s="5"/>
    </row>
    <row r="168021" spans="25:37" x14ac:dyDescent="0.2">
      <c r="Y168021" s="251"/>
      <c r="AB168021" s="251"/>
      <c r="AE168021" s="251"/>
      <c r="AH168021" s="251"/>
      <c r="AK168021" s="251"/>
    </row>
    <row r="168136" spans="25:37" x14ac:dyDescent="0.2">
      <c r="Y168136" s="5"/>
      <c r="AB168136" s="5"/>
      <c r="AE168136" s="5"/>
      <c r="AH168136" s="5"/>
      <c r="AK168136" s="5"/>
    </row>
    <row r="168146" spans="25:37" x14ac:dyDescent="0.2">
      <c r="Y168146" s="251"/>
      <c r="AB168146" s="251"/>
      <c r="AE168146" s="251"/>
      <c r="AH168146" s="251"/>
      <c r="AK168146" s="251"/>
    </row>
    <row r="168261" spans="25:37" x14ac:dyDescent="0.2">
      <c r="Y168261" s="5"/>
      <c r="AB168261" s="5"/>
      <c r="AE168261" s="5"/>
      <c r="AH168261" s="5"/>
      <c r="AK168261" s="5"/>
    </row>
    <row r="168271" spans="25:37" x14ac:dyDescent="0.2">
      <c r="Y168271" s="251"/>
      <c r="AB168271" s="251"/>
      <c r="AE168271" s="251"/>
      <c r="AH168271" s="251"/>
      <c r="AK168271" s="251"/>
    </row>
    <row r="168386" spans="25:37" x14ac:dyDescent="0.2">
      <c r="Y168386" s="5"/>
      <c r="AB168386" s="5"/>
      <c r="AE168386" s="5"/>
      <c r="AH168386" s="5"/>
      <c r="AK168386" s="5"/>
    </row>
    <row r="168396" spans="25:37" x14ac:dyDescent="0.2">
      <c r="Y168396" s="251"/>
      <c r="AB168396" s="251"/>
      <c r="AE168396" s="251"/>
      <c r="AH168396" s="251"/>
      <c r="AK168396" s="251"/>
    </row>
    <row r="168511" spans="25:37" x14ac:dyDescent="0.2">
      <c r="Y168511" s="5"/>
      <c r="AB168511" s="5"/>
      <c r="AE168511" s="5"/>
      <c r="AH168511" s="5"/>
      <c r="AK168511" s="5"/>
    </row>
    <row r="168521" spans="25:37" x14ac:dyDescent="0.2">
      <c r="Y168521" s="251"/>
      <c r="AB168521" s="251"/>
      <c r="AE168521" s="251"/>
      <c r="AH168521" s="251"/>
      <c r="AK168521" s="251"/>
    </row>
    <row r="168636" spans="25:37" x14ac:dyDescent="0.2">
      <c r="Y168636" s="5"/>
      <c r="AB168636" s="5"/>
      <c r="AE168636" s="5"/>
      <c r="AH168636" s="5"/>
      <c r="AK168636" s="5"/>
    </row>
    <row r="168646" spans="25:37" x14ac:dyDescent="0.2">
      <c r="Y168646" s="251"/>
      <c r="AB168646" s="251"/>
      <c r="AE168646" s="251"/>
      <c r="AH168646" s="251"/>
      <c r="AK168646" s="251"/>
    </row>
    <row r="168761" spans="25:37" x14ac:dyDescent="0.2">
      <c r="Y168761" s="5"/>
      <c r="AB168761" s="5"/>
      <c r="AE168761" s="5"/>
      <c r="AH168761" s="5"/>
      <c r="AK168761" s="5"/>
    </row>
    <row r="168771" spans="25:37" x14ac:dyDescent="0.2">
      <c r="Y168771" s="251"/>
      <c r="AB168771" s="251"/>
      <c r="AE168771" s="251"/>
      <c r="AH168771" s="251"/>
      <c r="AK168771" s="251"/>
    </row>
    <row r="168886" spans="25:37" x14ac:dyDescent="0.2">
      <c r="Y168886" s="5"/>
      <c r="AB168886" s="5"/>
      <c r="AE168886" s="5"/>
      <c r="AH168886" s="5"/>
      <c r="AK168886" s="5"/>
    </row>
    <row r="168896" spans="25:37" x14ac:dyDescent="0.2">
      <c r="Y168896" s="251"/>
      <c r="AB168896" s="251"/>
      <c r="AE168896" s="251"/>
      <c r="AH168896" s="251"/>
      <c r="AK168896" s="251"/>
    </row>
    <row r="169011" spans="25:37" x14ac:dyDescent="0.2">
      <c r="Y169011" s="5"/>
      <c r="AB169011" s="5"/>
      <c r="AE169011" s="5"/>
      <c r="AH169011" s="5"/>
      <c r="AK169011" s="5"/>
    </row>
    <row r="169021" spans="25:37" x14ac:dyDescent="0.2">
      <c r="Y169021" s="251"/>
      <c r="AB169021" s="251"/>
      <c r="AE169021" s="251"/>
      <c r="AH169021" s="251"/>
      <c r="AK169021" s="251"/>
    </row>
    <row r="169136" spans="25:37" x14ac:dyDescent="0.2">
      <c r="Y169136" s="5"/>
      <c r="AB169136" s="5"/>
      <c r="AE169136" s="5"/>
      <c r="AH169136" s="5"/>
      <c r="AK169136" s="5"/>
    </row>
    <row r="169146" spans="25:37" x14ac:dyDescent="0.2">
      <c r="Y169146" s="251"/>
      <c r="AB169146" s="251"/>
      <c r="AE169146" s="251"/>
      <c r="AH169146" s="251"/>
      <c r="AK169146" s="251"/>
    </row>
    <row r="169261" spans="25:37" x14ac:dyDescent="0.2">
      <c r="Y169261" s="5"/>
      <c r="AB169261" s="5"/>
      <c r="AE169261" s="5"/>
      <c r="AH169261" s="5"/>
      <c r="AK169261" s="5"/>
    </row>
    <row r="169271" spans="25:37" x14ac:dyDescent="0.2">
      <c r="Y169271" s="251"/>
      <c r="AB169271" s="251"/>
      <c r="AE169271" s="251"/>
      <c r="AH169271" s="251"/>
      <c r="AK169271" s="251"/>
    </row>
    <row r="169386" spans="25:37" x14ac:dyDescent="0.2">
      <c r="Y169386" s="5"/>
      <c r="AB169386" s="5"/>
      <c r="AE169386" s="5"/>
      <c r="AH169386" s="5"/>
      <c r="AK169386" s="5"/>
    </row>
    <row r="169396" spans="25:37" x14ac:dyDescent="0.2">
      <c r="Y169396" s="251"/>
      <c r="AB169396" s="251"/>
      <c r="AE169396" s="251"/>
      <c r="AH169396" s="251"/>
      <c r="AK169396" s="251"/>
    </row>
    <row r="169511" spans="25:37" x14ac:dyDescent="0.2">
      <c r="Y169511" s="5"/>
      <c r="AB169511" s="5"/>
      <c r="AE169511" s="5"/>
      <c r="AH169511" s="5"/>
      <c r="AK169511" s="5"/>
    </row>
    <row r="169521" spans="25:37" x14ac:dyDescent="0.2">
      <c r="Y169521" s="251"/>
      <c r="AB169521" s="251"/>
      <c r="AE169521" s="251"/>
      <c r="AH169521" s="251"/>
      <c r="AK169521" s="251"/>
    </row>
    <row r="169636" spans="25:37" x14ac:dyDescent="0.2">
      <c r="Y169636" s="5"/>
      <c r="AB169636" s="5"/>
      <c r="AE169636" s="5"/>
      <c r="AH169636" s="5"/>
      <c r="AK169636" s="5"/>
    </row>
    <row r="169646" spans="25:37" x14ac:dyDescent="0.2">
      <c r="Y169646" s="251"/>
      <c r="AB169646" s="251"/>
      <c r="AE169646" s="251"/>
      <c r="AH169646" s="251"/>
      <c r="AK169646" s="251"/>
    </row>
    <row r="169761" spans="25:37" x14ac:dyDescent="0.2">
      <c r="Y169761" s="5"/>
      <c r="AB169761" s="5"/>
      <c r="AE169761" s="5"/>
      <c r="AH169761" s="5"/>
      <c r="AK169761" s="5"/>
    </row>
    <row r="169771" spans="25:37" x14ac:dyDescent="0.2">
      <c r="Y169771" s="251"/>
      <c r="AB169771" s="251"/>
      <c r="AE169771" s="251"/>
      <c r="AH169771" s="251"/>
      <c r="AK169771" s="251"/>
    </row>
    <row r="169886" spans="25:37" x14ac:dyDescent="0.2">
      <c r="Y169886" s="5"/>
      <c r="AB169886" s="5"/>
      <c r="AE169886" s="5"/>
      <c r="AH169886" s="5"/>
      <c r="AK169886" s="5"/>
    </row>
    <row r="169896" spans="25:37" x14ac:dyDescent="0.2">
      <c r="Y169896" s="251"/>
      <c r="AB169896" s="251"/>
      <c r="AE169896" s="251"/>
      <c r="AH169896" s="251"/>
      <c r="AK169896" s="251"/>
    </row>
    <row r="170011" spans="25:37" x14ac:dyDescent="0.2">
      <c r="Y170011" s="5"/>
      <c r="AB170011" s="5"/>
      <c r="AE170011" s="5"/>
      <c r="AH170011" s="5"/>
      <c r="AK170011" s="5"/>
    </row>
    <row r="170021" spans="25:37" x14ac:dyDescent="0.2">
      <c r="Y170021" s="251"/>
      <c r="AB170021" s="251"/>
      <c r="AE170021" s="251"/>
      <c r="AH170021" s="251"/>
      <c r="AK170021" s="251"/>
    </row>
    <row r="170136" spans="25:37" x14ac:dyDescent="0.2">
      <c r="Y170136" s="5"/>
      <c r="AB170136" s="5"/>
      <c r="AE170136" s="5"/>
      <c r="AH170136" s="5"/>
      <c r="AK170136" s="5"/>
    </row>
    <row r="170146" spans="25:37" x14ac:dyDescent="0.2">
      <c r="Y170146" s="251"/>
      <c r="AB170146" s="251"/>
      <c r="AE170146" s="251"/>
      <c r="AH170146" s="251"/>
      <c r="AK170146" s="251"/>
    </row>
    <row r="170261" spans="25:37" x14ac:dyDescent="0.2">
      <c r="Y170261" s="5"/>
      <c r="AB170261" s="5"/>
      <c r="AE170261" s="5"/>
      <c r="AH170261" s="5"/>
      <c r="AK170261" s="5"/>
    </row>
    <row r="170271" spans="25:37" x14ac:dyDescent="0.2">
      <c r="Y170271" s="251"/>
      <c r="AB170271" s="251"/>
      <c r="AE170271" s="251"/>
      <c r="AH170271" s="251"/>
      <c r="AK170271" s="251"/>
    </row>
    <row r="170386" spans="25:37" x14ac:dyDescent="0.2">
      <c r="Y170386" s="5"/>
      <c r="AB170386" s="5"/>
      <c r="AE170386" s="5"/>
      <c r="AH170386" s="5"/>
      <c r="AK170386" s="5"/>
    </row>
    <row r="170396" spans="25:37" x14ac:dyDescent="0.2">
      <c r="Y170396" s="251"/>
      <c r="AB170396" s="251"/>
      <c r="AE170396" s="251"/>
      <c r="AH170396" s="251"/>
      <c r="AK170396" s="251"/>
    </row>
    <row r="170511" spans="25:37" x14ac:dyDescent="0.2">
      <c r="Y170511" s="5"/>
      <c r="AB170511" s="5"/>
      <c r="AE170511" s="5"/>
      <c r="AH170511" s="5"/>
      <c r="AK170511" s="5"/>
    </row>
    <row r="170521" spans="25:37" x14ac:dyDescent="0.2">
      <c r="Y170521" s="251"/>
      <c r="AB170521" s="251"/>
      <c r="AE170521" s="251"/>
      <c r="AH170521" s="251"/>
      <c r="AK170521" s="251"/>
    </row>
    <row r="170636" spans="25:37" x14ac:dyDescent="0.2">
      <c r="Y170636" s="5"/>
      <c r="AB170636" s="5"/>
      <c r="AE170636" s="5"/>
      <c r="AH170636" s="5"/>
      <c r="AK170636" s="5"/>
    </row>
    <row r="170646" spans="25:37" x14ac:dyDescent="0.2">
      <c r="Y170646" s="251"/>
      <c r="AB170646" s="251"/>
      <c r="AE170646" s="251"/>
      <c r="AH170646" s="251"/>
      <c r="AK170646" s="251"/>
    </row>
    <row r="170761" spans="25:37" x14ac:dyDescent="0.2">
      <c r="Y170761" s="5"/>
      <c r="AB170761" s="5"/>
      <c r="AE170761" s="5"/>
      <c r="AH170761" s="5"/>
      <c r="AK170761" s="5"/>
    </row>
    <row r="170771" spans="25:37" x14ac:dyDescent="0.2">
      <c r="Y170771" s="251"/>
      <c r="AB170771" s="251"/>
      <c r="AE170771" s="251"/>
      <c r="AH170771" s="251"/>
      <c r="AK170771" s="251"/>
    </row>
    <row r="170886" spans="25:37" x14ac:dyDescent="0.2">
      <c r="Y170886" s="5"/>
      <c r="AB170886" s="5"/>
      <c r="AE170886" s="5"/>
      <c r="AH170886" s="5"/>
      <c r="AK170886" s="5"/>
    </row>
    <row r="170896" spans="25:37" x14ac:dyDescent="0.2">
      <c r="Y170896" s="251"/>
      <c r="AB170896" s="251"/>
      <c r="AE170896" s="251"/>
      <c r="AH170896" s="251"/>
      <c r="AK170896" s="251"/>
    </row>
    <row r="171011" spans="25:37" x14ac:dyDescent="0.2">
      <c r="Y171011" s="5"/>
      <c r="AB171011" s="5"/>
      <c r="AE171011" s="5"/>
      <c r="AH171011" s="5"/>
      <c r="AK171011" s="5"/>
    </row>
    <row r="171021" spans="25:37" x14ac:dyDescent="0.2">
      <c r="Y171021" s="251"/>
      <c r="AB171021" s="251"/>
      <c r="AE171021" s="251"/>
      <c r="AH171021" s="251"/>
      <c r="AK171021" s="251"/>
    </row>
    <row r="171136" spans="25:37" x14ac:dyDescent="0.2">
      <c r="Y171136" s="5"/>
      <c r="AB171136" s="5"/>
      <c r="AE171136" s="5"/>
      <c r="AH171136" s="5"/>
      <c r="AK171136" s="5"/>
    </row>
    <row r="171146" spans="25:37" x14ac:dyDescent="0.2">
      <c r="Y171146" s="251"/>
      <c r="AB171146" s="251"/>
      <c r="AE171146" s="251"/>
      <c r="AH171146" s="251"/>
      <c r="AK171146" s="251"/>
    </row>
    <row r="171261" spans="25:37" x14ac:dyDescent="0.2">
      <c r="Y171261" s="5"/>
      <c r="AB171261" s="5"/>
      <c r="AE171261" s="5"/>
      <c r="AH171261" s="5"/>
      <c r="AK171261" s="5"/>
    </row>
    <row r="171271" spans="25:37" x14ac:dyDescent="0.2">
      <c r="Y171271" s="251"/>
      <c r="AB171271" s="251"/>
      <c r="AE171271" s="251"/>
      <c r="AH171271" s="251"/>
      <c r="AK171271" s="251"/>
    </row>
    <row r="171386" spans="25:37" x14ac:dyDescent="0.2">
      <c r="Y171386" s="5"/>
      <c r="AB171386" s="5"/>
      <c r="AE171386" s="5"/>
      <c r="AH171386" s="5"/>
      <c r="AK171386" s="5"/>
    </row>
    <row r="171396" spans="25:37" x14ac:dyDescent="0.2">
      <c r="Y171396" s="251"/>
      <c r="AB171396" s="251"/>
      <c r="AE171396" s="251"/>
      <c r="AH171396" s="251"/>
      <c r="AK171396" s="251"/>
    </row>
    <row r="171511" spans="25:37" x14ac:dyDescent="0.2">
      <c r="Y171511" s="5"/>
      <c r="AB171511" s="5"/>
      <c r="AE171511" s="5"/>
      <c r="AH171511" s="5"/>
      <c r="AK171511" s="5"/>
    </row>
    <row r="171521" spans="25:37" x14ac:dyDescent="0.2">
      <c r="Y171521" s="251"/>
      <c r="AB171521" s="251"/>
      <c r="AE171521" s="251"/>
      <c r="AH171521" s="251"/>
      <c r="AK171521" s="251"/>
    </row>
    <row r="171636" spans="25:37" x14ac:dyDescent="0.2">
      <c r="Y171636" s="5"/>
      <c r="AB171636" s="5"/>
      <c r="AE171636" s="5"/>
      <c r="AH171636" s="5"/>
      <c r="AK171636" s="5"/>
    </row>
    <row r="171646" spans="25:37" x14ac:dyDescent="0.2">
      <c r="Y171646" s="251"/>
      <c r="AB171646" s="251"/>
      <c r="AE171646" s="251"/>
      <c r="AH171646" s="251"/>
      <c r="AK171646" s="251"/>
    </row>
    <row r="171761" spans="25:37" x14ac:dyDescent="0.2">
      <c r="Y171761" s="5"/>
      <c r="AB171761" s="5"/>
      <c r="AE171761" s="5"/>
      <c r="AH171761" s="5"/>
      <c r="AK171761" s="5"/>
    </row>
    <row r="171771" spans="25:37" x14ac:dyDescent="0.2">
      <c r="Y171771" s="251"/>
      <c r="AB171771" s="251"/>
      <c r="AE171771" s="251"/>
      <c r="AH171771" s="251"/>
      <c r="AK171771" s="251"/>
    </row>
    <row r="171886" spans="25:37" x14ac:dyDescent="0.2">
      <c r="Y171886" s="5"/>
      <c r="AB171886" s="5"/>
      <c r="AE171886" s="5"/>
      <c r="AH171886" s="5"/>
      <c r="AK171886" s="5"/>
    </row>
    <row r="171896" spans="25:37" x14ac:dyDescent="0.2">
      <c r="Y171896" s="251"/>
      <c r="AB171896" s="251"/>
      <c r="AE171896" s="251"/>
      <c r="AH171896" s="251"/>
      <c r="AK171896" s="251"/>
    </row>
    <row r="172011" spans="25:37" x14ac:dyDescent="0.2">
      <c r="Y172011" s="5"/>
      <c r="AB172011" s="5"/>
      <c r="AE172011" s="5"/>
      <c r="AH172011" s="5"/>
      <c r="AK172011" s="5"/>
    </row>
    <row r="172021" spans="25:37" x14ac:dyDescent="0.2">
      <c r="Y172021" s="251"/>
      <c r="AB172021" s="251"/>
      <c r="AE172021" s="251"/>
      <c r="AH172021" s="251"/>
      <c r="AK172021" s="251"/>
    </row>
    <row r="172136" spans="25:37" x14ac:dyDescent="0.2">
      <c r="Y172136" s="5"/>
      <c r="AB172136" s="5"/>
      <c r="AE172136" s="5"/>
      <c r="AH172136" s="5"/>
      <c r="AK172136" s="5"/>
    </row>
    <row r="172146" spans="25:37" x14ac:dyDescent="0.2">
      <c r="Y172146" s="251"/>
      <c r="AB172146" s="251"/>
      <c r="AE172146" s="251"/>
      <c r="AH172146" s="251"/>
      <c r="AK172146" s="251"/>
    </row>
    <row r="172261" spans="25:37" x14ac:dyDescent="0.2">
      <c r="Y172261" s="5"/>
      <c r="AB172261" s="5"/>
      <c r="AE172261" s="5"/>
      <c r="AH172261" s="5"/>
      <c r="AK172261" s="5"/>
    </row>
    <row r="172271" spans="25:37" x14ac:dyDescent="0.2">
      <c r="Y172271" s="251"/>
      <c r="AB172271" s="251"/>
      <c r="AE172271" s="251"/>
      <c r="AH172271" s="251"/>
      <c r="AK172271" s="251"/>
    </row>
    <row r="172386" spans="25:37" x14ac:dyDescent="0.2">
      <c r="Y172386" s="5"/>
      <c r="AB172386" s="5"/>
      <c r="AE172386" s="5"/>
      <c r="AH172386" s="5"/>
      <c r="AK172386" s="5"/>
    </row>
    <row r="172396" spans="25:37" x14ac:dyDescent="0.2">
      <c r="Y172396" s="251"/>
      <c r="AB172396" s="251"/>
      <c r="AE172396" s="251"/>
      <c r="AH172396" s="251"/>
      <c r="AK172396" s="251"/>
    </row>
    <row r="172511" spans="25:37" x14ac:dyDescent="0.2">
      <c r="Y172511" s="5"/>
      <c r="AB172511" s="5"/>
      <c r="AE172511" s="5"/>
      <c r="AH172511" s="5"/>
      <c r="AK172511" s="5"/>
    </row>
    <row r="172521" spans="25:37" x14ac:dyDescent="0.2">
      <c r="Y172521" s="251"/>
      <c r="AB172521" s="251"/>
      <c r="AE172521" s="251"/>
      <c r="AH172521" s="251"/>
      <c r="AK172521" s="251"/>
    </row>
    <row r="172636" spans="25:37" x14ac:dyDescent="0.2">
      <c r="Y172636" s="5"/>
      <c r="AB172636" s="5"/>
      <c r="AE172636" s="5"/>
      <c r="AH172636" s="5"/>
      <c r="AK172636" s="5"/>
    </row>
    <row r="172646" spans="25:37" x14ac:dyDescent="0.2">
      <c r="Y172646" s="251"/>
      <c r="AB172646" s="251"/>
      <c r="AE172646" s="251"/>
      <c r="AH172646" s="251"/>
      <c r="AK172646" s="251"/>
    </row>
    <row r="172761" spans="25:37" x14ac:dyDescent="0.2">
      <c r="Y172761" s="5"/>
      <c r="AB172761" s="5"/>
      <c r="AE172761" s="5"/>
      <c r="AH172761" s="5"/>
      <c r="AK172761" s="5"/>
    </row>
    <row r="172771" spans="25:37" x14ac:dyDescent="0.2">
      <c r="Y172771" s="251"/>
      <c r="AB172771" s="251"/>
      <c r="AE172771" s="251"/>
      <c r="AH172771" s="251"/>
      <c r="AK172771" s="251"/>
    </row>
    <row r="172886" spans="25:37" x14ac:dyDescent="0.2">
      <c r="Y172886" s="5"/>
      <c r="AB172886" s="5"/>
      <c r="AE172886" s="5"/>
      <c r="AH172886" s="5"/>
      <c r="AK172886" s="5"/>
    </row>
    <row r="172896" spans="25:37" x14ac:dyDescent="0.2">
      <c r="Y172896" s="251"/>
      <c r="AB172896" s="251"/>
      <c r="AE172896" s="251"/>
      <c r="AH172896" s="251"/>
      <c r="AK172896" s="251"/>
    </row>
    <row r="173011" spans="25:37" x14ac:dyDescent="0.2">
      <c r="Y173011" s="5"/>
      <c r="AB173011" s="5"/>
      <c r="AE173011" s="5"/>
      <c r="AH173011" s="5"/>
      <c r="AK173011" s="5"/>
    </row>
    <row r="173021" spans="25:37" x14ac:dyDescent="0.2">
      <c r="Y173021" s="251"/>
      <c r="AB173021" s="251"/>
      <c r="AE173021" s="251"/>
      <c r="AH173021" s="251"/>
      <c r="AK173021" s="251"/>
    </row>
    <row r="173136" spans="25:37" x14ac:dyDescent="0.2">
      <c r="Y173136" s="5"/>
      <c r="AB173136" s="5"/>
      <c r="AE173136" s="5"/>
      <c r="AH173136" s="5"/>
      <c r="AK173136" s="5"/>
    </row>
    <row r="173146" spans="25:37" x14ac:dyDescent="0.2">
      <c r="Y173146" s="251"/>
      <c r="AB173146" s="251"/>
      <c r="AE173146" s="251"/>
      <c r="AH173146" s="251"/>
      <c r="AK173146" s="251"/>
    </row>
    <row r="173261" spans="25:37" x14ac:dyDescent="0.2">
      <c r="Y173261" s="5"/>
      <c r="AB173261" s="5"/>
      <c r="AE173261" s="5"/>
      <c r="AH173261" s="5"/>
      <c r="AK173261" s="5"/>
    </row>
    <row r="173271" spans="25:37" x14ac:dyDescent="0.2">
      <c r="Y173271" s="251"/>
      <c r="AB173271" s="251"/>
      <c r="AE173271" s="251"/>
      <c r="AH173271" s="251"/>
      <c r="AK173271" s="251"/>
    </row>
    <row r="173386" spans="25:37" x14ac:dyDescent="0.2">
      <c r="Y173386" s="5"/>
      <c r="AB173386" s="5"/>
      <c r="AE173386" s="5"/>
      <c r="AH173386" s="5"/>
      <c r="AK173386" s="5"/>
    </row>
    <row r="173396" spans="25:37" x14ac:dyDescent="0.2">
      <c r="Y173396" s="251"/>
      <c r="AB173396" s="251"/>
      <c r="AE173396" s="251"/>
      <c r="AH173396" s="251"/>
      <c r="AK173396" s="251"/>
    </row>
    <row r="173511" spans="25:37" x14ac:dyDescent="0.2">
      <c r="Y173511" s="5"/>
      <c r="AB173511" s="5"/>
      <c r="AE173511" s="5"/>
      <c r="AH173511" s="5"/>
      <c r="AK173511" s="5"/>
    </row>
    <row r="173521" spans="25:37" x14ac:dyDescent="0.2">
      <c r="Y173521" s="251"/>
      <c r="AB173521" s="251"/>
      <c r="AE173521" s="251"/>
      <c r="AH173521" s="251"/>
      <c r="AK173521" s="251"/>
    </row>
    <row r="173636" spans="25:37" x14ac:dyDescent="0.2">
      <c r="Y173636" s="5"/>
      <c r="AB173636" s="5"/>
      <c r="AE173636" s="5"/>
      <c r="AH173636" s="5"/>
      <c r="AK173636" s="5"/>
    </row>
    <row r="173646" spans="25:37" x14ac:dyDescent="0.2">
      <c r="Y173646" s="251"/>
      <c r="AB173646" s="251"/>
      <c r="AE173646" s="251"/>
      <c r="AH173646" s="251"/>
      <c r="AK173646" s="251"/>
    </row>
    <row r="173761" spans="25:37" x14ac:dyDescent="0.2">
      <c r="Y173761" s="5"/>
      <c r="AB173761" s="5"/>
      <c r="AE173761" s="5"/>
      <c r="AH173761" s="5"/>
      <c r="AK173761" s="5"/>
    </row>
    <row r="173771" spans="25:37" x14ac:dyDescent="0.2">
      <c r="Y173771" s="251"/>
      <c r="AB173771" s="251"/>
      <c r="AE173771" s="251"/>
      <c r="AH173771" s="251"/>
      <c r="AK173771" s="251"/>
    </row>
    <row r="173886" spans="25:37" x14ac:dyDescent="0.2">
      <c r="Y173886" s="5"/>
      <c r="AB173886" s="5"/>
      <c r="AE173886" s="5"/>
      <c r="AH173886" s="5"/>
      <c r="AK173886" s="5"/>
    </row>
    <row r="173896" spans="25:37" x14ac:dyDescent="0.2">
      <c r="Y173896" s="251"/>
      <c r="AB173896" s="251"/>
      <c r="AE173896" s="251"/>
      <c r="AH173896" s="251"/>
      <c r="AK173896" s="251"/>
    </row>
    <row r="174011" spans="25:37" x14ac:dyDescent="0.2">
      <c r="Y174011" s="5"/>
      <c r="AB174011" s="5"/>
      <c r="AE174011" s="5"/>
      <c r="AH174011" s="5"/>
      <c r="AK174011" s="5"/>
    </row>
    <row r="174021" spans="25:37" x14ac:dyDescent="0.2">
      <c r="Y174021" s="251"/>
      <c r="AB174021" s="251"/>
      <c r="AE174021" s="251"/>
      <c r="AH174021" s="251"/>
      <c r="AK174021" s="251"/>
    </row>
    <row r="174136" spans="25:37" x14ac:dyDescent="0.2">
      <c r="Y174136" s="5"/>
      <c r="AB174136" s="5"/>
      <c r="AE174136" s="5"/>
      <c r="AH174136" s="5"/>
      <c r="AK174136" s="5"/>
    </row>
    <row r="174146" spans="25:37" x14ac:dyDescent="0.2">
      <c r="Y174146" s="251"/>
      <c r="AB174146" s="251"/>
      <c r="AE174146" s="251"/>
      <c r="AH174146" s="251"/>
      <c r="AK174146" s="251"/>
    </row>
    <row r="174261" spans="25:37" x14ac:dyDescent="0.2">
      <c r="Y174261" s="5"/>
      <c r="AB174261" s="5"/>
      <c r="AE174261" s="5"/>
      <c r="AH174261" s="5"/>
      <c r="AK174261" s="5"/>
    </row>
    <row r="174271" spans="25:37" x14ac:dyDescent="0.2">
      <c r="Y174271" s="251"/>
      <c r="AB174271" s="251"/>
      <c r="AE174271" s="251"/>
      <c r="AH174271" s="251"/>
      <c r="AK174271" s="251"/>
    </row>
    <row r="174386" spans="25:37" x14ac:dyDescent="0.2">
      <c r="Y174386" s="5"/>
      <c r="AB174386" s="5"/>
      <c r="AE174386" s="5"/>
      <c r="AH174386" s="5"/>
      <c r="AK174386" s="5"/>
    </row>
    <row r="174396" spans="25:37" x14ac:dyDescent="0.2">
      <c r="Y174396" s="251"/>
      <c r="AB174396" s="251"/>
      <c r="AE174396" s="251"/>
      <c r="AH174396" s="251"/>
      <c r="AK174396" s="251"/>
    </row>
    <row r="174511" spans="25:37" x14ac:dyDescent="0.2">
      <c r="Y174511" s="5"/>
      <c r="AB174511" s="5"/>
      <c r="AE174511" s="5"/>
      <c r="AH174511" s="5"/>
      <c r="AK174511" s="5"/>
    </row>
    <row r="174521" spans="25:37" x14ac:dyDescent="0.2">
      <c r="Y174521" s="251"/>
      <c r="AB174521" s="251"/>
      <c r="AE174521" s="251"/>
      <c r="AH174521" s="251"/>
      <c r="AK174521" s="251"/>
    </row>
    <row r="174636" spans="25:37" x14ac:dyDescent="0.2">
      <c r="Y174636" s="5"/>
      <c r="AB174636" s="5"/>
      <c r="AE174636" s="5"/>
      <c r="AH174636" s="5"/>
      <c r="AK174636" s="5"/>
    </row>
    <row r="174646" spans="25:37" x14ac:dyDescent="0.2">
      <c r="Y174646" s="251"/>
      <c r="AB174646" s="251"/>
      <c r="AE174646" s="251"/>
      <c r="AH174646" s="251"/>
      <c r="AK174646" s="251"/>
    </row>
    <row r="174761" spans="25:37" x14ac:dyDescent="0.2">
      <c r="Y174761" s="5"/>
      <c r="AB174761" s="5"/>
      <c r="AE174761" s="5"/>
      <c r="AH174761" s="5"/>
      <c r="AK174761" s="5"/>
    </row>
    <row r="174771" spans="25:37" x14ac:dyDescent="0.2">
      <c r="Y174771" s="251"/>
      <c r="AB174771" s="251"/>
      <c r="AE174771" s="251"/>
      <c r="AH174771" s="251"/>
      <c r="AK174771" s="251"/>
    </row>
    <row r="174886" spans="25:37" x14ac:dyDescent="0.2">
      <c r="Y174886" s="5"/>
      <c r="AB174886" s="5"/>
      <c r="AE174886" s="5"/>
      <c r="AH174886" s="5"/>
      <c r="AK174886" s="5"/>
    </row>
    <row r="174896" spans="25:37" x14ac:dyDescent="0.2">
      <c r="Y174896" s="251"/>
      <c r="AB174896" s="251"/>
      <c r="AE174896" s="251"/>
      <c r="AH174896" s="251"/>
      <c r="AK174896" s="251"/>
    </row>
    <row r="175011" spans="25:37" x14ac:dyDescent="0.2">
      <c r="Y175011" s="5"/>
      <c r="AB175011" s="5"/>
      <c r="AE175011" s="5"/>
      <c r="AH175011" s="5"/>
      <c r="AK175011" s="5"/>
    </row>
    <row r="175021" spans="25:37" x14ac:dyDescent="0.2">
      <c r="Y175021" s="251"/>
      <c r="AB175021" s="251"/>
      <c r="AE175021" s="251"/>
      <c r="AH175021" s="251"/>
      <c r="AK175021" s="251"/>
    </row>
    <row r="175136" spans="25:37" x14ac:dyDescent="0.2">
      <c r="Y175136" s="5"/>
      <c r="AB175136" s="5"/>
      <c r="AE175136" s="5"/>
      <c r="AH175136" s="5"/>
      <c r="AK175136" s="5"/>
    </row>
    <row r="175146" spans="25:37" x14ac:dyDescent="0.2">
      <c r="Y175146" s="251"/>
      <c r="AB175146" s="251"/>
      <c r="AE175146" s="251"/>
      <c r="AH175146" s="251"/>
      <c r="AK175146" s="251"/>
    </row>
    <row r="175261" spans="25:37" x14ac:dyDescent="0.2">
      <c r="Y175261" s="5"/>
      <c r="AB175261" s="5"/>
      <c r="AE175261" s="5"/>
      <c r="AH175261" s="5"/>
      <c r="AK175261" s="5"/>
    </row>
    <row r="175271" spans="25:37" x14ac:dyDescent="0.2">
      <c r="Y175271" s="251"/>
      <c r="AB175271" s="251"/>
      <c r="AE175271" s="251"/>
      <c r="AH175271" s="251"/>
      <c r="AK175271" s="251"/>
    </row>
    <row r="175386" spans="25:37" x14ac:dyDescent="0.2">
      <c r="Y175386" s="5"/>
      <c r="AB175386" s="5"/>
      <c r="AE175386" s="5"/>
      <c r="AH175386" s="5"/>
      <c r="AK175386" s="5"/>
    </row>
    <row r="175396" spans="25:37" x14ac:dyDescent="0.2">
      <c r="Y175396" s="251"/>
      <c r="AB175396" s="251"/>
      <c r="AE175396" s="251"/>
      <c r="AH175396" s="251"/>
      <c r="AK175396" s="251"/>
    </row>
    <row r="175511" spans="25:37" x14ac:dyDescent="0.2">
      <c r="Y175511" s="5"/>
      <c r="AB175511" s="5"/>
      <c r="AE175511" s="5"/>
      <c r="AH175511" s="5"/>
      <c r="AK175511" s="5"/>
    </row>
    <row r="175521" spans="25:37" x14ac:dyDescent="0.2">
      <c r="Y175521" s="251"/>
      <c r="AB175521" s="251"/>
      <c r="AE175521" s="251"/>
      <c r="AH175521" s="251"/>
      <c r="AK175521" s="251"/>
    </row>
    <row r="175636" spans="25:37" x14ac:dyDescent="0.2">
      <c r="Y175636" s="5"/>
      <c r="AB175636" s="5"/>
      <c r="AE175636" s="5"/>
      <c r="AH175636" s="5"/>
      <c r="AK175636" s="5"/>
    </row>
    <row r="175646" spans="25:37" x14ac:dyDescent="0.2">
      <c r="Y175646" s="251"/>
      <c r="AB175646" s="251"/>
      <c r="AE175646" s="251"/>
      <c r="AH175646" s="251"/>
      <c r="AK175646" s="251"/>
    </row>
    <row r="175761" spans="25:37" x14ac:dyDescent="0.2">
      <c r="Y175761" s="5"/>
      <c r="AB175761" s="5"/>
      <c r="AE175761" s="5"/>
      <c r="AH175761" s="5"/>
      <c r="AK175761" s="5"/>
    </row>
    <row r="175771" spans="25:37" x14ac:dyDescent="0.2">
      <c r="Y175771" s="251"/>
      <c r="AB175771" s="251"/>
      <c r="AE175771" s="251"/>
      <c r="AH175771" s="251"/>
      <c r="AK175771" s="251"/>
    </row>
    <row r="175886" spans="25:37" x14ac:dyDescent="0.2">
      <c r="Y175886" s="5"/>
      <c r="AB175886" s="5"/>
      <c r="AE175886" s="5"/>
      <c r="AH175886" s="5"/>
      <c r="AK175886" s="5"/>
    </row>
    <row r="175896" spans="25:37" x14ac:dyDescent="0.2">
      <c r="Y175896" s="251"/>
      <c r="AB175896" s="251"/>
      <c r="AE175896" s="251"/>
      <c r="AH175896" s="251"/>
      <c r="AK175896" s="251"/>
    </row>
    <row r="176011" spans="25:37" x14ac:dyDescent="0.2">
      <c r="Y176011" s="5"/>
      <c r="AB176011" s="5"/>
      <c r="AE176011" s="5"/>
      <c r="AH176011" s="5"/>
      <c r="AK176011" s="5"/>
    </row>
    <row r="176021" spans="25:37" x14ac:dyDescent="0.2">
      <c r="Y176021" s="251"/>
      <c r="AB176021" s="251"/>
      <c r="AE176021" s="251"/>
      <c r="AH176021" s="251"/>
      <c r="AK176021" s="251"/>
    </row>
    <row r="176136" spans="25:37" x14ac:dyDescent="0.2">
      <c r="Y176136" s="5"/>
      <c r="AB176136" s="5"/>
      <c r="AE176136" s="5"/>
      <c r="AH176136" s="5"/>
      <c r="AK176136" s="5"/>
    </row>
    <row r="176146" spans="25:37" x14ac:dyDescent="0.2">
      <c r="Y176146" s="251"/>
      <c r="AB176146" s="251"/>
      <c r="AE176146" s="251"/>
      <c r="AH176146" s="251"/>
      <c r="AK176146" s="251"/>
    </row>
    <row r="176261" spans="25:37" x14ac:dyDescent="0.2">
      <c r="Y176261" s="5"/>
      <c r="AB176261" s="5"/>
      <c r="AE176261" s="5"/>
      <c r="AH176261" s="5"/>
      <c r="AK176261" s="5"/>
    </row>
    <row r="176271" spans="25:37" x14ac:dyDescent="0.2">
      <c r="Y176271" s="251"/>
      <c r="AB176271" s="251"/>
      <c r="AE176271" s="251"/>
      <c r="AH176271" s="251"/>
      <c r="AK176271" s="251"/>
    </row>
    <row r="176386" spans="25:37" x14ac:dyDescent="0.2">
      <c r="Y176386" s="5"/>
      <c r="AB176386" s="5"/>
      <c r="AE176386" s="5"/>
      <c r="AH176386" s="5"/>
      <c r="AK176386" s="5"/>
    </row>
    <row r="176396" spans="25:37" x14ac:dyDescent="0.2">
      <c r="Y176396" s="251"/>
      <c r="AB176396" s="251"/>
      <c r="AE176396" s="251"/>
      <c r="AH176396" s="251"/>
      <c r="AK176396" s="251"/>
    </row>
    <row r="176511" spans="25:37" x14ac:dyDescent="0.2">
      <c r="Y176511" s="5"/>
      <c r="AB176511" s="5"/>
      <c r="AE176511" s="5"/>
      <c r="AH176511" s="5"/>
      <c r="AK176511" s="5"/>
    </row>
    <row r="176521" spans="25:37" x14ac:dyDescent="0.2">
      <c r="Y176521" s="251"/>
      <c r="AB176521" s="251"/>
      <c r="AE176521" s="251"/>
      <c r="AH176521" s="251"/>
      <c r="AK176521" s="251"/>
    </row>
    <row r="176636" spans="25:37" x14ac:dyDescent="0.2">
      <c r="Y176636" s="5"/>
      <c r="AB176636" s="5"/>
      <c r="AE176636" s="5"/>
      <c r="AH176636" s="5"/>
      <c r="AK176636" s="5"/>
    </row>
    <row r="176646" spans="25:37" x14ac:dyDescent="0.2">
      <c r="Y176646" s="251"/>
      <c r="AB176646" s="251"/>
      <c r="AE176646" s="251"/>
      <c r="AH176646" s="251"/>
      <c r="AK176646" s="251"/>
    </row>
    <row r="176761" spans="25:37" x14ac:dyDescent="0.2">
      <c r="Y176761" s="5"/>
      <c r="AB176761" s="5"/>
      <c r="AE176761" s="5"/>
      <c r="AH176761" s="5"/>
      <c r="AK176761" s="5"/>
    </row>
    <row r="176771" spans="25:37" x14ac:dyDescent="0.2">
      <c r="Y176771" s="251"/>
      <c r="AB176771" s="251"/>
      <c r="AE176771" s="251"/>
      <c r="AH176771" s="251"/>
      <c r="AK176771" s="251"/>
    </row>
    <row r="176886" spans="25:37" x14ac:dyDescent="0.2">
      <c r="Y176886" s="5"/>
      <c r="AB176886" s="5"/>
      <c r="AE176886" s="5"/>
      <c r="AH176886" s="5"/>
      <c r="AK176886" s="5"/>
    </row>
    <row r="176896" spans="25:37" x14ac:dyDescent="0.2">
      <c r="Y176896" s="251"/>
      <c r="AB176896" s="251"/>
      <c r="AE176896" s="251"/>
      <c r="AH176896" s="251"/>
      <c r="AK176896" s="251"/>
    </row>
    <row r="177011" spans="25:37" x14ac:dyDescent="0.2">
      <c r="Y177011" s="5"/>
      <c r="AB177011" s="5"/>
      <c r="AE177011" s="5"/>
      <c r="AH177011" s="5"/>
      <c r="AK177011" s="5"/>
    </row>
    <row r="177021" spans="25:37" x14ac:dyDescent="0.2">
      <c r="Y177021" s="251"/>
      <c r="AB177021" s="251"/>
      <c r="AE177021" s="251"/>
      <c r="AH177021" s="251"/>
      <c r="AK177021" s="251"/>
    </row>
    <row r="177136" spans="25:37" x14ac:dyDescent="0.2">
      <c r="Y177136" s="5"/>
      <c r="AB177136" s="5"/>
      <c r="AE177136" s="5"/>
      <c r="AH177136" s="5"/>
      <c r="AK177136" s="5"/>
    </row>
    <row r="177146" spans="25:37" x14ac:dyDescent="0.2">
      <c r="Y177146" s="251"/>
      <c r="AB177146" s="251"/>
      <c r="AE177146" s="251"/>
      <c r="AH177146" s="251"/>
      <c r="AK177146" s="251"/>
    </row>
    <row r="177261" spans="25:37" x14ac:dyDescent="0.2">
      <c r="Y177261" s="5"/>
      <c r="AB177261" s="5"/>
      <c r="AE177261" s="5"/>
      <c r="AH177261" s="5"/>
      <c r="AK177261" s="5"/>
    </row>
    <row r="177271" spans="25:37" x14ac:dyDescent="0.2">
      <c r="Y177271" s="251"/>
      <c r="AB177271" s="251"/>
      <c r="AE177271" s="251"/>
      <c r="AH177271" s="251"/>
      <c r="AK177271" s="251"/>
    </row>
    <row r="177386" spans="25:37" x14ac:dyDescent="0.2">
      <c r="Y177386" s="5"/>
      <c r="AB177386" s="5"/>
      <c r="AE177386" s="5"/>
      <c r="AH177386" s="5"/>
      <c r="AK177386" s="5"/>
    </row>
    <row r="177396" spans="25:37" x14ac:dyDescent="0.2">
      <c r="Y177396" s="251"/>
      <c r="AB177396" s="251"/>
      <c r="AE177396" s="251"/>
      <c r="AH177396" s="251"/>
      <c r="AK177396" s="251"/>
    </row>
    <row r="177511" spans="25:37" x14ac:dyDescent="0.2">
      <c r="Y177511" s="5"/>
      <c r="AB177511" s="5"/>
      <c r="AE177511" s="5"/>
      <c r="AH177511" s="5"/>
      <c r="AK177511" s="5"/>
    </row>
    <row r="177521" spans="25:37" x14ac:dyDescent="0.2">
      <c r="Y177521" s="251"/>
      <c r="AB177521" s="251"/>
      <c r="AE177521" s="251"/>
      <c r="AH177521" s="251"/>
      <c r="AK177521" s="251"/>
    </row>
    <row r="177636" spans="25:37" x14ac:dyDescent="0.2">
      <c r="Y177636" s="5"/>
      <c r="AB177636" s="5"/>
      <c r="AE177636" s="5"/>
      <c r="AH177636" s="5"/>
      <c r="AK177636" s="5"/>
    </row>
    <row r="177646" spans="25:37" x14ac:dyDescent="0.2">
      <c r="Y177646" s="251"/>
      <c r="AB177646" s="251"/>
      <c r="AE177646" s="251"/>
      <c r="AH177646" s="251"/>
      <c r="AK177646" s="251"/>
    </row>
    <row r="177761" spans="25:37" x14ac:dyDescent="0.2">
      <c r="Y177761" s="5"/>
      <c r="AB177761" s="5"/>
      <c r="AE177761" s="5"/>
      <c r="AH177761" s="5"/>
      <c r="AK177761" s="5"/>
    </row>
    <row r="177771" spans="25:37" x14ac:dyDescent="0.2">
      <c r="Y177771" s="251"/>
      <c r="AB177771" s="251"/>
      <c r="AE177771" s="251"/>
      <c r="AH177771" s="251"/>
      <c r="AK177771" s="251"/>
    </row>
    <row r="177886" spans="25:37" x14ac:dyDescent="0.2">
      <c r="Y177886" s="5"/>
      <c r="AB177886" s="5"/>
      <c r="AE177886" s="5"/>
      <c r="AH177886" s="5"/>
      <c r="AK177886" s="5"/>
    </row>
    <row r="177896" spans="25:37" x14ac:dyDescent="0.2">
      <c r="Y177896" s="251"/>
      <c r="AB177896" s="251"/>
      <c r="AE177896" s="251"/>
      <c r="AH177896" s="251"/>
      <c r="AK177896" s="251"/>
    </row>
    <row r="178011" spans="25:37" x14ac:dyDescent="0.2">
      <c r="Y178011" s="5"/>
      <c r="AB178011" s="5"/>
      <c r="AE178011" s="5"/>
      <c r="AH178011" s="5"/>
      <c r="AK178011" s="5"/>
    </row>
    <row r="178021" spans="25:37" x14ac:dyDescent="0.2">
      <c r="Y178021" s="251"/>
      <c r="AB178021" s="251"/>
      <c r="AE178021" s="251"/>
      <c r="AH178021" s="251"/>
      <c r="AK178021" s="251"/>
    </row>
    <row r="178136" spans="25:37" x14ac:dyDescent="0.2">
      <c r="Y178136" s="5"/>
      <c r="AB178136" s="5"/>
      <c r="AE178136" s="5"/>
      <c r="AH178136" s="5"/>
      <c r="AK178136" s="5"/>
    </row>
    <row r="178146" spans="25:37" x14ac:dyDescent="0.2">
      <c r="Y178146" s="251"/>
      <c r="AB178146" s="251"/>
      <c r="AE178146" s="251"/>
      <c r="AH178146" s="251"/>
      <c r="AK178146" s="251"/>
    </row>
    <row r="178261" spans="25:37" x14ac:dyDescent="0.2">
      <c r="Y178261" s="5"/>
      <c r="AB178261" s="5"/>
      <c r="AE178261" s="5"/>
      <c r="AH178261" s="5"/>
      <c r="AK178261" s="5"/>
    </row>
    <row r="178271" spans="25:37" x14ac:dyDescent="0.2">
      <c r="Y178271" s="251"/>
      <c r="AB178271" s="251"/>
      <c r="AE178271" s="251"/>
      <c r="AH178271" s="251"/>
      <c r="AK178271" s="251"/>
    </row>
    <row r="178386" spans="25:37" x14ac:dyDescent="0.2">
      <c r="Y178386" s="5"/>
      <c r="AB178386" s="5"/>
      <c r="AE178386" s="5"/>
      <c r="AH178386" s="5"/>
      <c r="AK178386" s="5"/>
    </row>
    <row r="178396" spans="25:37" x14ac:dyDescent="0.2">
      <c r="Y178396" s="251"/>
      <c r="AB178396" s="251"/>
      <c r="AE178396" s="251"/>
      <c r="AH178396" s="251"/>
      <c r="AK178396" s="251"/>
    </row>
    <row r="178511" spans="25:37" x14ac:dyDescent="0.2">
      <c r="Y178511" s="5"/>
      <c r="AB178511" s="5"/>
      <c r="AE178511" s="5"/>
      <c r="AH178511" s="5"/>
      <c r="AK178511" s="5"/>
    </row>
    <row r="178521" spans="25:37" x14ac:dyDescent="0.2">
      <c r="Y178521" s="251"/>
      <c r="AB178521" s="251"/>
      <c r="AE178521" s="251"/>
      <c r="AH178521" s="251"/>
      <c r="AK178521" s="251"/>
    </row>
    <row r="178636" spans="25:37" x14ac:dyDescent="0.2">
      <c r="Y178636" s="5"/>
      <c r="AB178636" s="5"/>
      <c r="AE178636" s="5"/>
      <c r="AH178636" s="5"/>
      <c r="AK178636" s="5"/>
    </row>
    <row r="178646" spans="25:37" x14ac:dyDescent="0.2">
      <c r="Y178646" s="251"/>
      <c r="AB178646" s="251"/>
      <c r="AE178646" s="251"/>
      <c r="AH178646" s="251"/>
      <c r="AK178646" s="251"/>
    </row>
    <row r="178761" spans="25:37" x14ac:dyDescent="0.2">
      <c r="Y178761" s="5"/>
      <c r="AB178761" s="5"/>
      <c r="AE178761" s="5"/>
      <c r="AH178761" s="5"/>
      <c r="AK178761" s="5"/>
    </row>
    <row r="178771" spans="25:37" x14ac:dyDescent="0.2">
      <c r="Y178771" s="251"/>
      <c r="AB178771" s="251"/>
      <c r="AE178771" s="251"/>
      <c r="AH178771" s="251"/>
      <c r="AK178771" s="251"/>
    </row>
    <row r="178886" spans="25:37" x14ac:dyDescent="0.2">
      <c r="Y178886" s="5"/>
      <c r="AB178886" s="5"/>
      <c r="AE178886" s="5"/>
      <c r="AH178886" s="5"/>
      <c r="AK178886" s="5"/>
    </row>
    <row r="178896" spans="25:37" x14ac:dyDescent="0.2">
      <c r="Y178896" s="251"/>
      <c r="AB178896" s="251"/>
      <c r="AE178896" s="251"/>
      <c r="AH178896" s="251"/>
      <c r="AK178896" s="251"/>
    </row>
    <row r="179011" spans="25:37" x14ac:dyDescent="0.2">
      <c r="Y179011" s="5"/>
      <c r="AB179011" s="5"/>
      <c r="AE179011" s="5"/>
      <c r="AH179011" s="5"/>
      <c r="AK179011" s="5"/>
    </row>
    <row r="179021" spans="25:37" x14ac:dyDescent="0.2">
      <c r="Y179021" s="251"/>
      <c r="AB179021" s="251"/>
      <c r="AE179021" s="251"/>
      <c r="AH179021" s="251"/>
      <c r="AK179021" s="251"/>
    </row>
    <row r="179136" spans="25:37" x14ac:dyDescent="0.2">
      <c r="Y179136" s="5"/>
      <c r="AB179136" s="5"/>
      <c r="AE179136" s="5"/>
      <c r="AH179136" s="5"/>
      <c r="AK179136" s="5"/>
    </row>
    <row r="179146" spans="25:37" x14ac:dyDescent="0.2">
      <c r="Y179146" s="251"/>
      <c r="AB179146" s="251"/>
      <c r="AE179146" s="251"/>
      <c r="AH179146" s="251"/>
      <c r="AK179146" s="251"/>
    </row>
    <row r="179261" spans="25:37" x14ac:dyDescent="0.2">
      <c r="Y179261" s="5"/>
      <c r="AB179261" s="5"/>
      <c r="AE179261" s="5"/>
      <c r="AH179261" s="5"/>
      <c r="AK179261" s="5"/>
    </row>
    <row r="179271" spans="25:37" x14ac:dyDescent="0.2">
      <c r="Y179271" s="251"/>
      <c r="AB179271" s="251"/>
      <c r="AE179271" s="251"/>
      <c r="AH179271" s="251"/>
      <c r="AK179271" s="251"/>
    </row>
    <row r="179386" spans="25:37" x14ac:dyDescent="0.2">
      <c r="Y179386" s="5"/>
      <c r="AB179386" s="5"/>
      <c r="AE179386" s="5"/>
      <c r="AH179386" s="5"/>
      <c r="AK179386" s="5"/>
    </row>
    <row r="179396" spans="25:37" x14ac:dyDescent="0.2">
      <c r="Y179396" s="251"/>
      <c r="AB179396" s="251"/>
      <c r="AE179396" s="251"/>
      <c r="AH179396" s="251"/>
      <c r="AK179396" s="251"/>
    </row>
    <row r="179511" spans="25:37" x14ac:dyDescent="0.2">
      <c r="Y179511" s="5"/>
      <c r="AB179511" s="5"/>
      <c r="AE179511" s="5"/>
      <c r="AH179511" s="5"/>
      <c r="AK179511" s="5"/>
    </row>
    <row r="179521" spans="25:37" x14ac:dyDescent="0.2">
      <c r="Y179521" s="251"/>
      <c r="AB179521" s="251"/>
      <c r="AE179521" s="251"/>
      <c r="AH179521" s="251"/>
      <c r="AK179521" s="251"/>
    </row>
    <row r="179636" spans="25:37" x14ac:dyDescent="0.2">
      <c r="Y179636" s="5"/>
      <c r="AB179636" s="5"/>
      <c r="AE179636" s="5"/>
      <c r="AH179636" s="5"/>
      <c r="AK179636" s="5"/>
    </row>
    <row r="179646" spans="25:37" x14ac:dyDescent="0.2">
      <c r="Y179646" s="251"/>
      <c r="AB179646" s="251"/>
      <c r="AE179646" s="251"/>
      <c r="AH179646" s="251"/>
      <c r="AK179646" s="251"/>
    </row>
    <row r="179761" spans="25:37" x14ac:dyDescent="0.2">
      <c r="Y179761" s="5"/>
      <c r="AB179761" s="5"/>
      <c r="AE179761" s="5"/>
      <c r="AH179761" s="5"/>
      <c r="AK179761" s="5"/>
    </row>
    <row r="179771" spans="25:37" x14ac:dyDescent="0.2">
      <c r="Y179771" s="251"/>
      <c r="AB179771" s="251"/>
      <c r="AE179771" s="251"/>
      <c r="AH179771" s="251"/>
      <c r="AK179771" s="251"/>
    </row>
    <row r="179886" spans="25:37" x14ac:dyDescent="0.2">
      <c r="Y179886" s="5"/>
      <c r="AB179886" s="5"/>
      <c r="AE179886" s="5"/>
      <c r="AH179886" s="5"/>
      <c r="AK179886" s="5"/>
    </row>
    <row r="179896" spans="25:37" x14ac:dyDescent="0.2">
      <c r="Y179896" s="251"/>
      <c r="AB179896" s="251"/>
      <c r="AE179896" s="251"/>
      <c r="AH179896" s="251"/>
      <c r="AK179896" s="251"/>
    </row>
    <row r="180011" spans="25:37" x14ac:dyDescent="0.2">
      <c r="Y180011" s="5"/>
      <c r="AB180011" s="5"/>
      <c r="AE180011" s="5"/>
      <c r="AH180011" s="5"/>
      <c r="AK180011" s="5"/>
    </row>
    <row r="180021" spans="25:37" x14ac:dyDescent="0.2">
      <c r="Y180021" s="251"/>
      <c r="AB180021" s="251"/>
      <c r="AE180021" s="251"/>
      <c r="AH180021" s="251"/>
      <c r="AK180021" s="251"/>
    </row>
    <row r="180136" spans="25:37" x14ac:dyDescent="0.2">
      <c r="Y180136" s="5"/>
      <c r="AB180136" s="5"/>
      <c r="AE180136" s="5"/>
      <c r="AH180136" s="5"/>
      <c r="AK180136" s="5"/>
    </row>
    <row r="180146" spans="25:37" x14ac:dyDescent="0.2">
      <c r="Y180146" s="251"/>
      <c r="AB180146" s="251"/>
      <c r="AE180146" s="251"/>
      <c r="AH180146" s="251"/>
      <c r="AK180146" s="251"/>
    </row>
    <row r="180261" spans="25:37" x14ac:dyDescent="0.2">
      <c r="Y180261" s="5"/>
      <c r="AB180261" s="5"/>
      <c r="AE180261" s="5"/>
      <c r="AH180261" s="5"/>
      <c r="AK180261" s="5"/>
    </row>
    <row r="180271" spans="25:37" x14ac:dyDescent="0.2">
      <c r="Y180271" s="251"/>
      <c r="AB180271" s="251"/>
      <c r="AE180271" s="251"/>
      <c r="AH180271" s="251"/>
      <c r="AK180271" s="251"/>
    </row>
    <row r="180386" spans="25:37" x14ac:dyDescent="0.2">
      <c r="Y180386" s="5"/>
      <c r="AB180386" s="5"/>
      <c r="AE180386" s="5"/>
      <c r="AH180386" s="5"/>
      <c r="AK180386" s="5"/>
    </row>
    <row r="180396" spans="25:37" x14ac:dyDescent="0.2">
      <c r="Y180396" s="251"/>
      <c r="AB180396" s="251"/>
      <c r="AE180396" s="251"/>
      <c r="AH180396" s="251"/>
      <c r="AK180396" s="251"/>
    </row>
    <row r="180511" spans="25:37" x14ac:dyDescent="0.2">
      <c r="Y180511" s="5"/>
      <c r="AB180511" s="5"/>
      <c r="AE180511" s="5"/>
      <c r="AH180511" s="5"/>
      <c r="AK180511" s="5"/>
    </row>
    <row r="180521" spans="25:37" x14ac:dyDescent="0.2">
      <c r="Y180521" s="251"/>
      <c r="AB180521" s="251"/>
      <c r="AE180521" s="251"/>
      <c r="AH180521" s="251"/>
      <c r="AK180521" s="251"/>
    </row>
    <row r="180636" spans="25:37" x14ac:dyDescent="0.2">
      <c r="Y180636" s="5"/>
      <c r="AB180636" s="5"/>
      <c r="AE180636" s="5"/>
      <c r="AH180636" s="5"/>
      <c r="AK180636" s="5"/>
    </row>
    <row r="180646" spans="25:37" x14ac:dyDescent="0.2">
      <c r="Y180646" s="251"/>
      <c r="AB180646" s="251"/>
      <c r="AE180646" s="251"/>
      <c r="AH180646" s="251"/>
      <c r="AK180646" s="251"/>
    </row>
    <row r="180761" spans="25:37" x14ac:dyDescent="0.2">
      <c r="Y180761" s="5"/>
      <c r="AB180761" s="5"/>
      <c r="AE180761" s="5"/>
      <c r="AH180761" s="5"/>
      <c r="AK180761" s="5"/>
    </row>
    <row r="180771" spans="25:37" x14ac:dyDescent="0.2">
      <c r="Y180771" s="251"/>
      <c r="AB180771" s="251"/>
      <c r="AE180771" s="251"/>
      <c r="AH180771" s="251"/>
      <c r="AK180771" s="251"/>
    </row>
    <row r="180886" spans="25:37" x14ac:dyDescent="0.2">
      <c r="Y180886" s="5"/>
      <c r="AB180886" s="5"/>
      <c r="AE180886" s="5"/>
      <c r="AH180886" s="5"/>
      <c r="AK180886" s="5"/>
    </row>
    <row r="180896" spans="25:37" x14ac:dyDescent="0.2">
      <c r="Y180896" s="251"/>
      <c r="AB180896" s="251"/>
      <c r="AE180896" s="251"/>
      <c r="AH180896" s="251"/>
      <c r="AK180896" s="251"/>
    </row>
    <row r="181011" spans="25:37" x14ac:dyDescent="0.2">
      <c r="Y181011" s="5"/>
      <c r="AB181011" s="5"/>
      <c r="AE181011" s="5"/>
      <c r="AH181011" s="5"/>
      <c r="AK181011" s="5"/>
    </row>
    <row r="181021" spans="25:37" x14ac:dyDescent="0.2">
      <c r="Y181021" s="251"/>
      <c r="AB181021" s="251"/>
      <c r="AE181021" s="251"/>
      <c r="AH181021" s="251"/>
      <c r="AK181021" s="251"/>
    </row>
    <row r="181136" spans="25:37" x14ac:dyDescent="0.2">
      <c r="Y181136" s="5"/>
      <c r="AB181136" s="5"/>
      <c r="AE181136" s="5"/>
      <c r="AH181136" s="5"/>
      <c r="AK181136" s="5"/>
    </row>
    <row r="181146" spans="25:37" x14ac:dyDescent="0.2">
      <c r="Y181146" s="251"/>
      <c r="AB181146" s="251"/>
      <c r="AE181146" s="251"/>
      <c r="AH181146" s="251"/>
      <c r="AK181146" s="251"/>
    </row>
    <row r="181261" spans="25:37" x14ac:dyDescent="0.2">
      <c r="Y181261" s="5"/>
      <c r="AB181261" s="5"/>
      <c r="AE181261" s="5"/>
      <c r="AH181261" s="5"/>
      <c r="AK181261" s="5"/>
    </row>
    <row r="181271" spans="25:37" x14ac:dyDescent="0.2">
      <c r="Y181271" s="251"/>
      <c r="AB181271" s="251"/>
      <c r="AE181271" s="251"/>
      <c r="AH181271" s="251"/>
      <c r="AK181271" s="251"/>
    </row>
    <row r="181386" spans="25:37" x14ac:dyDescent="0.2">
      <c r="Y181386" s="5"/>
      <c r="AB181386" s="5"/>
      <c r="AE181386" s="5"/>
      <c r="AH181386" s="5"/>
      <c r="AK181386" s="5"/>
    </row>
    <row r="181396" spans="25:37" x14ac:dyDescent="0.2">
      <c r="Y181396" s="251"/>
      <c r="AB181396" s="251"/>
      <c r="AE181396" s="251"/>
      <c r="AH181396" s="251"/>
      <c r="AK181396" s="251"/>
    </row>
    <row r="181511" spans="25:37" x14ac:dyDescent="0.2">
      <c r="Y181511" s="5"/>
      <c r="AB181511" s="5"/>
      <c r="AE181511" s="5"/>
      <c r="AH181511" s="5"/>
      <c r="AK181511" s="5"/>
    </row>
    <row r="181521" spans="25:37" x14ac:dyDescent="0.2">
      <c r="Y181521" s="251"/>
      <c r="AB181521" s="251"/>
      <c r="AE181521" s="251"/>
      <c r="AH181521" s="251"/>
      <c r="AK181521" s="251"/>
    </row>
    <row r="181636" spans="25:37" x14ac:dyDescent="0.2">
      <c r="Y181636" s="5"/>
      <c r="AB181636" s="5"/>
      <c r="AE181636" s="5"/>
      <c r="AH181636" s="5"/>
      <c r="AK181636" s="5"/>
    </row>
    <row r="181646" spans="25:37" x14ac:dyDescent="0.2">
      <c r="Y181646" s="251"/>
      <c r="AB181646" s="251"/>
      <c r="AE181646" s="251"/>
      <c r="AH181646" s="251"/>
      <c r="AK181646" s="251"/>
    </row>
    <row r="181761" spans="25:37" x14ac:dyDescent="0.2">
      <c r="Y181761" s="5"/>
      <c r="AB181761" s="5"/>
      <c r="AE181761" s="5"/>
      <c r="AH181761" s="5"/>
      <c r="AK181761" s="5"/>
    </row>
    <row r="181771" spans="25:37" x14ac:dyDescent="0.2">
      <c r="Y181771" s="251"/>
      <c r="AB181771" s="251"/>
      <c r="AE181771" s="251"/>
      <c r="AH181771" s="251"/>
      <c r="AK181771" s="251"/>
    </row>
    <row r="181886" spans="25:37" x14ac:dyDescent="0.2">
      <c r="Y181886" s="5"/>
      <c r="AB181886" s="5"/>
      <c r="AE181886" s="5"/>
      <c r="AH181886" s="5"/>
      <c r="AK181886" s="5"/>
    </row>
    <row r="181896" spans="25:37" x14ac:dyDescent="0.2">
      <c r="Y181896" s="251"/>
      <c r="AB181896" s="251"/>
      <c r="AE181896" s="251"/>
      <c r="AH181896" s="251"/>
      <c r="AK181896" s="251"/>
    </row>
    <row r="182011" spans="25:37" x14ac:dyDescent="0.2">
      <c r="Y182011" s="5"/>
      <c r="AB182011" s="5"/>
      <c r="AE182011" s="5"/>
      <c r="AH182011" s="5"/>
      <c r="AK182011" s="5"/>
    </row>
    <row r="182021" spans="25:37" x14ac:dyDescent="0.2">
      <c r="Y182021" s="251"/>
      <c r="AB182021" s="251"/>
      <c r="AE182021" s="251"/>
      <c r="AH182021" s="251"/>
      <c r="AK182021" s="251"/>
    </row>
    <row r="182136" spans="25:37" x14ac:dyDescent="0.2">
      <c r="Y182136" s="5"/>
      <c r="AB182136" s="5"/>
      <c r="AE182136" s="5"/>
      <c r="AH182136" s="5"/>
      <c r="AK182136" s="5"/>
    </row>
    <row r="182146" spans="25:37" x14ac:dyDescent="0.2">
      <c r="Y182146" s="251"/>
      <c r="AB182146" s="251"/>
      <c r="AE182146" s="251"/>
      <c r="AH182146" s="251"/>
      <c r="AK182146" s="251"/>
    </row>
    <row r="182261" spans="25:37" x14ac:dyDescent="0.2">
      <c r="Y182261" s="5"/>
      <c r="AB182261" s="5"/>
      <c r="AE182261" s="5"/>
      <c r="AH182261" s="5"/>
      <c r="AK182261" s="5"/>
    </row>
    <row r="182271" spans="25:37" x14ac:dyDescent="0.2">
      <c r="Y182271" s="251"/>
      <c r="AB182271" s="251"/>
      <c r="AE182271" s="251"/>
      <c r="AH182271" s="251"/>
      <c r="AK182271" s="251"/>
    </row>
    <row r="182386" spans="25:37" x14ac:dyDescent="0.2">
      <c r="Y182386" s="5"/>
      <c r="AB182386" s="5"/>
      <c r="AE182386" s="5"/>
      <c r="AH182386" s="5"/>
      <c r="AK182386" s="5"/>
    </row>
    <row r="182396" spans="25:37" x14ac:dyDescent="0.2">
      <c r="Y182396" s="251"/>
      <c r="AB182396" s="251"/>
      <c r="AE182396" s="251"/>
      <c r="AH182396" s="251"/>
      <c r="AK182396" s="251"/>
    </row>
    <row r="182511" spans="25:37" x14ac:dyDescent="0.2">
      <c r="Y182511" s="5"/>
      <c r="AB182511" s="5"/>
      <c r="AE182511" s="5"/>
      <c r="AH182511" s="5"/>
      <c r="AK182511" s="5"/>
    </row>
    <row r="182521" spans="25:37" x14ac:dyDescent="0.2">
      <c r="Y182521" s="251"/>
      <c r="AB182521" s="251"/>
      <c r="AE182521" s="251"/>
      <c r="AH182521" s="251"/>
      <c r="AK182521" s="251"/>
    </row>
    <row r="182636" spans="25:37" x14ac:dyDescent="0.2">
      <c r="Y182636" s="5"/>
      <c r="AB182636" s="5"/>
      <c r="AE182636" s="5"/>
      <c r="AH182636" s="5"/>
      <c r="AK182636" s="5"/>
    </row>
    <row r="182646" spans="25:37" x14ac:dyDescent="0.2">
      <c r="Y182646" s="251"/>
      <c r="AB182646" s="251"/>
      <c r="AE182646" s="251"/>
      <c r="AH182646" s="251"/>
      <c r="AK182646" s="251"/>
    </row>
    <row r="182761" spans="25:37" x14ac:dyDescent="0.2">
      <c r="Y182761" s="5"/>
      <c r="AB182761" s="5"/>
      <c r="AE182761" s="5"/>
      <c r="AH182761" s="5"/>
      <c r="AK182761" s="5"/>
    </row>
    <row r="182771" spans="25:37" x14ac:dyDescent="0.2">
      <c r="Y182771" s="251"/>
      <c r="AB182771" s="251"/>
      <c r="AE182771" s="251"/>
      <c r="AH182771" s="251"/>
      <c r="AK182771" s="251"/>
    </row>
    <row r="182886" spans="25:37" x14ac:dyDescent="0.2">
      <c r="Y182886" s="5"/>
      <c r="AB182886" s="5"/>
      <c r="AE182886" s="5"/>
      <c r="AH182886" s="5"/>
      <c r="AK182886" s="5"/>
    </row>
    <row r="182896" spans="25:37" x14ac:dyDescent="0.2">
      <c r="Y182896" s="251"/>
      <c r="AB182896" s="251"/>
      <c r="AE182896" s="251"/>
      <c r="AH182896" s="251"/>
      <c r="AK182896" s="251"/>
    </row>
    <row r="183011" spans="25:37" x14ac:dyDescent="0.2">
      <c r="Y183011" s="5"/>
      <c r="AB183011" s="5"/>
      <c r="AE183011" s="5"/>
      <c r="AH183011" s="5"/>
      <c r="AK183011" s="5"/>
    </row>
    <row r="183021" spans="25:37" x14ac:dyDescent="0.2">
      <c r="Y183021" s="251"/>
      <c r="AB183021" s="251"/>
      <c r="AE183021" s="251"/>
      <c r="AH183021" s="251"/>
      <c r="AK183021" s="251"/>
    </row>
    <row r="183136" spans="25:37" x14ac:dyDescent="0.2">
      <c r="Y183136" s="5"/>
      <c r="AB183136" s="5"/>
      <c r="AE183136" s="5"/>
      <c r="AH183136" s="5"/>
      <c r="AK183136" s="5"/>
    </row>
    <row r="183146" spans="25:37" x14ac:dyDescent="0.2">
      <c r="Y183146" s="251"/>
      <c r="AB183146" s="251"/>
      <c r="AE183146" s="251"/>
      <c r="AH183146" s="251"/>
      <c r="AK183146" s="251"/>
    </row>
    <row r="183261" spans="25:37" x14ac:dyDescent="0.2">
      <c r="Y183261" s="5"/>
      <c r="AB183261" s="5"/>
      <c r="AE183261" s="5"/>
      <c r="AH183261" s="5"/>
      <c r="AK183261" s="5"/>
    </row>
    <row r="183271" spans="25:37" x14ac:dyDescent="0.2">
      <c r="Y183271" s="251"/>
      <c r="AB183271" s="251"/>
      <c r="AE183271" s="251"/>
      <c r="AH183271" s="251"/>
      <c r="AK183271" s="251"/>
    </row>
    <row r="183386" spans="25:37" x14ac:dyDescent="0.2">
      <c r="Y183386" s="5"/>
      <c r="AB183386" s="5"/>
      <c r="AE183386" s="5"/>
      <c r="AH183386" s="5"/>
      <c r="AK183386" s="5"/>
    </row>
    <row r="183396" spans="25:37" x14ac:dyDescent="0.2">
      <c r="Y183396" s="251"/>
      <c r="AB183396" s="251"/>
      <c r="AE183396" s="251"/>
      <c r="AH183396" s="251"/>
      <c r="AK183396" s="251"/>
    </row>
    <row r="183511" spans="25:37" x14ac:dyDescent="0.2">
      <c r="Y183511" s="5"/>
      <c r="AB183511" s="5"/>
      <c r="AE183511" s="5"/>
      <c r="AH183511" s="5"/>
      <c r="AK183511" s="5"/>
    </row>
    <row r="183521" spans="25:37" x14ac:dyDescent="0.2">
      <c r="Y183521" s="251"/>
      <c r="AB183521" s="251"/>
      <c r="AE183521" s="251"/>
      <c r="AH183521" s="251"/>
      <c r="AK183521" s="251"/>
    </row>
    <row r="183636" spans="25:37" x14ac:dyDescent="0.2">
      <c r="Y183636" s="5"/>
      <c r="AB183636" s="5"/>
      <c r="AE183636" s="5"/>
      <c r="AH183636" s="5"/>
      <c r="AK183636" s="5"/>
    </row>
    <row r="183646" spans="25:37" x14ac:dyDescent="0.2">
      <c r="Y183646" s="251"/>
      <c r="AB183646" s="251"/>
      <c r="AE183646" s="251"/>
      <c r="AH183646" s="251"/>
      <c r="AK183646" s="251"/>
    </row>
    <row r="183761" spans="25:37" x14ac:dyDescent="0.2">
      <c r="Y183761" s="5"/>
      <c r="AB183761" s="5"/>
      <c r="AE183761" s="5"/>
      <c r="AH183761" s="5"/>
      <c r="AK183761" s="5"/>
    </row>
    <row r="183771" spans="25:37" x14ac:dyDescent="0.2">
      <c r="Y183771" s="251"/>
      <c r="AB183771" s="251"/>
      <c r="AE183771" s="251"/>
      <c r="AH183771" s="251"/>
      <c r="AK183771" s="251"/>
    </row>
    <row r="183886" spans="25:37" x14ac:dyDescent="0.2">
      <c r="Y183886" s="5"/>
      <c r="AB183886" s="5"/>
      <c r="AE183886" s="5"/>
      <c r="AH183886" s="5"/>
      <c r="AK183886" s="5"/>
    </row>
    <row r="183896" spans="25:37" x14ac:dyDescent="0.2">
      <c r="Y183896" s="251"/>
      <c r="AB183896" s="251"/>
      <c r="AE183896" s="251"/>
      <c r="AH183896" s="251"/>
      <c r="AK183896" s="251"/>
    </row>
    <row r="184011" spans="25:37" x14ac:dyDescent="0.2">
      <c r="Y184011" s="5"/>
      <c r="AB184011" s="5"/>
      <c r="AE184011" s="5"/>
      <c r="AH184011" s="5"/>
      <c r="AK184011" s="5"/>
    </row>
    <row r="184021" spans="25:37" x14ac:dyDescent="0.2">
      <c r="Y184021" s="251"/>
      <c r="AB184021" s="251"/>
      <c r="AE184021" s="251"/>
      <c r="AH184021" s="251"/>
      <c r="AK184021" s="251"/>
    </row>
    <row r="184136" spans="25:37" x14ac:dyDescent="0.2">
      <c r="Y184136" s="5"/>
      <c r="AB184136" s="5"/>
      <c r="AE184136" s="5"/>
      <c r="AH184136" s="5"/>
      <c r="AK184136" s="5"/>
    </row>
    <row r="184146" spans="25:37" x14ac:dyDescent="0.2">
      <c r="Y184146" s="251"/>
      <c r="AB184146" s="251"/>
      <c r="AE184146" s="251"/>
      <c r="AH184146" s="251"/>
      <c r="AK184146" s="251"/>
    </row>
    <row r="184261" spans="25:37" x14ac:dyDescent="0.2">
      <c r="Y184261" s="5"/>
      <c r="AB184261" s="5"/>
      <c r="AE184261" s="5"/>
      <c r="AH184261" s="5"/>
      <c r="AK184261" s="5"/>
    </row>
    <row r="184271" spans="25:37" x14ac:dyDescent="0.2">
      <c r="Y184271" s="251"/>
      <c r="AB184271" s="251"/>
      <c r="AE184271" s="251"/>
      <c r="AH184271" s="251"/>
      <c r="AK184271" s="251"/>
    </row>
    <row r="184386" spans="25:37" x14ac:dyDescent="0.2">
      <c r="Y184386" s="5"/>
      <c r="AB184386" s="5"/>
      <c r="AE184386" s="5"/>
      <c r="AH184386" s="5"/>
      <c r="AK184386" s="5"/>
    </row>
    <row r="184396" spans="25:37" x14ac:dyDescent="0.2">
      <c r="Y184396" s="251"/>
      <c r="AB184396" s="251"/>
      <c r="AE184396" s="251"/>
      <c r="AH184396" s="251"/>
      <c r="AK184396" s="251"/>
    </row>
    <row r="184511" spans="25:37" x14ac:dyDescent="0.2">
      <c r="Y184511" s="5"/>
      <c r="AB184511" s="5"/>
      <c r="AE184511" s="5"/>
      <c r="AH184511" s="5"/>
      <c r="AK184511" s="5"/>
    </row>
    <row r="184521" spans="25:37" x14ac:dyDescent="0.2">
      <c r="Y184521" s="251"/>
      <c r="AB184521" s="251"/>
      <c r="AE184521" s="251"/>
      <c r="AH184521" s="251"/>
      <c r="AK184521" s="251"/>
    </row>
    <row r="184636" spans="25:37" x14ac:dyDescent="0.2">
      <c r="Y184636" s="5"/>
      <c r="AB184636" s="5"/>
      <c r="AE184636" s="5"/>
      <c r="AH184636" s="5"/>
      <c r="AK184636" s="5"/>
    </row>
    <row r="184646" spans="25:37" x14ac:dyDescent="0.2">
      <c r="Y184646" s="251"/>
      <c r="AB184646" s="251"/>
      <c r="AE184646" s="251"/>
      <c r="AH184646" s="251"/>
      <c r="AK184646" s="251"/>
    </row>
    <row r="184761" spans="25:37" x14ac:dyDescent="0.2">
      <c r="Y184761" s="5"/>
      <c r="AB184761" s="5"/>
      <c r="AE184761" s="5"/>
      <c r="AH184761" s="5"/>
      <c r="AK184761" s="5"/>
    </row>
    <row r="184771" spans="25:37" x14ac:dyDescent="0.2">
      <c r="Y184771" s="251"/>
      <c r="AB184771" s="251"/>
      <c r="AE184771" s="251"/>
      <c r="AH184771" s="251"/>
      <c r="AK184771" s="251"/>
    </row>
    <row r="184886" spans="25:37" x14ac:dyDescent="0.2">
      <c r="Y184886" s="5"/>
      <c r="AB184886" s="5"/>
      <c r="AE184886" s="5"/>
      <c r="AH184886" s="5"/>
      <c r="AK184886" s="5"/>
    </row>
    <row r="184896" spans="25:37" x14ac:dyDescent="0.2">
      <c r="Y184896" s="251"/>
      <c r="AB184896" s="251"/>
      <c r="AE184896" s="251"/>
      <c r="AH184896" s="251"/>
      <c r="AK184896" s="251"/>
    </row>
    <row r="185011" spans="25:37" x14ac:dyDescent="0.2">
      <c r="Y185011" s="5"/>
      <c r="AB185011" s="5"/>
      <c r="AE185011" s="5"/>
      <c r="AH185011" s="5"/>
      <c r="AK185011" s="5"/>
    </row>
    <row r="185021" spans="25:37" x14ac:dyDescent="0.2">
      <c r="Y185021" s="251"/>
      <c r="AB185021" s="251"/>
      <c r="AE185021" s="251"/>
      <c r="AH185021" s="251"/>
      <c r="AK185021" s="251"/>
    </row>
    <row r="185136" spans="25:37" x14ac:dyDescent="0.2">
      <c r="Y185136" s="5"/>
      <c r="AB185136" s="5"/>
      <c r="AE185136" s="5"/>
      <c r="AH185136" s="5"/>
      <c r="AK185136" s="5"/>
    </row>
    <row r="185146" spans="25:37" x14ac:dyDescent="0.2">
      <c r="Y185146" s="251"/>
      <c r="AB185146" s="251"/>
      <c r="AE185146" s="251"/>
      <c r="AH185146" s="251"/>
      <c r="AK185146" s="251"/>
    </row>
    <row r="185261" spans="25:37" x14ac:dyDescent="0.2">
      <c r="Y185261" s="5"/>
      <c r="AB185261" s="5"/>
      <c r="AE185261" s="5"/>
      <c r="AH185261" s="5"/>
      <c r="AK185261" s="5"/>
    </row>
    <row r="185271" spans="25:37" x14ac:dyDescent="0.2">
      <c r="Y185271" s="251"/>
      <c r="AB185271" s="251"/>
      <c r="AE185271" s="251"/>
      <c r="AH185271" s="251"/>
      <c r="AK185271" s="251"/>
    </row>
    <row r="185386" spans="25:37" x14ac:dyDescent="0.2">
      <c r="Y185386" s="5"/>
      <c r="AB185386" s="5"/>
      <c r="AE185386" s="5"/>
      <c r="AH185386" s="5"/>
      <c r="AK185386" s="5"/>
    </row>
    <row r="185396" spans="25:37" x14ac:dyDescent="0.2">
      <c r="Y185396" s="251"/>
      <c r="AB185396" s="251"/>
      <c r="AE185396" s="251"/>
      <c r="AH185396" s="251"/>
      <c r="AK185396" s="251"/>
    </row>
    <row r="185511" spans="25:37" x14ac:dyDescent="0.2">
      <c r="Y185511" s="5"/>
      <c r="AB185511" s="5"/>
      <c r="AE185511" s="5"/>
      <c r="AH185511" s="5"/>
      <c r="AK185511" s="5"/>
    </row>
    <row r="185521" spans="25:37" x14ac:dyDescent="0.2">
      <c r="Y185521" s="251"/>
      <c r="AB185521" s="251"/>
      <c r="AE185521" s="251"/>
      <c r="AH185521" s="251"/>
      <c r="AK185521" s="251"/>
    </row>
    <row r="185636" spans="25:37" x14ac:dyDescent="0.2">
      <c r="Y185636" s="5"/>
      <c r="AB185636" s="5"/>
      <c r="AE185636" s="5"/>
      <c r="AH185636" s="5"/>
      <c r="AK185636" s="5"/>
    </row>
    <row r="185646" spans="25:37" x14ac:dyDescent="0.2">
      <c r="Y185646" s="251"/>
      <c r="AB185646" s="251"/>
      <c r="AE185646" s="251"/>
      <c r="AH185646" s="251"/>
      <c r="AK185646" s="251"/>
    </row>
    <row r="185761" spans="25:37" x14ac:dyDescent="0.2">
      <c r="Y185761" s="5"/>
      <c r="AB185761" s="5"/>
      <c r="AE185761" s="5"/>
      <c r="AH185761" s="5"/>
      <c r="AK185761" s="5"/>
    </row>
    <row r="185771" spans="25:37" x14ac:dyDescent="0.2">
      <c r="Y185771" s="251"/>
      <c r="AB185771" s="251"/>
      <c r="AE185771" s="251"/>
      <c r="AH185771" s="251"/>
      <c r="AK185771" s="251"/>
    </row>
    <row r="185886" spans="25:37" x14ac:dyDescent="0.2">
      <c r="Y185886" s="5"/>
      <c r="AB185886" s="5"/>
      <c r="AE185886" s="5"/>
      <c r="AH185886" s="5"/>
      <c r="AK185886" s="5"/>
    </row>
    <row r="185896" spans="25:37" x14ac:dyDescent="0.2">
      <c r="Y185896" s="251"/>
      <c r="AB185896" s="251"/>
      <c r="AE185896" s="251"/>
      <c r="AH185896" s="251"/>
      <c r="AK185896" s="251"/>
    </row>
    <row r="186011" spans="25:37" x14ac:dyDescent="0.2">
      <c r="Y186011" s="5"/>
      <c r="AB186011" s="5"/>
      <c r="AE186011" s="5"/>
      <c r="AH186011" s="5"/>
      <c r="AK186011" s="5"/>
    </row>
    <row r="186021" spans="25:37" x14ac:dyDescent="0.2">
      <c r="Y186021" s="251"/>
      <c r="AB186021" s="251"/>
      <c r="AE186021" s="251"/>
      <c r="AH186021" s="251"/>
      <c r="AK186021" s="251"/>
    </row>
    <row r="186136" spans="25:37" x14ac:dyDescent="0.2">
      <c r="Y186136" s="5"/>
      <c r="AB186136" s="5"/>
      <c r="AE186136" s="5"/>
      <c r="AH186136" s="5"/>
      <c r="AK186136" s="5"/>
    </row>
    <row r="186146" spans="25:37" x14ac:dyDescent="0.2">
      <c r="Y186146" s="251"/>
      <c r="AB186146" s="251"/>
      <c r="AE186146" s="251"/>
      <c r="AH186146" s="251"/>
      <c r="AK186146" s="251"/>
    </row>
    <row r="186261" spans="25:37" x14ac:dyDescent="0.2">
      <c r="Y186261" s="5"/>
      <c r="AB186261" s="5"/>
      <c r="AE186261" s="5"/>
      <c r="AH186261" s="5"/>
      <c r="AK186261" s="5"/>
    </row>
    <row r="186271" spans="25:37" x14ac:dyDescent="0.2">
      <c r="Y186271" s="251"/>
      <c r="AB186271" s="251"/>
      <c r="AE186271" s="251"/>
      <c r="AH186271" s="251"/>
      <c r="AK186271" s="251"/>
    </row>
    <row r="186386" spans="25:37" x14ac:dyDescent="0.2">
      <c r="Y186386" s="5"/>
      <c r="AB186386" s="5"/>
      <c r="AE186386" s="5"/>
      <c r="AH186386" s="5"/>
      <c r="AK186386" s="5"/>
    </row>
    <row r="186396" spans="25:37" x14ac:dyDescent="0.2">
      <c r="Y186396" s="251"/>
      <c r="AB186396" s="251"/>
      <c r="AE186396" s="251"/>
      <c r="AH186396" s="251"/>
      <c r="AK186396" s="251"/>
    </row>
    <row r="186511" spans="25:37" x14ac:dyDescent="0.2">
      <c r="Y186511" s="5"/>
      <c r="AB186511" s="5"/>
      <c r="AE186511" s="5"/>
      <c r="AH186511" s="5"/>
      <c r="AK186511" s="5"/>
    </row>
    <row r="186521" spans="25:37" x14ac:dyDescent="0.2">
      <c r="Y186521" s="251"/>
      <c r="AB186521" s="251"/>
      <c r="AE186521" s="251"/>
      <c r="AH186521" s="251"/>
      <c r="AK186521" s="251"/>
    </row>
    <row r="186636" spans="25:37" x14ac:dyDescent="0.2">
      <c r="Y186636" s="5"/>
      <c r="AB186636" s="5"/>
      <c r="AE186636" s="5"/>
      <c r="AH186636" s="5"/>
      <c r="AK186636" s="5"/>
    </row>
    <row r="186646" spans="25:37" x14ac:dyDescent="0.2">
      <c r="Y186646" s="251"/>
      <c r="AB186646" s="251"/>
      <c r="AE186646" s="251"/>
      <c r="AH186646" s="251"/>
      <c r="AK186646" s="251"/>
    </row>
    <row r="186761" spans="25:37" x14ac:dyDescent="0.2">
      <c r="Y186761" s="5"/>
      <c r="AB186761" s="5"/>
      <c r="AE186761" s="5"/>
      <c r="AH186761" s="5"/>
      <c r="AK186761" s="5"/>
    </row>
    <row r="186771" spans="25:37" x14ac:dyDescent="0.2">
      <c r="Y186771" s="251"/>
      <c r="AB186771" s="251"/>
      <c r="AE186771" s="251"/>
      <c r="AH186771" s="251"/>
      <c r="AK186771" s="251"/>
    </row>
    <row r="186886" spans="25:37" x14ac:dyDescent="0.2">
      <c r="Y186886" s="5"/>
      <c r="AB186886" s="5"/>
      <c r="AE186886" s="5"/>
      <c r="AH186886" s="5"/>
      <c r="AK186886" s="5"/>
    </row>
    <row r="186896" spans="25:37" x14ac:dyDescent="0.2">
      <c r="Y186896" s="251"/>
      <c r="AB186896" s="251"/>
      <c r="AE186896" s="251"/>
      <c r="AH186896" s="251"/>
      <c r="AK186896" s="251"/>
    </row>
    <row r="187011" spans="25:37" x14ac:dyDescent="0.2">
      <c r="Y187011" s="5"/>
      <c r="AB187011" s="5"/>
      <c r="AE187011" s="5"/>
      <c r="AH187011" s="5"/>
      <c r="AK187011" s="5"/>
    </row>
    <row r="187021" spans="25:37" x14ac:dyDescent="0.2">
      <c r="Y187021" s="251"/>
      <c r="AB187021" s="251"/>
      <c r="AE187021" s="251"/>
      <c r="AH187021" s="251"/>
      <c r="AK187021" s="251"/>
    </row>
    <row r="187136" spans="25:37" x14ac:dyDescent="0.2">
      <c r="Y187136" s="5"/>
      <c r="AB187136" s="5"/>
      <c r="AE187136" s="5"/>
      <c r="AH187136" s="5"/>
      <c r="AK187136" s="5"/>
    </row>
    <row r="187146" spans="25:37" x14ac:dyDescent="0.2">
      <c r="Y187146" s="251"/>
      <c r="AB187146" s="251"/>
      <c r="AE187146" s="251"/>
      <c r="AH187146" s="251"/>
      <c r="AK187146" s="251"/>
    </row>
    <row r="187261" spans="25:37" x14ac:dyDescent="0.2">
      <c r="Y187261" s="5"/>
      <c r="AB187261" s="5"/>
      <c r="AE187261" s="5"/>
      <c r="AH187261" s="5"/>
      <c r="AK187261" s="5"/>
    </row>
    <row r="187271" spans="25:37" x14ac:dyDescent="0.2">
      <c r="Y187271" s="251"/>
      <c r="AB187271" s="251"/>
      <c r="AE187271" s="251"/>
      <c r="AH187271" s="251"/>
      <c r="AK187271" s="251"/>
    </row>
    <row r="187386" spans="25:37" x14ac:dyDescent="0.2">
      <c r="Y187386" s="5"/>
      <c r="AB187386" s="5"/>
      <c r="AE187386" s="5"/>
      <c r="AH187386" s="5"/>
      <c r="AK187386" s="5"/>
    </row>
    <row r="187396" spans="25:37" x14ac:dyDescent="0.2">
      <c r="Y187396" s="251"/>
      <c r="AB187396" s="251"/>
      <c r="AE187396" s="251"/>
      <c r="AH187396" s="251"/>
      <c r="AK187396" s="251"/>
    </row>
    <row r="187511" spans="25:37" x14ac:dyDescent="0.2">
      <c r="Y187511" s="5"/>
      <c r="AB187511" s="5"/>
      <c r="AE187511" s="5"/>
      <c r="AH187511" s="5"/>
      <c r="AK187511" s="5"/>
    </row>
    <row r="187521" spans="25:37" x14ac:dyDescent="0.2">
      <c r="Y187521" s="251"/>
      <c r="AB187521" s="251"/>
      <c r="AE187521" s="251"/>
      <c r="AH187521" s="251"/>
      <c r="AK187521" s="251"/>
    </row>
    <row r="187636" spans="25:37" x14ac:dyDescent="0.2">
      <c r="Y187636" s="5"/>
      <c r="AB187636" s="5"/>
      <c r="AE187636" s="5"/>
      <c r="AH187636" s="5"/>
      <c r="AK187636" s="5"/>
    </row>
    <row r="187646" spans="25:37" x14ac:dyDescent="0.2">
      <c r="Y187646" s="251"/>
      <c r="AB187646" s="251"/>
      <c r="AE187646" s="251"/>
      <c r="AH187646" s="251"/>
      <c r="AK187646" s="251"/>
    </row>
    <row r="187761" spans="25:37" x14ac:dyDescent="0.2">
      <c r="Y187761" s="5"/>
      <c r="AB187761" s="5"/>
      <c r="AE187761" s="5"/>
      <c r="AH187761" s="5"/>
      <c r="AK187761" s="5"/>
    </row>
    <row r="187771" spans="25:37" x14ac:dyDescent="0.2">
      <c r="Y187771" s="251"/>
      <c r="AB187771" s="251"/>
      <c r="AE187771" s="251"/>
      <c r="AH187771" s="251"/>
      <c r="AK187771" s="251"/>
    </row>
    <row r="187886" spans="25:37" x14ac:dyDescent="0.2">
      <c r="Y187886" s="5"/>
      <c r="AB187886" s="5"/>
      <c r="AE187886" s="5"/>
      <c r="AH187886" s="5"/>
      <c r="AK187886" s="5"/>
    </row>
    <row r="187896" spans="25:37" x14ac:dyDescent="0.2">
      <c r="Y187896" s="251"/>
      <c r="AB187896" s="251"/>
      <c r="AE187896" s="251"/>
      <c r="AH187896" s="251"/>
      <c r="AK187896" s="251"/>
    </row>
    <row r="188011" spans="25:37" x14ac:dyDescent="0.2">
      <c r="Y188011" s="5"/>
      <c r="AB188011" s="5"/>
      <c r="AE188011" s="5"/>
      <c r="AH188011" s="5"/>
      <c r="AK188011" s="5"/>
    </row>
    <row r="188021" spans="25:37" x14ac:dyDescent="0.2">
      <c r="Y188021" s="251"/>
      <c r="AB188021" s="251"/>
      <c r="AE188021" s="251"/>
      <c r="AH188021" s="251"/>
      <c r="AK188021" s="251"/>
    </row>
    <row r="188136" spans="25:37" x14ac:dyDescent="0.2">
      <c r="Y188136" s="5"/>
      <c r="AB188136" s="5"/>
      <c r="AE188136" s="5"/>
      <c r="AH188136" s="5"/>
      <c r="AK188136" s="5"/>
    </row>
    <row r="188146" spans="25:37" x14ac:dyDescent="0.2">
      <c r="Y188146" s="251"/>
      <c r="AB188146" s="251"/>
      <c r="AE188146" s="251"/>
      <c r="AH188146" s="251"/>
      <c r="AK188146" s="251"/>
    </row>
    <row r="188261" spans="25:37" x14ac:dyDescent="0.2">
      <c r="Y188261" s="5"/>
      <c r="AB188261" s="5"/>
      <c r="AE188261" s="5"/>
      <c r="AH188261" s="5"/>
      <c r="AK188261" s="5"/>
    </row>
    <row r="188271" spans="25:37" x14ac:dyDescent="0.2">
      <c r="Y188271" s="251"/>
      <c r="AB188271" s="251"/>
      <c r="AE188271" s="251"/>
      <c r="AH188271" s="251"/>
      <c r="AK188271" s="251"/>
    </row>
    <row r="188386" spans="25:37" x14ac:dyDescent="0.2">
      <c r="Y188386" s="5"/>
      <c r="AB188386" s="5"/>
      <c r="AE188386" s="5"/>
      <c r="AH188386" s="5"/>
      <c r="AK188386" s="5"/>
    </row>
    <row r="188396" spans="25:37" x14ac:dyDescent="0.2">
      <c r="Y188396" s="251"/>
      <c r="AB188396" s="251"/>
      <c r="AE188396" s="251"/>
      <c r="AH188396" s="251"/>
      <c r="AK188396" s="251"/>
    </row>
    <row r="188511" spans="25:37" x14ac:dyDescent="0.2">
      <c r="Y188511" s="5"/>
      <c r="AB188511" s="5"/>
      <c r="AE188511" s="5"/>
      <c r="AH188511" s="5"/>
      <c r="AK188511" s="5"/>
    </row>
    <row r="188521" spans="25:37" x14ac:dyDescent="0.2">
      <c r="Y188521" s="251"/>
      <c r="AB188521" s="251"/>
      <c r="AE188521" s="251"/>
      <c r="AH188521" s="251"/>
      <c r="AK188521" s="251"/>
    </row>
    <row r="188636" spans="25:37" x14ac:dyDescent="0.2">
      <c r="Y188636" s="5"/>
      <c r="AB188636" s="5"/>
      <c r="AE188636" s="5"/>
      <c r="AH188636" s="5"/>
      <c r="AK188636" s="5"/>
    </row>
    <row r="188646" spans="25:37" x14ac:dyDescent="0.2">
      <c r="Y188646" s="251"/>
      <c r="AB188646" s="251"/>
      <c r="AE188646" s="251"/>
      <c r="AH188646" s="251"/>
      <c r="AK188646" s="251"/>
    </row>
    <row r="188761" spans="25:37" x14ac:dyDescent="0.2">
      <c r="Y188761" s="5"/>
      <c r="AB188761" s="5"/>
      <c r="AE188761" s="5"/>
      <c r="AH188761" s="5"/>
      <c r="AK188761" s="5"/>
    </row>
    <row r="188771" spans="25:37" x14ac:dyDescent="0.2">
      <c r="Y188771" s="251"/>
      <c r="AB188771" s="251"/>
      <c r="AE188771" s="251"/>
      <c r="AH188771" s="251"/>
      <c r="AK188771" s="251"/>
    </row>
    <row r="188886" spans="25:37" x14ac:dyDescent="0.2">
      <c r="Y188886" s="5"/>
      <c r="AB188886" s="5"/>
      <c r="AE188886" s="5"/>
      <c r="AH188886" s="5"/>
      <c r="AK188886" s="5"/>
    </row>
    <row r="188896" spans="25:37" x14ac:dyDescent="0.2">
      <c r="Y188896" s="251"/>
      <c r="AB188896" s="251"/>
      <c r="AE188896" s="251"/>
      <c r="AH188896" s="251"/>
      <c r="AK188896" s="251"/>
    </row>
    <row r="189011" spans="25:37" x14ac:dyDescent="0.2">
      <c r="Y189011" s="5"/>
      <c r="AB189011" s="5"/>
      <c r="AE189011" s="5"/>
      <c r="AH189011" s="5"/>
      <c r="AK189011" s="5"/>
    </row>
    <row r="189021" spans="25:37" x14ac:dyDescent="0.2">
      <c r="Y189021" s="251"/>
      <c r="AB189021" s="251"/>
      <c r="AE189021" s="251"/>
      <c r="AH189021" s="251"/>
      <c r="AK189021" s="251"/>
    </row>
    <row r="189136" spans="25:37" x14ac:dyDescent="0.2">
      <c r="Y189136" s="5"/>
      <c r="AB189136" s="5"/>
      <c r="AE189136" s="5"/>
      <c r="AH189136" s="5"/>
      <c r="AK189136" s="5"/>
    </row>
    <row r="189146" spans="25:37" x14ac:dyDescent="0.2">
      <c r="Y189146" s="251"/>
      <c r="AB189146" s="251"/>
      <c r="AE189146" s="251"/>
      <c r="AH189146" s="251"/>
      <c r="AK189146" s="251"/>
    </row>
    <row r="189261" spans="25:37" x14ac:dyDescent="0.2">
      <c r="Y189261" s="5"/>
      <c r="AB189261" s="5"/>
      <c r="AE189261" s="5"/>
      <c r="AH189261" s="5"/>
      <c r="AK189261" s="5"/>
    </row>
    <row r="189271" spans="25:37" x14ac:dyDescent="0.2">
      <c r="Y189271" s="251"/>
      <c r="AB189271" s="251"/>
      <c r="AE189271" s="251"/>
      <c r="AH189271" s="251"/>
      <c r="AK189271" s="251"/>
    </row>
    <row r="189386" spans="25:37" x14ac:dyDescent="0.2">
      <c r="Y189386" s="5"/>
      <c r="AB189386" s="5"/>
      <c r="AE189386" s="5"/>
      <c r="AH189386" s="5"/>
      <c r="AK189386" s="5"/>
    </row>
    <row r="189396" spans="25:37" x14ac:dyDescent="0.2">
      <c r="Y189396" s="251"/>
      <c r="AB189396" s="251"/>
      <c r="AE189396" s="251"/>
      <c r="AH189396" s="251"/>
      <c r="AK189396" s="251"/>
    </row>
    <row r="189511" spans="25:37" x14ac:dyDescent="0.2">
      <c r="Y189511" s="5"/>
      <c r="AB189511" s="5"/>
      <c r="AE189511" s="5"/>
      <c r="AH189511" s="5"/>
      <c r="AK189511" s="5"/>
    </row>
    <row r="189521" spans="25:37" x14ac:dyDescent="0.2">
      <c r="Y189521" s="251"/>
      <c r="AB189521" s="251"/>
      <c r="AE189521" s="251"/>
      <c r="AH189521" s="251"/>
      <c r="AK189521" s="251"/>
    </row>
    <row r="189636" spans="25:37" x14ac:dyDescent="0.2">
      <c r="Y189636" s="5"/>
      <c r="AB189636" s="5"/>
      <c r="AE189636" s="5"/>
      <c r="AH189636" s="5"/>
      <c r="AK189636" s="5"/>
    </row>
    <row r="189646" spans="25:37" x14ac:dyDescent="0.2">
      <c r="Y189646" s="251"/>
      <c r="AB189646" s="251"/>
      <c r="AE189646" s="251"/>
      <c r="AH189646" s="251"/>
      <c r="AK189646" s="251"/>
    </row>
    <row r="189761" spans="25:37" x14ac:dyDescent="0.2">
      <c r="Y189761" s="5"/>
      <c r="AB189761" s="5"/>
      <c r="AE189761" s="5"/>
      <c r="AH189761" s="5"/>
      <c r="AK189761" s="5"/>
    </row>
    <row r="189771" spans="25:37" x14ac:dyDescent="0.2">
      <c r="Y189771" s="251"/>
      <c r="AB189771" s="251"/>
      <c r="AE189771" s="251"/>
      <c r="AH189771" s="251"/>
      <c r="AK189771" s="251"/>
    </row>
    <row r="189886" spans="25:37" x14ac:dyDescent="0.2">
      <c r="Y189886" s="5"/>
      <c r="AB189886" s="5"/>
      <c r="AE189886" s="5"/>
      <c r="AH189886" s="5"/>
      <c r="AK189886" s="5"/>
    </row>
    <row r="189896" spans="25:37" x14ac:dyDescent="0.2">
      <c r="Y189896" s="251"/>
      <c r="AB189896" s="251"/>
      <c r="AE189896" s="251"/>
      <c r="AH189896" s="251"/>
      <c r="AK189896" s="251"/>
    </row>
    <row r="190011" spans="25:37" x14ac:dyDescent="0.2">
      <c r="Y190011" s="5"/>
      <c r="AB190011" s="5"/>
      <c r="AE190011" s="5"/>
      <c r="AH190011" s="5"/>
      <c r="AK190011" s="5"/>
    </row>
    <row r="190021" spans="25:37" x14ac:dyDescent="0.2">
      <c r="Y190021" s="251"/>
      <c r="AB190021" s="251"/>
      <c r="AE190021" s="251"/>
      <c r="AH190021" s="251"/>
      <c r="AK190021" s="251"/>
    </row>
    <row r="190136" spans="25:37" x14ac:dyDescent="0.2">
      <c r="Y190136" s="5"/>
      <c r="AB190136" s="5"/>
      <c r="AE190136" s="5"/>
      <c r="AH190136" s="5"/>
      <c r="AK190136" s="5"/>
    </row>
    <row r="190146" spans="25:37" x14ac:dyDescent="0.2">
      <c r="Y190146" s="251"/>
      <c r="AB190146" s="251"/>
      <c r="AE190146" s="251"/>
      <c r="AH190146" s="251"/>
      <c r="AK190146" s="251"/>
    </row>
    <row r="190261" spans="25:37" x14ac:dyDescent="0.2">
      <c r="Y190261" s="5"/>
      <c r="AB190261" s="5"/>
      <c r="AE190261" s="5"/>
      <c r="AH190261" s="5"/>
      <c r="AK190261" s="5"/>
    </row>
    <row r="190271" spans="25:37" x14ac:dyDescent="0.2">
      <c r="Y190271" s="251"/>
      <c r="AB190271" s="251"/>
      <c r="AE190271" s="251"/>
      <c r="AH190271" s="251"/>
      <c r="AK190271" s="251"/>
    </row>
    <row r="190386" spans="25:37" x14ac:dyDescent="0.2">
      <c r="Y190386" s="5"/>
      <c r="AB190386" s="5"/>
      <c r="AE190386" s="5"/>
      <c r="AH190386" s="5"/>
      <c r="AK190386" s="5"/>
    </row>
    <row r="190396" spans="25:37" x14ac:dyDescent="0.2">
      <c r="Y190396" s="251"/>
      <c r="AB190396" s="251"/>
      <c r="AE190396" s="251"/>
      <c r="AH190396" s="251"/>
      <c r="AK190396" s="251"/>
    </row>
    <row r="190511" spans="25:37" x14ac:dyDescent="0.2">
      <c r="Y190511" s="5"/>
      <c r="AB190511" s="5"/>
      <c r="AE190511" s="5"/>
      <c r="AH190511" s="5"/>
      <c r="AK190511" s="5"/>
    </row>
    <row r="190521" spans="25:37" x14ac:dyDescent="0.2">
      <c r="Y190521" s="251"/>
      <c r="AB190521" s="251"/>
      <c r="AE190521" s="251"/>
      <c r="AH190521" s="251"/>
      <c r="AK190521" s="251"/>
    </row>
    <row r="190636" spans="25:37" x14ac:dyDescent="0.2">
      <c r="Y190636" s="5"/>
      <c r="AB190636" s="5"/>
      <c r="AE190636" s="5"/>
      <c r="AH190636" s="5"/>
      <c r="AK190636" s="5"/>
    </row>
    <row r="190646" spans="25:37" x14ac:dyDescent="0.2">
      <c r="Y190646" s="251"/>
      <c r="AB190646" s="251"/>
      <c r="AE190646" s="251"/>
      <c r="AH190646" s="251"/>
      <c r="AK190646" s="251"/>
    </row>
    <row r="190761" spans="25:37" x14ac:dyDescent="0.2">
      <c r="Y190761" s="5"/>
      <c r="AB190761" s="5"/>
      <c r="AE190761" s="5"/>
      <c r="AH190761" s="5"/>
      <c r="AK190761" s="5"/>
    </row>
    <row r="190771" spans="25:37" x14ac:dyDescent="0.2">
      <c r="Y190771" s="251"/>
      <c r="AB190771" s="251"/>
      <c r="AE190771" s="251"/>
      <c r="AH190771" s="251"/>
      <c r="AK190771" s="251"/>
    </row>
    <row r="190886" spans="25:37" x14ac:dyDescent="0.2">
      <c r="Y190886" s="5"/>
      <c r="AB190886" s="5"/>
      <c r="AE190886" s="5"/>
      <c r="AH190886" s="5"/>
      <c r="AK190886" s="5"/>
    </row>
    <row r="190896" spans="25:37" x14ac:dyDescent="0.2">
      <c r="Y190896" s="251"/>
      <c r="AB190896" s="251"/>
      <c r="AE190896" s="251"/>
      <c r="AH190896" s="251"/>
      <c r="AK190896" s="251"/>
    </row>
    <row r="191011" spans="25:37" x14ac:dyDescent="0.2">
      <c r="Y191011" s="5"/>
      <c r="AB191011" s="5"/>
      <c r="AE191011" s="5"/>
      <c r="AH191011" s="5"/>
      <c r="AK191011" s="5"/>
    </row>
    <row r="191021" spans="25:37" x14ac:dyDescent="0.2">
      <c r="Y191021" s="251"/>
      <c r="AB191021" s="251"/>
      <c r="AE191021" s="251"/>
      <c r="AH191021" s="251"/>
      <c r="AK191021" s="251"/>
    </row>
    <row r="191136" spans="25:37" x14ac:dyDescent="0.2">
      <c r="Y191136" s="5"/>
      <c r="AB191136" s="5"/>
      <c r="AE191136" s="5"/>
      <c r="AH191136" s="5"/>
      <c r="AK191136" s="5"/>
    </row>
    <row r="191146" spans="25:37" x14ac:dyDescent="0.2">
      <c r="Y191146" s="251"/>
      <c r="AB191146" s="251"/>
      <c r="AE191146" s="251"/>
      <c r="AH191146" s="251"/>
      <c r="AK191146" s="251"/>
    </row>
    <row r="191261" spans="25:37" x14ac:dyDescent="0.2">
      <c r="Y191261" s="5"/>
      <c r="AB191261" s="5"/>
      <c r="AE191261" s="5"/>
      <c r="AH191261" s="5"/>
      <c r="AK191261" s="5"/>
    </row>
    <row r="191271" spans="25:37" x14ac:dyDescent="0.2">
      <c r="Y191271" s="251"/>
      <c r="AB191271" s="251"/>
      <c r="AE191271" s="251"/>
      <c r="AH191271" s="251"/>
      <c r="AK191271" s="251"/>
    </row>
    <row r="191386" spans="25:37" x14ac:dyDescent="0.2">
      <c r="Y191386" s="5"/>
      <c r="AB191386" s="5"/>
      <c r="AE191386" s="5"/>
      <c r="AH191386" s="5"/>
      <c r="AK191386" s="5"/>
    </row>
    <row r="191396" spans="25:37" x14ac:dyDescent="0.2">
      <c r="Y191396" s="251"/>
      <c r="AB191396" s="251"/>
      <c r="AE191396" s="251"/>
      <c r="AH191396" s="251"/>
      <c r="AK191396" s="251"/>
    </row>
    <row r="191511" spans="25:37" x14ac:dyDescent="0.2">
      <c r="Y191511" s="5"/>
      <c r="AB191511" s="5"/>
      <c r="AE191511" s="5"/>
      <c r="AH191511" s="5"/>
      <c r="AK191511" s="5"/>
    </row>
    <row r="191521" spans="25:37" x14ac:dyDescent="0.2">
      <c r="Y191521" s="251"/>
      <c r="AB191521" s="251"/>
      <c r="AE191521" s="251"/>
      <c r="AH191521" s="251"/>
      <c r="AK191521" s="251"/>
    </row>
    <row r="191636" spans="25:37" x14ac:dyDescent="0.2">
      <c r="Y191636" s="5"/>
      <c r="AB191636" s="5"/>
      <c r="AE191636" s="5"/>
      <c r="AH191636" s="5"/>
      <c r="AK191636" s="5"/>
    </row>
    <row r="191646" spans="25:37" x14ac:dyDescent="0.2">
      <c r="Y191646" s="251"/>
      <c r="AB191646" s="251"/>
      <c r="AE191646" s="251"/>
      <c r="AH191646" s="251"/>
      <c r="AK191646" s="251"/>
    </row>
    <row r="191761" spans="25:37" x14ac:dyDescent="0.2">
      <c r="Y191761" s="5"/>
      <c r="AB191761" s="5"/>
      <c r="AE191761" s="5"/>
      <c r="AH191761" s="5"/>
      <c r="AK191761" s="5"/>
    </row>
    <row r="191771" spans="25:37" x14ac:dyDescent="0.2">
      <c r="Y191771" s="251"/>
      <c r="AB191771" s="251"/>
      <c r="AE191771" s="251"/>
      <c r="AH191771" s="251"/>
      <c r="AK191771" s="251"/>
    </row>
    <row r="191886" spans="25:37" x14ac:dyDescent="0.2">
      <c r="Y191886" s="5"/>
      <c r="AB191886" s="5"/>
      <c r="AE191886" s="5"/>
      <c r="AH191886" s="5"/>
      <c r="AK191886" s="5"/>
    </row>
    <row r="191896" spans="25:37" x14ac:dyDescent="0.2">
      <c r="Y191896" s="251"/>
      <c r="AB191896" s="251"/>
      <c r="AE191896" s="251"/>
      <c r="AH191896" s="251"/>
      <c r="AK191896" s="251"/>
    </row>
    <row r="192011" spans="25:37" x14ac:dyDescent="0.2">
      <c r="Y192011" s="5"/>
      <c r="AB192011" s="5"/>
      <c r="AE192011" s="5"/>
      <c r="AH192011" s="5"/>
      <c r="AK192011" s="5"/>
    </row>
    <row r="192021" spans="25:37" x14ac:dyDescent="0.2">
      <c r="Y192021" s="251"/>
      <c r="AB192021" s="251"/>
      <c r="AE192021" s="251"/>
      <c r="AH192021" s="251"/>
      <c r="AK192021" s="251"/>
    </row>
    <row r="192136" spans="25:37" x14ac:dyDescent="0.2">
      <c r="Y192136" s="5"/>
      <c r="AB192136" s="5"/>
      <c r="AE192136" s="5"/>
      <c r="AH192136" s="5"/>
      <c r="AK192136" s="5"/>
    </row>
    <row r="192146" spans="25:37" x14ac:dyDescent="0.2">
      <c r="Y192146" s="251"/>
      <c r="AB192146" s="251"/>
      <c r="AE192146" s="251"/>
      <c r="AH192146" s="251"/>
      <c r="AK192146" s="251"/>
    </row>
    <row r="192261" spans="25:37" x14ac:dyDescent="0.2">
      <c r="Y192261" s="5"/>
      <c r="AB192261" s="5"/>
      <c r="AE192261" s="5"/>
      <c r="AH192261" s="5"/>
      <c r="AK192261" s="5"/>
    </row>
    <row r="192271" spans="25:37" x14ac:dyDescent="0.2">
      <c r="Y192271" s="251"/>
      <c r="AB192271" s="251"/>
      <c r="AE192271" s="251"/>
      <c r="AH192271" s="251"/>
      <c r="AK192271" s="251"/>
    </row>
    <row r="192386" spans="25:37" x14ac:dyDescent="0.2">
      <c r="Y192386" s="5"/>
      <c r="AB192386" s="5"/>
      <c r="AE192386" s="5"/>
      <c r="AH192386" s="5"/>
      <c r="AK192386" s="5"/>
    </row>
    <row r="192396" spans="25:37" x14ac:dyDescent="0.2">
      <c r="Y192396" s="251"/>
      <c r="AB192396" s="251"/>
      <c r="AE192396" s="251"/>
      <c r="AH192396" s="251"/>
      <c r="AK192396" s="251"/>
    </row>
    <row r="192511" spans="25:37" x14ac:dyDescent="0.2">
      <c r="Y192511" s="5"/>
      <c r="AB192511" s="5"/>
      <c r="AE192511" s="5"/>
      <c r="AH192511" s="5"/>
      <c r="AK192511" s="5"/>
    </row>
    <row r="192521" spans="25:37" x14ac:dyDescent="0.2">
      <c r="Y192521" s="251"/>
      <c r="AB192521" s="251"/>
      <c r="AE192521" s="251"/>
      <c r="AH192521" s="251"/>
      <c r="AK192521" s="251"/>
    </row>
    <row r="192636" spans="25:37" x14ac:dyDescent="0.2">
      <c r="Y192636" s="5"/>
      <c r="AB192636" s="5"/>
      <c r="AE192636" s="5"/>
      <c r="AH192636" s="5"/>
      <c r="AK192636" s="5"/>
    </row>
    <row r="192646" spans="25:37" x14ac:dyDescent="0.2">
      <c r="Y192646" s="251"/>
      <c r="AB192646" s="251"/>
      <c r="AE192646" s="251"/>
      <c r="AH192646" s="251"/>
      <c r="AK192646" s="251"/>
    </row>
    <row r="192761" spans="25:37" x14ac:dyDescent="0.2">
      <c r="Y192761" s="5"/>
      <c r="AB192761" s="5"/>
      <c r="AE192761" s="5"/>
      <c r="AH192761" s="5"/>
      <c r="AK192761" s="5"/>
    </row>
    <row r="192771" spans="25:37" x14ac:dyDescent="0.2">
      <c r="Y192771" s="251"/>
      <c r="AB192771" s="251"/>
      <c r="AE192771" s="251"/>
      <c r="AH192771" s="251"/>
      <c r="AK192771" s="251"/>
    </row>
    <row r="192886" spans="25:37" x14ac:dyDescent="0.2">
      <c r="Y192886" s="5"/>
      <c r="AB192886" s="5"/>
      <c r="AE192886" s="5"/>
      <c r="AH192886" s="5"/>
      <c r="AK192886" s="5"/>
    </row>
    <row r="192896" spans="25:37" x14ac:dyDescent="0.2">
      <c r="Y192896" s="251"/>
      <c r="AB192896" s="251"/>
      <c r="AE192896" s="251"/>
      <c r="AH192896" s="251"/>
      <c r="AK192896" s="251"/>
    </row>
    <row r="193011" spans="25:37" x14ac:dyDescent="0.2">
      <c r="Y193011" s="5"/>
      <c r="AB193011" s="5"/>
      <c r="AE193011" s="5"/>
      <c r="AH193011" s="5"/>
      <c r="AK193011" s="5"/>
    </row>
    <row r="193021" spans="25:37" x14ac:dyDescent="0.2">
      <c r="Y193021" s="251"/>
      <c r="AB193021" s="251"/>
      <c r="AE193021" s="251"/>
      <c r="AH193021" s="251"/>
      <c r="AK193021" s="251"/>
    </row>
    <row r="193136" spans="25:37" x14ac:dyDescent="0.2">
      <c r="Y193136" s="5"/>
      <c r="AB193136" s="5"/>
      <c r="AE193136" s="5"/>
      <c r="AH193136" s="5"/>
      <c r="AK193136" s="5"/>
    </row>
    <row r="193146" spans="25:37" x14ac:dyDescent="0.2">
      <c r="Y193146" s="251"/>
      <c r="AB193146" s="251"/>
      <c r="AE193146" s="251"/>
      <c r="AH193146" s="251"/>
      <c r="AK193146" s="251"/>
    </row>
    <row r="193261" spans="25:37" x14ac:dyDescent="0.2">
      <c r="Y193261" s="5"/>
      <c r="AB193261" s="5"/>
      <c r="AE193261" s="5"/>
      <c r="AH193261" s="5"/>
      <c r="AK193261" s="5"/>
    </row>
    <row r="193271" spans="25:37" x14ac:dyDescent="0.2">
      <c r="Y193271" s="251"/>
      <c r="AB193271" s="251"/>
      <c r="AE193271" s="251"/>
      <c r="AH193271" s="251"/>
      <c r="AK193271" s="251"/>
    </row>
    <row r="193386" spans="25:37" x14ac:dyDescent="0.2">
      <c r="Y193386" s="5"/>
      <c r="AB193386" s="5"/>
      <c r="AE193386" s="5"/>
      <c r="AH193386" s="5"/>
      <c r="AK193386" s="5"/>
    </row>
    <row r="193396" spans="25:37" x14ac:dyDescent="0.2">
      <c r="Y193396" s="251"/>
      <c r="AB193396" s="251"/>
      <c r="AE193396" s="251"/>
      <c r="AH193396" s="251"/>
      <c r="AK193396" s="251"/>
    </row>
    <row r="193511" spans="25:37" x14ac:dyDescent="0.2">
      <c r="Y193511" s="5"/>
      <c r="AB193511" s="5"/>
      <c r="AE193511" s="5"/>
      <c r="AH193511" s="5"/>
      <c r="AK193511" s="5"/>
    </row>
    <row r="193521" spans="25:37" x14ac:dyDescent="0.2">
      <c r="Y193521" s="251"/>
      <c r="AB193521" s="251"/>
      <c r="AE193521" s="251"/>
      <c r="AH193521" s="251"/>
      <c r="AK193521" s="251"/>
    </row>
    <row r="193636" spans="25:37" x14ac:dyDescent="0.2">
      <c r="Y193636" s="5"/>
      <c r="AB193636" s="5"/>
      <c r="AE193636" s="5"/>
      <c r="AH193636" s="5"/>
      <c r="AK193636" s="5"/>
    </row>
    <row r="193646" spans="25:37" x14ac:dyDescent="0.2">
      <c r="Y193646" s="251"/>
      <c r="AB193646" s="251"/>
      <c r="AE193646" s="251"/>
      <c r="AH193646" s="251"/>
      <c r="AK193646" s="251"/>
    </row>
    <row r="193761" spans="25:37" x14ac:dyDescent="0.2">
      <c r="Y193761" s="5"/>
      <c r="AB193761" s="5"/>
      <c r="AE193761" s="5"/>
      <c r="AH193761" s="5"/>
      <c r="AK193761" s="5"/>
    </row>
    <row r="193771" spans="25:37" x14ac:dyDescent="0.2">
      <c r="Y193771" s="251"/>
      <c r="AB193771" s="251"/>
      <c r="AE193771" s="251"/>
      <c r="AH193771" s="251"/>
      <c r="AK193771" s="251"/>
    </row>
    <row r="193886" spans="25:37" x14ac:dyDescent="0.2">
      <c r="Y193886" s="5"/>
      <c r="AB193886" s="5"/>
      <c r="AE193886" s="5"/>
      <c r="AH193886" s="5"/>
      <c r="AK193886" s="5"/>
    </row>
    <row r="193896" spans="25:37" x14ac:dyDescent="0.2">
      <c r="Y193896" s="251"/>
      <c r="AB193896" s="251"/>
      <c r="AE193896" s="251"/>
      <c r="AH193896" s="251"/>
      <c r="AK193896" s="251"/>
    </row>
    <row r="194011" spans="25:37" x14ac:dyDescent="0.2">
      <c r="Y194011" s="5"/>
      <c r="AB194011" s="5"/>
      <c r="AE194011" s="5"/>
      <c r="AH194011" s="5"/>
      <c r="AK194011" s="5"/>
    </row>
    <row r="194021" spans="25:37" x14ac:dyDescent="0.2">
      <c r="Y194021" s="251"/>
      <c r="AB194021" s="251"/>
      <c r="AE194021" s="251"/>
      <c r="AH194021" s="251"/>
      <c r="AK194021" s="251"/>
    </row>
    <row r="194136" spans="25:37" x14ac:dyDescent="0.2">
      <c r="Y194136" s="5"/>
      <c r="AB194136" s="5"/>
      <c r="AE194136" s="5"/>
      <c r="AH194136" s="5"/>
      <c r="AK194136" s="5"/>
    </row>
    <row r="194146" spans="25:37" x14ac:dyDescent="0.2">
      <c r="Y194146" s="251"/>
      <c r="AB194146" s="251"/>
      <c r="AE194146" s="251"/>
      <c r="AH194146" s="251"/>
      <c r="AK194146" s="251"/>
    </row>
    <row r="194261" spans="25:37" x14ac:dyDescent="0.2">
      <c r="Y194261" s="5"/>
      <c r="AB194261" s="5"/>
      <c r="AE194261" s="5"/>
      <c r="AH194261" s="5"/>
      <c r="AK194261" s="5"/>
    </row>
    <row r="194271" spans="25:37" x14ac:dyDescent="0.2">
      <c r="Y194271" s="251"/>
      <c r="AB194271" s="251"/>
      <c r="AE194271" s="251"/>
      <c r="AH194271" s="251"/>
      <c r="AK194271" s="251"/>
    </row>
    <row r="194386" spans="25:37" x14ac:dyDescent="0.2">
      <c r="Y194386" s="5"/>
      <c r="AB194386" s="5"/>
      <c r="AE194386" s="5"/>
      <c r="AH194386" s="5"/>
      <c r="AK194386" s="5"/>
    </row>
    <row r="194396" spans="25:37" x14ac:dyDescent="0.2">
      <c r="Y194396" s="251"/>
      <c r="AB194396" s="251"/>
      <c r="AE194396" s="251"/>
      <c r="AH194396" s="251"/>
      <c r="AK194396" s="251"/>
    </row>
    <row r="194511" spans="25:37" x14ac:dyDescent="0.2">
      <c r="Y194511" s="5"/>
      <c r="AB194511" s="5"/>
      <c r="AE194511" s="5"/>
      <c r="AH194511" s="5"/>
      <c r="AK194511" s="5"/>
    </row>
    <row r="194521" spans="25:37" x14ac:dyDescent="0.2">
      <c r="Y194521" s="251"/>
      <c r="AB194521" s="251"/>
      <c r="AE194521" s="251"/>
      <c r="AH194521" s="251"/>
      <c r="AK194521" s="251"/>
    </row>
    <row r="194636" spans="25:37" x14ac:dyDescent="0.2">
      <c r="Y194636" s="5"/>
      <c r="AB194636" s="5"/>
      <c r="AE194636" s="5"/>
      <c r="AH194636" s="5"/>
      <c r="AK194636" s="5"/>
    </row>
    <row r="194646" spans="25:37" x14ac:dyDescent="0.2">
      <c r="Y194646" s="251"/>
      <c r="AB194646" s="251"/>
      <c r="AE194646" s="251"/>
      <c r="AH194646" s="251"/>
      <c r="AK194646" s="251"/>
    </row>
    <row r="194761" spans="25:37" x14ac:dyDescent="0.2">
      <c r="Y194761" s="5"/>
      <c r="AB194761" s="5"/>
      <c r="AE194761" s="5"/>
      <c r="AH194761" s="5"/>
      <c r="AK194761" s="5"/>
    </row>
    <row r="194771" spans="25:37" x14ac:dyDescent="0.2">
      <c r="Y194771" s="251"/>
      <c r="AB194771" s="251"/>
      <c r="AE194771" s="251"/>
      <c r="AH194771" s="251"/>
      <c r="AK194771" s="251"/>
    </row>
    <row r="194886" spans="25:37" x14ac:dyDescent="0.2">
      <c r="Y194886" s="5"/>
      <c r="AB194886" s="5"/>
      <c r="AE194886" s="5"/>
      <c r="AH194886" s="5"/>
      <c r="AK194886" s="5"/>
    </row>
    <row r="194896" spans="25:37" x14ac:dyDescent="0.2">
      <c r="Y194896" s="251"/>
      <c r="AB194896" s="251"/>
      <c r="AE194896" s="251"/>
      <c r="AH194896" s="251"/>
      <c r="AK194896" s="251"/>
    </row>
    <row r="195011" spans="25:37" x14ac:dyDescent="0.2">
      <c r="Y195011" s="5"/>
      <c r="AB195011" s="5"/>
      <c r="AE195011" s="5"/>
      <c r="AH195011" s="5"/>
      <c r="AK195011" s="5"/>
    </row>
    <row r="195021" spans="25:37" x14ac:dyDescent="0.2">
      <c r="Y195021" s="251"/>
      <c r="AB195021" s="251"/>
      <c r="AE195021" s="251"/>
      <c r="AH195021" s="251"/>
      <c r="AK195021" s="251"/>
    </row>
    <row r="195136" spans="25:37" x14ac:dyDescent="0.2">
      <c r="Y195136" s="5"/>
      <c r="AB195136" s="5"/>
      <c r="AE195136" s="5"/>
      <c r="AH195136" s="5"/>
      <c r="AK195136" s="5"/>
    </row>
    <row r="195146" spans="25:37" x14ac:dyDescent="0.2">
      <c r="Y195146" s="251"/>
      <c r="AB195146" s="251"/>
      <c r="AE195146" s="251"/>
      <c r="AH195146" s="251"/>
      <c r="AK195146" s="251"/>
    </row>
    <row r="195261" spans="25:37" x14ac:dyDescent="0.2">
      <c r="Y195261" s="5"/>
      <c r="AB195261" s="5"/>
      <c r="AE195261" s="5"/>
      <c r="AH195261" s="5"/>
      <c r="AK195261" s="5"/>
    </row>
    <row r="195271" spans="25:37" x14ac:dyDescent="0.2">
      <c r="Y195271" s="251"/>
      <c r="AB195271" s="251"/>
      <c r="AE195271" s="251"/>
      <c r="AH195271" s="251"/>
      <c r="AK195271" s="251"/>
    </row>
    <row r="195386" spans="25:37" x14ac:dyDescent="0.2">
      <c r="Y195386" s="5"/>
      <c r="AB195386" s="5"/>
      <c r="AE195386" s="5"/>
      <c r="AH195386" s="5"/>
      <c r="AK195386" s="5"/>
    </row>
    <row r="195396" spans="25:37" x14ac:dyDescent="0.2">
      <c r="Y195396" s="251"/>
      <c r="AB195396" s="251"/>
      <c r="AE195396" s="251"/>
      <c r="AH195396" s="251"/>
      <c r="AK195396" s="251"/>
    </row>
    <row r="195511" spans="25:37" x14ac:dyDescent="0.2">
      <c r="Y195511" s="5"/>
      <c r="AB195511" s="5"/>
      <c r="AE195511" s="5"/>
      <c r="AH195511" s="5"/>
      <c r="AK195511" s="5"/>
    </row>
    <row r="195521" spans="25:37" x14ac:dyDescent="0.2">
      <c r="Y195521" s="251"/>
      <c r="AB195521" s="251"/>
      <c r="AE195521" s="251"/>
      <c r="AH195521" s="251"/>
      <c r="AK195521" s="251"/>
    </row>
    <row r="195636" spans="25:37" x14ac:dyDescent="0.2">
      <c r="Y195636" s="5"/>
      <c r="AB195636" s="5"/>
      <c r="AE195636" s="5"/>
      <c r="AH195636" s="5"/>
      <c r="AK195636" s="5"/>
    </row>
    <row r="195646" spans="25:37" x14ac:dyDescent="0.2">
      <c r="Y195646" s="251"/>
      <c r="AB195646" s="251"/>
      <c r="AE195646" s="251"/>
      <c r="AH195646" s="251"/>
      <c r="AK195646" s="251"/>
    </row>
    <row r="195761" spans="25:37" x14ac:dyDescent="0.2">
      <c r="Y195761" s="5"/>
      <c r="AB195761" s="5"/>
      <c r="AE195761" s="5"/>
      <c r="AH195761" s="5"/>
      <c r="AK195761" s="5"/>
    </row>
    <row r="195771" spans="25:37" x14ac:dyDescent="0.2">
      <c r="Y195771" s="251"/>
      <c r="AB195771" s="251"/>
      <c r="AE195771" s="251"/>
      <c r="AH195771" s="251"/>
      <c r="AK195771" s="251"/>
    </row>
    <row r="195886" spans="25:37" x14ac:dyDescent="0.2">
      <c r="Y195886" s="5"/>
      <c r="AB195886" s="5"/>
      <c r="AE195886" s="5"/>
      <c r="AH195886" s="5"/>
      <c r="AK195886" s="5"/>
    </row>
    <row r="195896" spans="25:37" x14ac:dyDescent="0.2">
      <c r="Y195896" s="251"/>
      <c r="AB195896" s="251"/>
      <c r="AE195896" s="251"/>
      <c r="AH195896" s="251"/>
      <c r="AK195896" s="251"/>
    </row>
    <row r="196011" spans="25:37" x14ac:dyDescent="0.2">
      <c r="Y196011" s="5"/>
      <c r="AB196011" s="5"/>
      <c r="AE196011" s="5"/>
      <c r="AH196011" s="5"/>
      <c r="AK196011" s="5"/>
    </row>
    <row r="196021" spans="25:37" x14ac:dyDescent="0.2">
      <c r="Y196021" s="251"/>
      <c r="AB196021" s="251"/>
      <c r="AE196021" s="251"/>
      <c r="AH196021" s="251"/>
      <c r="AK196021" s="251"/>
    </row>
    <row r="196136" spans="25:37" x14ac:dyDescent="0.2">
      <c r="Y196136" s="5"/>
      <c r="AB196136" s="5"/>
      <c r="AE196136" s="5"/>
      <c r="AH196136" s="5"/>
      <c r="AK196136" s="5"/>
    </row>
    <row r="196146" spans="25:37" x14ac:dyDescent="0.2">
      <c r="Y196146" s="251"/>
      <c r="AB196146" s="251"/>
      <c r="AE196146" s="251"/>
      <c r="AH196146" s="251"/>
      <c r="AK196146" s="251"/>
    </row>
    <row r="196261" spans="25:37" x14ac:dyDescent="0.2">
      <c r="Y196261" s="5"/>
      <c r="AB196261" s="5"/>
      <c r="AE196261" s="5"/>
      <c r="AH196261" s="5"/>
      <c r="AK196261" s="5"/>
    </row>
    <row r="196271" spans="25:37" x14ac:dyDescent="0.2">
      <c r="Y196271" s="251"/>
      <c r="AB196271" s="251"/>
      <c r="AE196271" s="251"/>
      <c r="AH196271" s="251"/>
      <c r="AK196271" s="251"/>
    </row>
    <row r="196386" spans="25:37" x14ac:dyDescent="0.2">
      <c r="Y196386" s="5"/>
      <c r="AB196386" s="5"/>
      <c r="AE196386" s="5"/>
      <c r="AH196386" s="5"/>
      <c r="AK196386" s="5"/>
    </row>
    <row r="196396" spans="25:37" x14ac:dyDescent="0.2">
      <c r="Y196396" s="251"/>
      <c r="AB196396" s="251"/>
      <c r="AE196396" s="251"/>
      <c r="AH196396" s="251"/>
      <c r="AK196396" s="251"/>
    </row>
    <row r="196511" spans="25:37" x14ac:dyDescent="0.2">
      <c r="Y196511" s="5"/>
      <c r="AB196511" s="5"/>
      <c r="AE196511" s="5"/>
      <c r="AH196511" s="5"/>
      <c r="AK196511" s="5"/>
    </row>
    <row r="196521" spans="25:37" x14ac:dyDescent="0.2">
      <c r="Y196521" s="251"/>
      <c r="AB196521" s="251"/>
      <c r="AE196521" s="251"/>
      <c r="AH196521" s="251"/>
      <c r="AK196521" s="251"/>
    </row>
    <row r="196636" spans="25:37" x14ac:dyDescent="0.2">
      <c r="Y196636" s="5"/>
      <c r="AB196636" s="5"/>
      <c r="AE196636" s="5"/>
      <c r="AH196636" s="5"/>
      <c r="AK196636" s="5"/>
    </row>
    <row r="196646" spans="25:37" x14ac:dyDescent="0.2">
      <c r="Y196646" s="251"/>
      <c r="AB196646" s="251"/>
      <c r="AE196646" s="251"/>
      <c r="AH196646" s="251"/>
      <c r="AK196646" s="251"/>
    </row>
    <row r="196761" spans="25:37" x14ac:dyDescent="0.2">
      <c r="Y196761" s="5"/>
      <c r="AB196761" s="5"/>
      <c r="AE196761" s="5"/>
      <c r="AH196761" s="5"/>
      <c r="AK196761" s="5"/>
    </row>
    <row r="196771" spans="25:37" x14ac:dyDescent="0.2">
      <c r="Y196771" s="251"/>
      <c r="AB196771" s="251"/>
      <c r="AE196771" s="251"/>
      <c r="AH196771" s="251"/>
      <c r="AK196771" s="251"/>
    </row>
    <row r="196886" spans="25:37" x14ac:dyDescent="0.2">
      <c r="Y196886" s="5"/>
      <c r="AB196886" s="5"/>
      <c r="AE196886" s="5"/>
      <c r="AH196886" s="5"/>
      <c r="AK196886" s="5"/>
    </row>
    <row r="196896" spans="25:37" x14ac:dyDescent="0.2">
      <c r="Y196896" s="251"/>
      <c r="AB196896" s="251"/>
      <c r="AE196896" s="251"/>
      <c r="AH196896" s="251"/>
      <c r="AK196896" s="251"/>
    </row>
    <row r="197011" spans="25:37" x14ac:dyDescent="0.2">
      <c r="Y197011" s="5"/>
      <c r="AB197011" s="5"/>
      <c r="AE197011" s="5"/>
      <c r="AH197011" s="5"/>
      <c r="AK197011" s="5"/>
    </row>
    <row r="197021" spans="25:37" x14ac:dyDescent="0.2">
      <c r="Y197021" s="251"/>
      <c r="AB197021" s="251"/>
      <c r="AE197021" s="251"/>
      <c r="AH197021" s="251"/>
      <c r="AK197021" s="251"/>
    </row>
    <row r="197136" spans="25:37" x14ac:dyDescent="0.2">
      <c r="Y197136" s="5"/>
      <c r="AB197136" s="5"/>
      <c r="AE197136" s="5"/>
      <c r="AH197136" s="5"/>
      <c r="AK197136" s="5"/>
    </row>
    <row r="197146" spans="25:37" x14ac:dyDescent="0.2">
      <c r="Y197146" s="251"/>
      <c r="AB197146" s="251"/>
      <c r="AE197146" s="251"/>
      <c r="AH197146" s="251"/>
      <c r="AK197146" s="251"/>
    </row>
    <row r="197261" spans="25:37" x14ac:dyDescent="0.2">
      <c r="Y197261" s="5"/>
      <c r="AB197261" s="5"/>
      <c r="AE197261" s="5"/>
      <c r="AH197261" s="5"/>
      <c r="AK197261" s="5"/>
    </row>
    <row r="197271" spans="25:37" x14ac:dyDescent="0.2">
      <c r="Y197271" s="251"/>
      <c r="AB197271" s="251"/>
      <c r="AE197271" s="251"/>
      <c r="AH197271" s="251"/>
      <c r="AK197271" s="251"/>
    </row>
    <row r="197386" spans="25:37" x14ac:dyDescent="0.2">
      <c r="Y197386" s="5"/>
      <c r="AB197386" s="5"/>
      <c r="AE197386" s="5"/>
      <c r="AH197386" s="5"/>
      <c r="AK197386" s="5"/>
    </row>
    <row r="197396" spans="25:37" x14ac:dyDescent="0.2">
      <c r="Y197396" s="251"/>
      <c r="AB197396" s="251"/>
      <c r="AE197396" s="251"/>
      <c r="AH197396" s="251"/>
      <c r="AK197396" s="251"/>
    </row>
    <row r="197511" spans="25:37" x14ac:dyDescent="0.2">
      <c r="Y197511" s="5"/>
      <c r="AB197511" s="5"/>
      <c r="AE197511" s="5"/>
      <c r="AH197511" s="5"/>
      <c r="AK197511" s="5"/>
    </row>
    <row r="197521" spans="25:37" x14ac:dyDescent="0.2">
      <c r="Y197521" s="251"/>
      <c r="AB197521" s="251"/>
      <c r="AE197521" s="251"/>
      <c r="AH197521" s="251"/>
      <c r="AK197521" s="251"/>
    </row>
    <row r="197636" spans="25:37" x14ac:dyDescent="0.2">
      <c r="Y197636" s="5"/>
      <c r="AB197636" s="5"/>
      <c r="AE197636" s="5"/>
      <c r="AH197636" s="5"/>
      <c r="AK197636" s="5"/>
    </row>
    <row r="197646" spans="25:37" x14ac:dyDescent="0.2">
      <c r="Y197646" s="251"/>
      <c r="AB197646" s="251"/>
      <c r="AE197646" s="251"/>
      <c r="AH197646" s="251"/>
      <c r="AK197646" s="251"/>
    </row>
    <row r="197761" spans="25:37" x14ac:dyDescent="0.2">
      <c r="Y197761" s="5"/>
      <c r="AB197761" s="5"/>
      <c r="AE197761" s="5"/>
      <c r="AH197761" s="5"/>
      <c r="AK197761" s="5"/>
    </row>
    <row r="197771" spans="25:37" x14ac:dyDescent="0.2">
      <c r="Y197771" s="251"/>
      <c r="AB197771" s="251"/>
      <c r="AE197771" s="251"/>
      <c r="AH197771" s="251"/>
      <c r="AK197771" s="251"/>
    </row>
    <row r="197886" spans="25:37" x14ac:dyDescent="0.2">
      <c r="Y197886" s="5"/>
      <c r="AB197886" s="5"/>
      <c r="AE197886" s="5"/>
      <c r="AH197886" s="5"/>
      <c r="AK197886" s="5"/>
    </row>
    <row r="197896" spans="25:37" x14ac:dyDescent="0.2">
      <c r="Y197896" s="251"/>
      <c r="AB197896" s="251"/>
      <c r="AE197896" s="251"/>
      <c r="AH197896" s="251"/>
      <c r="AK197896" s="251"/>
    </row>
    <row r="198011" spans="25:37" x14ac:dyDescent="0.2">
      <c r="Y198011" s="5"/>
      <c r="AB198011" s="5"/>
      <c r="AE198011" s="5"/>
      <c r="AH198011" s="5"/>
      <c r="AK198011" s="5"/>
    </row>
    <row r="198021" spans="25:37" x14ac:dyDescent="0.2">
      <c r="Y198021" s="251"/>
      <c r="AB198021" s="251"/>
      <c r="AE198021" s="251"/>
      <c r="AH198021" s="251"/>
      <c r="AK198021" s="251"/>
    </row>
    <row r="198136" spans="25:37" x14ac:dyDescent="0.2">
      <c r="Y198136" s="5"/>
      <c r="AB198136" s="5"/>
      <c r="AE198136" s="5"/>
      <c r="AH198136" s="5"/>
      <c r="AK198136" s="5"/>
    </row>
    <row r="198146" spans="25:37" x14ac:dyDescent="0.2">
      <c r="Y198146" s="251"/>
      <c r="AB198146" s="251"/>
      <c r="AE198146" s="251"/>
      <c r="AH198146" s="251"/>
      <c r="AK198146" s="251"/>
    </row>
    <row r="198261" spans="25:37" x14ac:dyDescent="0.2">
      <c r="Y198261" s="5"/>
      <c r="AB198261" s="5"/>
      <c r="AE198261" s="5"/>
      <c r="AH198261" s="5"/>
      <c r="AK198261" s="5"/>
    </row>
    <row r="198271" spans="25:37" x14ac:dyDescent="0.2">
      <c r="Y198271" s="251"/>
      <c r="AB198271" s="251"/>
      <c r="AE198271" s="251"/>
      <c r="AH198271" s="251"/>
      <c r="AK198271" s="251"/>
    </row>
    <row r="198386" spans="25:37" x14ac:dyDescent="0.2">
      <c r="Y198386" s="5"/>
      <c r="AB198386" s="5"/>
      <c r="AE198386" s="5"/>
      <c r="AH198386" s="5"/>
      <c r="AK198386" s="5"/>
    </row>
    <row r="198396" spans="25:37" x14ac:dyDescent="0.2">
      <c r="Y198396" s="251"/>
      <c r="AB198396" s="251"/>
      <c r="AE198396" s="251"/>
      <c r="AH198396" s="251"/>
      <c r="AK198396" s="251"/>
    </row>
    <row r="198511" spans="25:37" x14ac:dyDescent="0.2">
      <c r="Y198511" s="5"/>
      <c r="AB198511" s="5"/>
      <c r="AE198511" s="5"/>
      <c r="AH198511" s="5"/>
      <c r="AK198511" s="5"/>
    </row>
    <row r="198521" spans="25:37" x14ac:dyDescent="0.2">
      <c r="Y198521" s="251"/>
      <c r="AB198521" s="251"/>
      <c r="AE198521" s="251"/>
      <c r="AH198521" s="251"/>
      <c r="AK198521" s="251"/>
    </row>
    <row r="198636" spans="25:37" x14ac:dyDescent="0.2">
      <c r="Y198636" s="5"/>
      <c r="AB198636" s="5"/>
      <c r="AE198636" s="5"/>
      <c r="AH198636" s="5"/>
      <c r="AK198636" s="5"/>
    </row>
    <row r="198646" spans="25:37" x14ac:dyDescent="0.2">
      <c r="Y198646" s="251"/>
      <c r="AB198646" s="251"/>
      <c r="AE198646" s="251"/>
      <c r="AH198646" s="251"/>
      <c r="AK198646" s="251"/>
    </row>
    <row r="198761" spans="25:37" x14ac:dyDescent="0.2">
      <c r="Y198761" s="5"/>
      <c r="AB198761" s="5"/>
      <c r="AE198761" s="5"/>
      <c r="AH198761" s="5"/>
      <c r="AK198761" s="5"/>
    </row>
    <row r="198771" spans="25:37" x14ac:dyDescent="0.2">
      <c r="Y198771" s="251"/>
      <c r="AB198771" s="251"/>
      <c r="AE198771" s="251"/>
      <c r="AH198771" s="251"/>
      <c r="AK198771" s="251"/>
    </row>
    <row r="198886" spans="25:37" x14ac:dyDescent="0.2">
      <c r="Y198886" s="5"/>
      <c r="AB198886" s="5"/>
      <c r="AE198886" s="5"/>
      <c r="AH198886" s="5"/>
      <c r="AK198886" s="5"/>
    </row>
    <row r="198896" spans="25:37" x14ac:dyDescent="0.2">
      <c r="Y198896" s="251"/>
      <c r="AB198896" s="251"/>
      <c r="AE198896" s="251"/>
      <c r="AH198896" s="251"/>
      <c r="AK198896" s="251"/>
    </row>
    <row r="199011" spans="25:37" x14ac:dyDescent="0.2">
      <c r="Y199011" s="5"/>
      <c r="AB199011" s="5"/>
      <c r="AE199011" s="5"/>
      <c r="AH199011" s="5"/>
      <c r="AK199011" s="5"/>
    </row>
    <row r="199021" spans="25:37" x14ac:dyDescent="0.2">
      <c r="Y199021" s="251"/>
      <c r="AB199021" s="251"/>
      <c r="AE199021" s="251"/>
      <c r="AH199021" s="251"/>
      <c r="AK199021" s="251"/>
    </row>
    <row r="199136" spans="25:37" x14ac:dyDescent="0.2">
      <c r="Y199136" s="5"/>
      <c r="AB199136" s="5"/>
      <c r="AE199136" s="5"/>
      <c r="AH199136" s="5"/>
      <c r="AK199136" s="5"/>
    </row>
    <row r="199146" spans="25:37" x14ac:dyDescent="0.2">
      <c r="Y199146" s="251"/>
      <c r="AB199146" s="251"/>
      <c r="AE199146" s="251"/>
      <c r="AH199146" s="251"/>
      <c r="AK199146" s="251"/>
    </row>
    <row r="199261" spans="25:37" x14ac:dyDescent="0.2">
      <c r="Y199261" s="5"/>
      <c r="AB199261" s="5"/>
      <c r="AE199261" s="5"/>
      <c r="AH199261" s="5"/>
      <c r="AK199261" s="5"/>
    </row>
    <row r="199271" spans="25:37" x14ac:dyDescent="0.2">
      <c r="Y199271" s="251"/>
      <c r="AB199271" s="251"/>
      <c r="AE199271" s="251"/>
      <c r="AH199271" s="251"/>
      <c r="AK199271" s="251"/>
    </row>
    <row r="199386" spans="25:37" x14ac:dyDescent="0.2">
      <c r="Y199386" s="5"/>
      <c r="AB199386" s="5"/>
      <c r="AE199386" s="5"/>
      <c r="AH199386" s="5"/>
      <c r="AK199386" s="5"/>
    </row>
    <row r="199396" spans="25:37" x14ac:dyDescent="0.2">
      <c r="Y199396" s="251"/>
      <c r="AB199396" s="251"/>
      <c r="AE199396" s="251"/>
      <c r="AH199396" s="251"/>
      <c r="AK199396" s="251"/>
    </row>
    <row r="199511" spans="25:37" x14ac:dyDescent="0.2">
      <c r="Y199511" s="5"/>
      <c r="AB199511" s="5"/>
      <c r="AE199511" s="5"/>
      <c r="AH199511" s="5"/>
      <c r="AK199511" s="5"/>
    </row>
    <row r="199521" spans="25:37" x14ac:dyDescent="0.2">
      <c r="Y199521" s="251"/>
      <c r="AB199521" s="251"/>
      <c r="AE199521" s="251"/>
      <c r="AH199521" s="251"/>
      <c r="AK199521" s="251"/>
    </row>
    <row r="199636" spans="25:37" x14ac:dyDescent="0.2">
      <c r="Y199636" s="5"/>
      <c r="AB199636" s="5"/>
      <c r="AE199636" s="5"/>
      <c r="AH199636" s="5"/>
      <c r="AK199636" s="5"/>
    </row>
    <row r="199646" spans="25:37" x14ac:dyDescent="0.2">
      <c r="Y199646" s="251"/>
      <c r="AB199646" s="251"/>
      <c r="AE199646" s="251"/>
      <c r="AH199646" s="251"/>
      <c r="AK199646" s="251"/>
    </row>
    <row r="199761" spans="25:37" x14ac:dyDescent="0.2">
      <c r="Y199761" s="5"/>
      <c r="AB199761" s="5"/>
      <c r="AE199761" s="5"/>
      <c r="AH199761" s="5"/>
      <c r="AK199761" s="5"/>
    </row>
    <row r="199771" spans="25:37" x14ac:dyDescent="0.2">
      <c r="Y199771" s="251"/>
      <c r="AB199771" s="251"/>
      <c r="AE199771" s="251"/>
      <c r="AH199771" s="251"/>
      <c r="AK199771" s="251"/>
    </row>
    <row r="199886" spans="25:37" x14ac:dyDescent="0.2">
      <c r="Y199886" s="5"/>
      <c r="AB199886" s="5"/>
      <c r="AE199886" s="5"/>
      <c r="AH199886" s="5"/>
      <c r="AK199886" s="5"/>
    </row>
    <row r="199896" spans="25:37" x14ac:dyDescent="0.2">
      <c r="Y199896" s="251"/>
      <c r="AB199896" s="251"/>
      <c r="AE199896" s="251"/>
      <c r="AH199896" s="251"/>
      <c r="AK199896" s="251"/>
    </row>
    <row r="200011" spans="25:37" x14ac:dyDescent="0.2">
      <c r="Y200011" s="5"/>
      <c r="AB200011" s="5"/>
      <c r="AE200011" s="5"/>
      <c r="AH200011" s="5"/>
      <c r="AK200011" s="5"/>
    </row>
    <row r="200021" spans="25:37" x14ac:dyDescent="0.2">
      <c r="Y200021" s="251"/>
      <c r="AB200021" s="251"/>
      <c r="AE200021" s="251"/>
      <c r="AH200021" s="251"/>
      <c r="AK200021" s="251"/>
    </row>
    <row r="200136" spans="25:37" x14ac:dyDescent="0.2">
      <c r="Y200136" s="5"/>
      <c r="AB200136" s="5"/>
      <c r="AE200136" s="5"/>
      <c r="AH200136" s="5"/>
      <c r="AK200136" s="5"/>
    </row>
    <row r="200146" spans="25:37" x14ac:dyDescent="0.2">
      <c r="Y200146" s="251"/>
      <c r="AB200146" s="251"/>
      <c r="AE200146" s="251"/>
      <c r="AH200146" s="251"/>
      <c r="AK200146" s="251"/>
    </row>
    <row r="200261" spans="25:37" x14ac:dyDescent="0.2">
      <c r="Y200261" s="5"/>
      <c r="AB200261" s="5"/>
      <c r="AE200261" s="5"/>
      <c r="AH200261" s="5"/>
      <c r="AK200261" s="5"/>
    </row>
    <row r="200271" spans="25:37" x14ac:dyDescent="0.2">
      <c r="Y200271" s="251"/>
      <c r="AB200271" s="251"/>
      <c r="AE200271" s="251"/>
      <c r="AH200271" s="251"/>
      <c r="AK200271" s="251"/>
    </row>
    <row r="200386" spans="25:37" x14ac:dyDescent="0.2">
      <c r="Y200386" s="5"/>
      <c r="AB200386" s="5"/>
      <c r="AE200386" s="5"/>
      <c r="AH200386" s="5"/>
      <c r="AK200386" s="5"/>
    </row>
    <row r="200396" spans="25:37" x14ac:dyDescent="0.2">
      <c r="Y200396" s="251"/>
      <c r="AB200396" s="251"/>
      <c r="AE200396" s="251"/>
      <c r="AH200396" s="251"/>
      <c r="AK200396" s="251"/>
    </row>
    <row r="200511" spans="25:37" x14ac:dyDescent="0.2">
      <c r="Y200511" s="5"/>
      <c r="AB200511" s="5"/>
      <c r="AE200511" s="5"/>
      <c r="AH200511" s="5"/>
      <c r="AK200511" s="5"/>
    </row>
    <row r="200521" spans="25:37" x14ac:dyDescent="0.2">
      <c r="Y200521" s="251"/>
      <c r="AB200521" s="251"/>
      <c r="AE200521" s="251"/>
      <c r="AH200521" s="251"/>
      <c r="AK200521" s="251"/>
    </row>
    <row r="200636" spans="25:37" x14ac:dyDescent="0.2">
      <c r="Y200636" s="5"/>
      <c r="AB200636" s="5"/>
      <c r="AE200636" s="5"/>
      <c r="AH200636" s="5"/>
      <c r="AK200636" s="5"/>
    </row>
    <row r="200646" spans="25:37" x14ac:dyDescent="0.2">
      <c r="Y200646" s="251"/>
      <c r="AB200646" s="251"/>
      <c r="AE200646" s="251"/>
      <c r="AH200646" s="251"/>
      <c r="AK200646" s="251"/>
    </row>
    <row r="200761" spans="25:37" x14ac:dyDescent="0.2">
      <c r="Y200761" s="5"/>
      <c r="AB200761" s="5"/>
      <c r="AE200761" s="5"/>
      <c r="AH200761" s="5"/>
      <c r="AK200761" s="5"/>
    </row>
    <row r="200771" spans="25:37" x14ac:dyDescent="0.2">
      <c r="Y200771" s="251"/>
      <c r="AB200771" s="251"/>
      <c r="AE200771" s="251"/>
      <c r="AH200771" s="251"/>
      <c r="AK200771" s="251"/>
    </row>
    <row r="200886" spans="25:37" x14ac:dyDescent="0.2">
      <c r="Y200886" s="5"/>
      <c r="AB200886" s="5"/>
      <c r="AE200886" s="5"/>
      <c r="AH200886" s="5"/>
      <c r="AK200886" s="5"/>
    </row>
    <row r="200896" spans="25:37" x14ac:dyDescent="0.2">
      <c r="Y200896" s="251"/>
      <c r="AB200896" s="251"/>
      <c r="AE200896" s="251"/>
      <c r="AH200896" s="251"/>
      <c r="AK200896" s="251"/>
    </row>
    <row r="201011" spans="25:37" x14ac:dyDescent="0.2">
      <c r="Y201011" s="5"/>
      <c r="AB201011" s="5"/>
      <c r="AE201011" s="5"/>
      <c r="AH201011" s="5"/>
      <c r="AK201011" s="5"/>
    </row>
    <row r="201021" spans="25:37" x14ac:dyDescent="0.2">
      <c r="Y201021" s="251"/>
      <c r="AB201021" s="251"/>
      <c r="AE201021" s="251"/>
      <c r="AH201021" s="251"/>
      <c r="AK201021" s="251"/>
    </row>
    <row r="201136" spans="25:37" x14ac:dyDescent="0.2">
      <c r="Y201136" s="5"/>
      <c r="AB201136" s="5"/>
      <c r="AE201136" s="5"/>
      <c r="AH201136" s="5"/>
      <c r="AK201136" s="5"/>
    </row>
    <row r="201146" spans="25:37" x14ac:dyDescent="0.2">
      <c r="Y201146" s="251"/>
      <c r="AB201146" s="251"/>
      <c r="AE201146" s="251"/>
      <c r="AH201146" s="251"/>
      <c r="AK201146" s="251"/>
    </row>
    <row r="201261" spans="25:37" x14ac:dyDescent="0.2">
      <c r="Y201261" s="5"/>
      <c r="AB201261" s="5"/>
      <c r="AE201261" s="5"/>
      <c r="AH201261" s="5"/>
      <c r="AK201261" s="5"/>
    </row>
    <row r="201271" spans="25:37" x14ac:dyDescent="0.2">
      <c r="Y201271" s="251"/>
      <c r="AB201271" s="251"/>
      <c r="AE201271" s="251"/>
      <c r="AH201271" s="251"/>
      <c r="AK201271" s="251"/>
    </row>
    <row r="201386" spans="25:37" x14ac:dyDescent="0.2">
      <c r="Y201386" s="5"/>
      <c r="AB201386" s="5"/>
      <c r="AE201386" s="5"/>
      <c r="AH201386" s="5"/>
      <c r="AK201386" s="5"/>
    </row>
    <row r="201396" spans="25:37" x14ac:dyDescent="0.2">
      <c r="Y201396" s="251"/>
      <c r="AB201396" s="251"/>
      <c r="AE201396" s="251"/>
      <c r="AH201396" s="251"/>
      <c r="AK201396" s="251"/>
    </row>
    <row r="201511" spans="25:37" x14ac:dyDescent="0.2">
      <c r="Y201511" s="5"/>
      <c r="AB201511" s="5"/>
      <c r="AE201511" s="5"/>
      <c r="AH201511" s="5"/>
      <c r="AK201511" s="5"/>
    </row>
    <row r="201521" spans="25:37" x14ac:dyDescent="0.2">
      <c r="Y201521" s="251"/>
      <c r="AB201521" s="251"/>
      <c r="AE201521" s="251"/>
      <c r="AH201521" s="251"/>
      <c r="AK201521" s="251"/>
    </row>
    <row r="201636" spans="25:37" x14ac:dyDescent="0.2">
      <c r="Y201636" s="5"/>
      <c r="AB201636" s="5"/>
      <c r="AE201636" s="5"/>
      <c r="AH201636" s="5"/>
      <c r="AK201636" s="5"/>
    </row>
    <row r="201646" spans="25:37" x14ac:dyDescent="0.2">
      <c r="Y201646" s="251"/>
      <c r="AB201646" s="251"/>
      <c r="AE201646" s="251"/>
      <c r="AH201646" s="251"/>
      <c r="AK201646" s="251"/>
    </row>
    <row r="201761" spans="25:37" x14ac:dyDescent="0.2">
      <c r="Y201761" s="5"/>
      <c r="AB201761" s="5"/>
      <c r="AE201761" s="5"/>
      <c r="AH201761" s="5"/>
      <c r="AK201761" s="5"/>
    </row>
    <row r="201771" spans="25:37" x14ac:dyDescent="0.2">
      <c r="Y201771" s="251"/>
      <c r="AB201771" s="251"/>
      <c r="AE201771" s="251"/>
      <c r="AH201771" s="251"/>
      <c r="AK201771" s="251"/>
    </row>
    <row r="201886" spans="25:37" x14ac:dyDescent="0.2">
      <c r="Y201886" s="5"/>
      <c r="AB201886" s="5"/>
      <c r="AE201886" s="5"/>
      <c r="AH201886" s="5"/>
      <c r="AK201886" s="5"/>
    </row>
    <row r="201896" spans="25:37" x14ac:dyDescent="0.2">
      <c r="Y201896" s="251"/>
      <c r="AB201896" s="251"/>
      <c r="AE201896" s="251"/>
      <c r="AH201896" s="251"/>
      <c r="AK201896" s="251"/>
    </row>
    <row r="202011" spans="25:37" x14ac:dyDescent="0.2">
      <c r="Y202011" s="5"/>
      <c r="AB202011" s="5"/>
      <c r="AE202011" s="5"/>
      <c r="AH202011" s="5"/>
      <c r="AK202011" s="5"/>
    </row>
    <row r="202021" spans="25:37" x14ac:dyDescent="0.2">
      <c r="Y202021" s="251"/>
      <c r="AB202021" s="251"/>
      <c r="AE202021" s="251"/>
      <c r="AH202021" s="251"/>
      <c r="AK202021" s="251"/>
    </row>
    <row r="202136" spans="25:37" x14ac:dyDescent="0.2">
      <c r="Y202136" s="5"/>
      <c r="AB202136" s="5"/>
      <c r="AE202136" s="5"/>
      <c r="AH202136" s="5"/>
      <c r="AK202136" s="5"/>
    </row>
    <row r="202146" spans="25:37" x14ac:dyDescent="0.2">
      <c r="Y202146" s="251"/>
      <c r="AB202146" s="251"/>
      <c r="AE202146" s="251"/>
      <c r="AH202146" s="251"/>
      <c r="AK202146" s="251"/>
    </row>
    <row r="202261" spans="25:37" x14ac:dyDescent="0.2">
      <c r="Y202261" s="5"/>
      <c r="AB202261" s="5"/>
      <c r="AE202261" s="5"/>
      <c r="AH202261" s="5"/>
      <c r="AK202261" s="5"/>
    </row>
    <row r="202271" spans="25:37" x14ac:dyDescent="0.2">
      <c r="Y202271" s="251"/>
      <c r="AB202271" s="251"/>
      <c r="AE202271" s="251"/>
      <c r="AH202271" s="251"/>
      <c r="AK202271" s="251"/>
    </row>
    <row r="202386" spans="25:37" x14ac:dyDescent="0.2">
      <c r="Y202386" s="5"/>
      <c r="AB202386" s="5"/>
      <c r="AE202386" s="5"/>
      <c r="AH202386" s="5"/>
      <c r="AK202386" s="5"/>
    </row>
    <row r="202396" spans="25:37" x14ac:dyDescent="0.2">
      <c r="Y202396" s="251"/>
      <c r="AB202396" s="251"/>
      <c r="AE202396" s="251"/>
      <c r="AH202396" s="251"/>
      <c r="AK202396" s="251"/>
    </row>
    <row r="202511" spans="25:37" x14ac:dyDescent="0.2">
      <c r="Y202511" s="5"/>
      <c r="AB202511" s="5"/>
      <c r="AE202511" s="5"/>
      <c r="AH202511" s="5"/>
      <c r="AK202511" s="5"/>
    </row>
    <row r="202521" spans="25:37" x14ac:dyDescent="0.2">
      <c r="Y202521" s="251"/>
      <c r="AB202521" s="251"/>
      <c r="AE202521" s="251"/>
      <c r="AH202521" s="251"/>
      <c r="AK202521" s="251"/>
    </row>
    <row r="202636" spans="25:37" x14ac:dyDescent="0.2">
      <c r="Y202636" s="5"/>
      <c r="AB202636" s="5"/>
      <c r="AE202636" s="5"/>
      <c r="AH202636" s="5"/>
      <c r="AK202636" s="5"/>
    </row>
    <row r="202646" spans="25:37" x14ac:dyDescent="0.2">
      <c r="Y202646" s="251"/>
      <c r="AB202646" s="251"/>
      <c r="AE202646" s="251"/>
      <c r="AH202646" s="251"/>
      <c r="AK202646" s="251"/>
    </row>
    <row r="202761" spans="25:37" x14ac:dyDescent="0.2">
      <c r="Y202761" s="5"/>
      <c r="AB202761" s="5"/>
      <c r="AE202761" s="5"/>
      <c r="AH202761" s="5"/>
      <c r="AK202761" s="5"/>
    </row>
    <row r="202771" spans="25:37" x14ac:dyDescent="0.2">
      <c r="Y202771" s="251"/>
      <c r="AB202771" s="251"/>
      <c r="AE202771" s="251"/>
      <c r="AH202771" s="251"/>
      <c r="AK202771" s="251"/>
    </row>
    <row r="202886" spans="25:37" x14ac:dyDescent="0.2">
      <c r="Y202886" s="5"/>
      <c r="AB202886" s="5"/>
      <c r="AE202886" s="5"/>
      <c r="AH202886" s="5"/>
      <c r="AK202886" s="5"/>
    </row>
    <row r="202896" spans="25:37" x14ac:dyDescent="0.2">
      <c r="Y202896" s="251"/>
      <c r="AB202896" s="251"/>
      <c r="AE202896" s="251"/>
      <c r="AH202896" s="251"/>
      <c r="AK202896" s="251"/>
    </row>
    <row r="203011" spans="25:37" x14ac:dyDescent="0.2">
      <c r="Y203011" s="5"/>
      <c r="AB203011" s="5"/>
      <c r="AE203011" s="5"/>
      <c r="AH203011" s="5"/>
      <c r="AK203011" s="5"/>
    </row>
    <row r="203021" spans="25:37" x14ac:dyDescent="0.2">
      <c r="Y203021" s="251"/>
      <c r="AB203021" s="251"/>
      <c r="AE203021" s="251"/>
      <c r="AH203021" s="251"/>
      <c r="AK203021" s="251"/>
    </row>
    <row r="203136" spans="25:37" x14ac:dyDescent="0.2">
      <c r="Y203136" s="5"/>
      <c r="AB203136" s="5"/>
      <c r="AE203136" s="5"/>
      <c r="AH203136" s="5"/>
      <c r="AK203136" s="5"/>
    </row>
    <row r="203146" spans="25:37" x14ac:dyDescent="0.2">
      <c r="Y203146" s="251"/>
      <c r="AB203146" s="251"/>
      <c r="AE203146" s="251"/>
      <c r="AH203146" s="251"/>
      <c r="AK203146" s="251"/>
    </row>
    <row r="203261" spans="25:37" x14ac:dyDescent="0.2">
      <c r="Y203261" s="5"/>
      <c r="AB203261" s="5"/>
      <c r="AE203261" s="5"/>
      <c r="AH203261" s="5"/>
      <c r="AK203261" s="5"/>
    </row>
    <row r="203271" spans="25:37" x14ac:dyDescent="0.2">
      <c r="Y203271" s="251"/>
      <c r="AB203271" s="251"/>
      <c r="AE203271" s="251"/>
      <c r="AH203271" s="251"/>
      <c r="AK203271" s="251"/>
    </row>
    <row r="203386" spans="25:37" x14ac:dyDescent="0.2">
      <c r="Y203386" s="5"/>
      <c r="AB203386" s="5"/>
      <c r="AE203386" s="5"/>
      <c r="AH203386" s="5"/>
      <c r="AK203386" s="5"/>
    </row>
    <row r="203396" spans="25:37" x14ac:dyDescent="0.2">
      <c r="Y203396" s="251"/>
      <c r="AB203396" s="251"/>
      <c r="AE203396" s="251"/>
      <c r="AH203396" s="251"/>
      <c r="AK203396" s="251"/>
    </row>
    <row r="203511" spans="25:37" x14ac:dyDescent="0.2">
      <c r="Y203511" s="5"/>
      <c r="AB203511" s="5"/>
      <c r="AE203511" s="5"/>
      <c r="AH203511" s="5"/>
      <c r="AK203511" s="5"/>
    </row>
    <row r="203521" spans="25:37" x14ac:dyDescent="0.2">
      <c r="Y203521" s="251"/>
      <c r="AB203521" s="251"/>
      <c r="AE203521" s="251"/>
      <c r="AH203521" s="251"/>
      <c r="AK203521" s="251"/>
    </row>
    <row r="203636" spans="25:37" x14ac:dyDescent="0.2">
      <c r="Y203636" s="5"/>
      <c r="AB203636" s="5"/>
      <c r="AE203636" s="5"/>
      <c r="AH203636" s="5"/>
      <c r="AK203636" s="5"/>
    </row>
    <row r="203646" spans="25:37" x14ac:dyDescent="0.2">
      <c r="Y203646" s="251"/>
      <c r="AB203646" s="251"/>
      <c r="AE203646" s="251"/>
      <c r="AH203646" s="251"/>
      <c r="AK203646" s="251"/>
    </row>
    <row r="203761" spans="25:37" x14ac:dyDescent="0.2">
      <c r="Y203761" s="5"/>
      <c r="AB203761" s="5"/>
      <c r="AE203761" s="5"/>
      <c r="AH203761" s="5"/>
      <c r="AK203761" s="5"/>
    </row>
    <row r="203771" spans="25:37" x14ac:dyDescent="0.2">
      <c r="Y203771" s="251"/>
      <c r="AB203771" s="251"/>
      <c r="AE203771" s="251"/>
      <c r="AH203771" s="251"/>
      <c r="AK203771" s="251"/>
    </row>
    <row r="203886" spans="25:37" x14ac:dyDescent="0.2">
      <c r="Y203886" s="5"/>
      <c r="AB203886" s="5"/>
      <c r="AE203886" s="5"/>
      <c r="AH203886" s="5"/>
      <c r="AK203886" s="5"/>
    </row>
    <row r="203896" spans="25:37" x14ac:dyDescent="0.2">
      <c r="Y203896" s="251"/>
      <c r="AB203896" s="251"/>
      <c r="AE203896" s="251"/>
      <c r="AH203896" s="251"/>
      <c r="AK203896" s="251"/>
    </row>
    <row r="204011" spans="25:37" x14ac:dyDescent="0.2">
      <c r="Y204011" s="5"/>
      <c r="AB204011" s="5"/>
      <c r="AE204011" s="5"/>
      <c r="AH204011" s="5"/>
      <c r="AK204011" s="5"/>
    </row>
    <row r="204021" spans="25:37" x14ac:dyDescent="0.2">
      <c r="Y204021" s="251"/>
      <c r="AB204021" s="251"/>
      <c r="AE204021" s="251"/>
      <c r="AH204021" s="251"/>
      <c r="AK204021" s="251"/>
    </row>
    <row r="204136" spans="25:37" x14ac:dyDescent="0.2">
      <c r="Y204136" s="5"/>
      <c r="AB204136" s="5"/>
      <c r="AE204136" s="5"/>
      <c r="AH204136" s="5"/>
      <c r="AK204136" s="5"/>
    </row>
    <row r="204146" spans="25:37" x14ac:dyDescent="0.2">
      <c r="Y204146" s="251"/>
      <c r="AB204146" s="251"/>
      <c r="AE204146" s="251"/>
      <c r="AH204146" s="251"/>
      <c r="AK204146" s="251"/>
    </row>
    <row r="204261" spans="25:37" x14ac:dyDescent="0.2">
      <c r="Y204261" s="5"/>
      <c r="AB204261" s="5"/>
      <c r="AE204261" s="5"/>
      <c r="AH204261" s="5"/>
      <c r="AK204261" s="5"/>
    </row>
    <row r="204271" spans="25:37" x14ac:dyDescent="0.2">
      <c r="Y204271" s="251"/>
      <c r="AB204271" s="251"/>
      <c r="AE204271" s="251"/>
      <c r="AH204271" s="251"/>
      <c r="AK204271" s="251"/>
    </row>
    <row r="204386" spans="25:37" x14ac:dyDescent="0.2">
      <c r="Y204386" s="5"/>
      <c r="AB204386" s="5"/>
      <c r="AE204386" s="5"/>
      <c r="AH204386" s="5"/>
      <c r="AK204386" s="5"/>
    </row>
    <row r="204396" spans="25:37" x14ac:dyDescent="0.2">
      <c r="Y204396" s="251"/>
      <c r="AB204396" s="251"/>
      <c r="AE204396" s="251"/>
      <c r="AH204396" s="251"/>
      <c r="AK204396" s="251"/>
    </row>
    <row r="204511" spans="25:37" x14ac:dyDescent="0.2">
      <c r="Y204511" s="5"/>
      <c r="AB204511" s="5"/>
      <c r="AE204511" s="5"/>
      <c r="AH204511" s="5"/>
      <c r="AK204511" s="5"/>
    </row>
    <row r="204521" spans="25:37" x14ac:dyDescent="0.2">
      <c r="Y204521" s="251"/>
      <c r="AB204521" s="251"/>
      <c r="AE204521" s="251"/>
      <c r="AH204521" s="251"/>
      <c r="AK204521" s="251"/>
    </row>
    <row r="204636" spans="25:37" x14ac:dyDescent="0.2">
      <c r="Y204636" s="5"/>
      <c r="AB204636" s="5"/>
      <c r="AE204636" s="5"/>
      <c r="AH204636" s="5"/>
      <c r="AK204636" s="5"/>
    </row>
    <row r="204646" spans="25:37" x14ac:dyDescent="0.2">
      <c r="Y204646" s="251"/>
      <c r="AB204646" s="251"/>
      <c r="AE204646" s="251"/>
      <c r="AH204646" s="251"/>
      <c r="AK204646" s="251"/>
    </row>
    <row r="204761" spans="25:37" x14ac:dyDescent="0.2">
      <c r="Y204761" s="5"/>
      <c r="AB204761" s="5"/>
      <c r="AE204761" s="5"/>
      <c r="AH204761" s="5"/>
      <c r="AK204761" s="5"/>
    </row>
    <row r="204771" spans="25:37" x14ac:dyDescent="0.2">
      <c r="Y204771" s="251"/>
      <c r="AB204771" s="251"/>
      <c r="AE204771" s="251"/>
      <c r="AH204771" s="251"/>
      <c r="AK204771" s="251"/>
    </row>
    <row r="204886" spans="25:37" x14ac:dyDescent="0.2">
      <c r="Y204886" s="5"/>
      <c r="AB204886" s="5"/>
      <c r="AE204886" s="5"/>
      <c r="AH204886" s="5"/>
      <c r="AK204886" s="5"/>
    </row>
    <row r="204896" spans="25:37" x14ac:dyDescent="0.2">
      <c r="Y204896" s="251"/>
      <c r="AB204896" s="251"/>
      <c r="AE204896" s="251"/>
      <c r="AH204896" s="251"/>
      <c r="AK204896" s="251"/>
    </row>
    <row r="205011" spans="25:37" x14ac:dyDescent="0.2">
      <c r="Y205011" s="5"/>
      <c r="AB205011" s="5"/>
      <c r="AE205011" s="5"/>
      <c r="AH205011" s="5"/>
      <c r="AK205011" s="5"/>
    </row>
    <row r="205021" spans="25:37" x14ac:dyDescent="0.2">
      <c r="Y205021" s="251"/>
      <c r="AB205021" s="251"/>
      <c r="AE205021" s="251"/>
      <c r="AH205021" s="251"/>
      <c r="AK205021" s="251"/>
    </row>
    <row r="205136" spans="25:37" x14ac:dyDescent="0.2">
      <c r="Y205136" s="5"/>
      <c r="AB205136" s="5"/>
      <c r="AE205136" s="5"/>
      <c r="AH205136" s="5"/>
      <c r="AK205136" s="5"/>
    </row>
    <row r="205146" spans="25:37" x14ac:dyDescent="0.2">
      <c r="Y205146" s="251"/>
      <c r="AB205146" s="251"/>
      <c r="AE205146" s="251"/>
      <c r="AH205146" s="251"/>
      <c r="AK205146" s="251"/>
    </row>
    <row r="205261" spans="25:37" x14ac:dyDescent="0.2">
      <c r="Y205261" s="5"/>
      <c r="AB205261" s="5"/>
      <c r="AE205261" s="5"/>
      <c r="AH205261" s="5"/>
      <c r="AK205261" s="5"/>
    </row>
    <row r="205271" spans="25:37" x14ac:dyDescent="0.2">
      <c r="Y205271" s="251"/>
      <c r="AB205271" s="251"/>
      <c r="AE205271" s="251"/>
      <c r="AH205271" s="251"/>
      <c r="AK205271" s="251"/>
    </row>
    <row r="205386" spans="25:37" x14ac:dyDescent="0.2">
      <c r="Y205386" s="5"/>
      <c r="AB205386" s="5"/>
      <c r="AE205386" s="5"/>
      <c r="AH205386" s="5"/>
      <c r="AK205386" s="5"/>
    </row>
    <row r="205396" spans="25:37" x14ac:dyDescent="0.2">
      <c r="Y205396" s="251"/>
      <c r="AB205396" s="251"/>
      <c r="AE205396" s="251"/>
      <c r="AH205396" s="251"/>
      <c r="AK205396" s="251"/>
    </row>
    <row r="205511" spans="25:37" x14ac:dyDescent="0.2">
      <c r="Y205511" s="5"/>
      <c r="AB205511" s="5"/>
      <c r="AE205511" s="5"/>
      <c r="AH205511" s="5"/>
      <c r="AK205511" s="5"/>
    </row>
    <row r="205521" spans="25:37" x14ac:dyDescent="0.2">
      <c r="Y205521" s="251"/>
      <c r="AB205521" s="251"/>
      <c r="AE205521" s="251"/>
      <c r="AH205521" s="251"/>
      <c r="AK205521" s="251"/>
    </row>
    <row r="205636" spans="25:37" x14ac:dyDescent="0.2">
      <c r="Y205636" s="5"/>
      <c r="AB205636" s="5"/>
      <c r="AE205636" s="5"/>
      <c r="AH205636" s="5"/>
      <c r="AK205636" s="5"/>
    </row>
    <row r="205646" spans="25:37" x14ac:dyDescent="0.2">
      <c r="Y205646" s="251"/>
      <c r="AB205646" s="251"/>
      <c r="AE205646" s="251"/>
      <c r="AH205646" s="251"/>
      <c r="AK205646" s="251"/>
    </row>
    <row r="205761" spans="25:37" x14ac:dyDescent="0.2">
      <c r="Y205761" s="5"/>
      <c r="AB205761" s="5"/>
      <c r="AE205761" s="5"/>
      <c r="AH205761" s="5"/>
      <c r="AK205761" s="5"/>
    </row>
    <row r="205771" spans="25:37" x14ac:dyDescent="0.2">
      <c r="Y205771" s="251"/>
      <c r="AB205771" s="251"/>
      <c r="AE205771" s="251"/>
      <c r="AH205771" s="251"/>
      <c r="AK205771" s="251"/>
    </row>
    <row r="205886" spans="25:37" x14ac:dyDescent="0.2">
      <c r="Y205886" s="5"/>
      <c r="AB205886" s="5"/>
      <c r="AE205886" s="5"/>
      <c r="AH205886" s="5"/>
      <c r="AK205886" s="5"/>
    </row>
    <row r="205896" spans="25:37" x14ac:dyDescent="0.2">
      <c r="Y205896" s="251"/>
      <c r="AB205896" s="251"/>
      <c r="AE205896" s="251"/>
      <c r="AH205896" s="251"/>
      <c r="AK205896" s="251"/>
    </row>
    <row r="206011" spans="25:37" x14ac:dyDescent="0.2">
      <c r="Y206011" s="5"/>
      <c r="AB206011" s="5"/>
      <c r="AE206011" s="5"/>
      <c r="AH206011" s="5"/>
      <c r="AK206011" s="5"/>
    </row>
    <row r="206021" spans="25:37" x14ac:dyDescent="0.2">
      <c r="Y206021" s="251"/>
      <c r="AB206021" s="251"/>
      <c r="AE206021" s="251"/>
      <c r="AH206021" s="251"/>
      <c r="AK206021" s="251"/>
    </row>
    <row r="206136" spans="25:37" x14ac:dyDescent="0.2">
      <c r="Y206136" s="5"/>
      <c r="AB206136" s="5"/>
      <c r="AE206136" s="5"/>
      <c r="AH206136" s="5"/>
      <c r="AK206136" s="5"/>
    </row>
    <row r="206146" spans="25:37" x14ac:dyDescent="0.2">
      <c r="Y206146" s="251"/>
      <c r="AB206146" s="251"/>
      <c r="AE206146" s="251"/>
      <c r="AH206146" s="251"/>
      <c r="AK206146" s="251"/>
    </row>
    <row r="206261" spans="25:37" x14ac:dyDescent="0.2">
      <c r="Y206261" s="5"/>
      <c r="AB206261" s="5"/>
      <c r="AE206261" s="5"/>
      <c r="AH206261" s="5"/>
      <c r="AK206261" s="5"/>
    </row>
    <row r="206271" spans="25:37" x14ac:dyDescent="0.2">
      <c r="Y206271" s="251"/>
      <c r="AB206271" s="251"/>
      <c r="AE206271" s="251"/>
      <c r="AH206271" s="251"/>
      <c r="AK206271" s="251"/>
    </row>
    <row r="206386" spans="25:37" x14ac:dyDescent="0.2">
      <c r="Y206386" s="5"/>
      <c r="AB206386" s="5"/>
      <c r="AE206386" s="5"/>
      <c r="AH206386" s="5"/>
      <c r="AK206386" s="5"/>
    </row>
    <row r="206396" spans="25:37" x14ac:dyDescent="0.2">
      <c r="Y206396" s="251"/>
      <c r="AB206396" s="251"/>
      <c r="AE206396" s="251"/>
      <c r="AH206396" s="251"/>
      <c r="AK206396" s="251"/>
    </row>
    <row r="206511" spans="25:37" x14ac:dyDescent="0.2">
      <c r="Y206511" s="5"/>
      <c r="AB206511" s="5"/>
      <c r="AE206511" s="5"/>
      <c r="AH206511" s="5"/>
      <c r="AK206511" s="5"/>
    </row>
    <row r="206521" spans="25:37" x14ac:dyDescent="0.2">
      <c r="Y206521" s="251"/>
      <c r="AB206521" s="251"/>
      <c r="AE206521" s="251"/>
      <c r="AH206521" s="251"/>
      <c r="AK206521" s="251"/>
    </row>
    <row r="206636" spans="25:37" x14ac:dyDescent="0.2">
      <c r="Y206636" s="5"/>
      <c r="AB206636" s="5"/>
      <c r="AE206636" s="5"/>
      <c r="AH206636" s="5"/>
      <c r="AK206636" s="5"/>
    </row>
    <row r="206646" spans="25:37" x14ac:dyDescent="0.2">
      <c r="Y206646" s="251"/>
      <c r="AB206646" s="251"/>
      <c r="AE206646" s="251"/>
      <c r="AH206646" s="251"/>
      <c r="AK206646" s="251"/>
    </row>
    <row r="206761" spans="25:37" x14ac:dyDescent="0.2">
      <c r="Y206761" s="5"/>
      <c r="AB206761" s="5"/>
      <c r="AE206761" s="5"/>
      <c r="AH206761" s="5"/>
      <c r="AK206761" s="5"/>
    </row>
    <row r="206771" spans="25:37" x14ac:dyDescent="0.2">
      <c r="Y206771" s="251"/>
      <c r="AB206771" s="251"/>
      <c r="AE206771" s="251"/>
      <c r="AH206771" s="251"/>
      <c r="AK206771" s="251"/>
    </row>
    <row r="206886" spans="25:37" x14ac:dyDescent="0.2">
      <c r="Y206886" s="5"/>
      <c r="AB206886" s="5"/>
      <c r="AE206886" s="5"/>
      <c r="AH206886" s="5"/>
      <c r="AK206886" s="5"/>
    </row>
    <row r="206896" spans="25:37" x14ac:dyDescent="0.2">
      <c r="Y206896" s="251"/>
      <c r="AB206896" s="251"/>
      <c r="AE206896" s="251"/>
      <c r="AH206896" s="251"/>
      <c r="AK206896" s="251"/>
    </row>
    <row r="207011" spans="25:37" x14ac:dyDescent="0.2">
      <c r="Y207011" s="5"/>
      <c r="AB207011" s="5"/>
      <c r="AE207011" s="5"/>
      <c r="AH207011" s="5"/>
      <c r="AK207011" s="5"/>
    </row>
    <row r="207021" spans="25:37" x14ac:dyDescent="0.2">
      <c r="Y207021" s="251"/>
      <c r="AB207021" s="251"/>
      <c r="AE207021" s="251"/>
      <c r="AH207021" s="251"/>
      <c r="AK207021" s="251"/>
    </row>
    <row r="207136" spans="25:37" x14ac:dyDescent="0.2">
      <c r="Y207136" s="5"/>
      <c r="AB207136" s="5"/>
      <c r="AE207136" s="5"/>
      <c r="AH207136" s="5"/>
      <c r="AK207136" s="5"/>
    </row>
    <row r="207146" spans="25:37" x14ac:dyDescent="0.2">
      <c r="Y207146" s="251"/>
      <c r="AB207146" s="251"/>
      <c r="AE207146" s="251"/>
      <c r="AH207146" s="251"/>
      <c r="AK207146" s="251"/>
    </row>
    <row r="207261" spans="25:37" x14ac:dyDescent="0.2">
      <c r="Y207261" s="5"/>
      <c r="AB207261" s="5"/>
      <c r="AE207261" s="5"/>
      <c r="AH207261" s="5"/>
      <c r="AK207261" s="5"/>
    </row>
    <row r="207271" spans="25:37" x14ac:dyDescent="0.2">
      <c r="Y207271" s="251"/>
      <c r="AB207271" s="251"/>
      <c r="AE207271" s="251"/>
      <c r="AH207271" s="251"/>
      <c r="AK207271" s="251"/>
    </row>
    <row r="207386" spans="25:37" x14ac:dyDescent="0.2">
      <c r="Y207386" s="5"/>
      <c r="AB207386" s="5"/>
      <c r="AE207386" s="5"/>
      <c r="AH207386" s="5"/>
      <c r="AK207386" s="5"/>
    </row>
    <row r="207396" spans="25:37" x14ac:dyDescent="0.2">
      <c r="Y207396" s="251"/>
      <c r="AB207396" s="251"/>
      <c r="AE207396" s="251"/>
      <c r="AH207396" s="251"/>
      <c r="AK207396" s="251"/>
    </row>
    <row r="207511" spans="25:37" x14ac:dyDescent="0.2">
      <c r="Y207511" s="5"/>
      <c r="AB207511" s="5"/>
      <c r="AE207511" s="5"/>
      <c r="AH207511" s="5"/>
      <c r="AK207511" s="5"/>
    </row>
    <row r="207521" spans="25:37" x14ac:dyDescent="0.2">
      <c r="Y207521" s="251"/>
      <c r="AB207521" s="251"/>
      <c r="AE207521" s="251"/>
      <c r="AH207521" s="251"/>
      <c r="AK207521" s="251"/>
    </row>
    <row r="207636" spans="25:37" x14ac:dyDescent="0.2">
      <c r="Y207636" s="5"/>
      <c r="AB207636" s="5"/>
      <c r="AE207636" s="5"/>
      <c r="AH207636" s="5"/>
      <c r="AK207636" s="5"/>
    </row>
    <row r="207646" spans="25:37" x14ac:dyDescent="0.2">
      <c r="Y207646" s="251"/>
      <c r="AB207646" s="251"/>
      <c r="AE207646" s="251"/>
      <c r="AH207646" s="251"/>
      <c r="AK207646" s="251"/>
    </row>
    <row r="207761" spans="25:37" x14ac:dyDescent="0.2">
      <c r="Y207761" s="5"/>
      <c r="AB207761" s="5"/>
      <c r="AE207761" s="5"/>
      <c r="AH207761" s="5"/>
      <c r="AK207761" s="5"/>
    </row>
    <row r="207771" spans="25:37" x14ac:dyDescent="0.2">
      <c r="Y207771" s="251"/>
      <c r="AB207771" s="251"/>
      <c r="AE207771" s="251"/>
      <c r="AH207771" s="251"/>
      <c r="AK207771" s="251"/>
    </row>
    <row r="207886" spans="25:37" x14ac:dyDescent="0.2">
      <c r="Y207886" s="5"/>
      <c r="AB207886" s="5"/>
      <c r="AE207886" s="5"/>
      <c r="AH207886" s="5"/>
      <c r="AK207886" s="5"/>
    </row>
    <row r="207896" spans="25:37" x14ac:dyDescent="0.2">
      <c r="Y207896" s="251"/>
      <c r="AB207896" s="251"/>
      <c r="AE207896" s="251"/>
      <c r="AH207896" s="251"/>
      <c r="AK207896" s="251"/>
    </row>
    <row r="208011" spans="25:37" x14ac:dyDescent="0.2">
      <c r="Y208011" s="5"/>
      <c r="AB208011" s="5"/>
      <c r="AE208011" s="5"/>
      <c r="AH208011" s="5"/>
      <c r="AK208011" s="5"/>
    </row>
    <row r="208021" spans="25:37" x14ac:dyDescent="0.2">
      <c r="Y208021" s="251"/>
      <c r="AB208021" s="251"/>
      <c r="AE208021" s="251"/>
      <c r="AH208021" s="251"/>
      <c r="AK208021" s="251"/>
    </row>
    <row r="208136" spans="25:37" x14ac:dyDescent="0.2">
      <c r="Y208136" s="5"/>
      <c r="AB208136" s="5"/>
      <c r="AE208136" s="5"/>
      <c r="AH208136" s="5"/>
      <c r="AK208136" s="5"/>
    </row>
    <row r="208146" spans="25:37" x14ac:dyDescent="0.2">
      <c r="Y208146" s="251"/>
      <c r="AB208146" s="251"/>
      <c r="AE208146" s="251"/>
      <c r="AH208146" s="251"/>
      <c r="AK208146" s="251"/>
    </row>
    <row r="208261" spans="25:37" x14ac:dyDescent="0.2">
      <c r="Y208261" s="5"/>
      <c r="AB208261" s="5"/>
      <c r="AE208261" s="5"/>
      <c r="AH208261" s="5"/>
      <c r="AK208261" s="5"/>
    </row>
    <row r="208271" spans="25:37" x14ac:dyDescent="0.2">
      <c r="Y208271" s="251"/>
      <c r="AB208271" s="251"/>
      <c r="AE208271" s="251"/>
      <c r="AH208271" s="251"/>
      <c r="AK208271" s="251"/>
    </row>
    <row r="208386" spans="25:37" x14ac:dyDescent="0.2">
      <c r="Y208386" s="5"/>
      <c r="AB208386" s="5"/>
      <c r="AE208386" s="5"/>
      <c r="AH208386" s="5"/>
      <c r="AK208386" s="5"/>
    </row>
    <row r="208396" spans="25:37" x14ac:dyDescent="0.2">
      <c r="Y208396" s="251"/>
      <c r="AB208396" s="251"/>
      <c r="AE208396" s="251"/>
      <c r="AH208396" s="251"/>
      <c r="AK208396" s="251"/>
    </row>
    <row r="208511" spans="25:37" x14ac:dyDescent="0.2">
      <c r="Y208511" s="5"/>
      <c r="AB208511" s="5"/>
      <c r="AE208511" s="5"/>
      <c r="AH208511" s="5"/>
      <c r="AK208511" s="5"/>
    </row>
    <row r="208521" spans="25:37" x14ac:dyDescent="0.2">
      <c r="Y208521" s="251"/>
      <c r="AB208521" s="251"/>
      <c r="AE208521" s="251"/>
      <c r="AH208521" s="251"/>
      <c r="AK208521" s="251"/>
    </row>
    <row r="208636" spans="25:37" x14ac:dyDescent="0.2">
      <c r="Y208636" s="5"/>
      <c r="AB208636" s="5"/>
      <c r="AE208636" s="5"/>
      <c r="AH208636" s="5"/>
      <c r="AK208636" s="5"/>
    </row>
    <row r="208646" spans="25:37" x14ac:dyDescent="0.2">
      <c r="Y208646" s="251"/>
      <c r="AB208646" s="251"/>
      <c r="AE208646" s="251"/>
      <c r="AH208646" s="251"/>
      <c r="AK208646" s="251"/>
    </row>
    <row r="208761" spans="25:37" x14ac:dyDescent="0.2">
      <c r="Y208761" s="5"/>
      <c r="AB208761" s="5"/>
      <c r="AE208761" s="5"/>
      <c r="AH208761" s="5"/>
      <c r="AK208761" s="5"/>
    </row>
    <row r="208771" spans="25:37" x14ac:dyDescent="0.2">
      <c r="Y208771" s="251"/>
      <c r="AB208771" s="251"/>
      <c r="AE208771" s="251"/>
      <c r="AH208771" s="251"/>
      <c r="AK208771" s="251"/>
    </row>
    <row r="208886" spans="25:37" x14ac:dyDescent="0.2">
      <c r="Y208886" s="5"/>
      <c r="AB208886" s="5"/>
      <c r="AE208886" s="5"/>
      <c r="AH208886" s="5"/>
      <c r="AK208886" s="5"/>
    </row>
    <row r="208896" spans="25:37" x14ac:dyDescent="0.2">
      <c r="Y208896" s="251"/>
      <c r="AB208896" s="251"/>
      <c r="AE208896" s="251"/>
      <c r="AH208896" s="251"/>
      <c r="AK208896" s="251"/>
    </row>
    <row r="209011" spans="25:37" x14ac:dyDescent="0.2">
      <c r="Y209011" s="5"/>
      <c r="AB209011" s="5"/>
      <c r="AE209011" s="5"/>
      <c r="AH209011" s="5"/>
      <c r="AK209011" s="5"/>
    </row>
    <row r="209021" spans="25:37" x14ac:dyDescent="0.2">
      <c r="Y209021" s="251"/>
      <c r="AB209021" s="251"/>
      <c r="AE209021" s="251"/>
      <c r="AH209021" s="251"/>
      <c r="AK209021" s="251"/>
    </row>
    <row r="209136" spans="25:37" x14ac:dyDescent="0.2">
      <c r="Y209136" s="5"/>
      <c r="AB209136" s="5"/>
      <c r="AE209136" s="5"/>
      <c r="AH209136" s="5"/>
      <c r="AK209136" s="5"/>
    </row>
    <row r="209146" spans="25:37" x14ac:dyDescent="0.2">
      <c r="Y209146" s="251"/>
      <c r="AB209146" s="251"/>
      <c r="AE209146" s="251"/>
      <c r="AH209146" s="251"/>
      <c r="AK209146" s="251"/>
    </row>
    <row r="209261" spans="25:37" x14ac:dyDescent="0.2">
      <c r="Y209261" s="5"/>
      <c r="AB209261" s="5"/>
      <c r="AE209261" s="5"/>
      <c r="AH209261" s="5"/>
      <c r="AK209261" s="5"/>
    </row>
    <row r="209271" spans="25:37" x14ac:dyDescent="0.2">
      <c r="Y209271" s="251"/>
      <c r="AB209271" s="251"/>
      <c r="AE209271" s="251"/>
      <c r="AH209271" s="251"/>
      <c r="AK209271" s="251"/>
    </row>
    <row r="209386" spans="25:37" x14ac:dyDescent="0.2">
      <c r="Y209386" s="5"/>
      <c r="AB209386" s="5"/>
      <c r="AE209386" s="5"/>
      <c r="AH209386" s="5"/>
      <c r="AK209386" s="5"/>
    </row>
    <row r="209396" spans="25:37" x14ac:dyDescent="0.2">
      <c r="Y209396" s="251"/>
      <c r="AB209396" s="251"/>
      <c r="AE209396" s="251"/>
      <c r="AH209396" s="251"/>
      <c r="AK209396" s="251"/>
    </row>
    <row r="209511" spans="25:37" x14ac:dyDescent="0.2">
      <c r="Y209511" s="5"/>
      <c r="AB209511" s="5"/>
      <c r="AE209511" s="5"/>
      <c r="AH209511" s="5"/>
      <c r="AK209511" s="5"/>
    </row>
    <row r="209521" spans="25:37" x14ac:dyDescent="0.2">
      <c r="Y209521" s="251"/>
      <c r="AB209521" s="251"/>
      <c r="AE209521" s="251"/>
      <c r="AH209521" s="251"/>
      <c r="AK209521" s="251"/>
    </row>
    <row r="209636" spans="25:37" x14ac:dyDescent="0.2">
      <c r="Y209636" s="5"/>
      <c r="AB209636" s="5"/>
      <c r="AE209636" s="5"/>
      <c r="AH209636" s="5"/>
      <c r="AK209636" s="5"/>
    </row>
    <row r="209646" spans="25:37" x14ac:dyDescent="0.2">
      <c r="Y209646" s="251"/>
      <c r="AB209646" s="251"/>
      <c r="AE209646" s="251"/>
      <c r="AH209646" s="251"/>
      <c r="AK209646" s="251"/>
    </row>
    <row r="209761" spans="25:37" x14ac:dyDescent="0.2">
      <c r="Y209761" s="5"/>
      <c r="AB209761" s="5"/>
      <c r="AE209761" s="5"/>
      <c r="AH209761" s="5"/>
      <c r="AK209761" s="5"/>
    </row>
    <row r="209771" spans="25:37" x14ac:dyDescent="0.2">
      <c r="Y209771" s="251"/>
      <c r="AB209771" s="251"/>
      <c r="AE209771" s="251"/>
      <c r="AH209771" s="251"/>
      <c r="AK209771" s="251"/>
    </row>
    <row r="209886" spans="25:37" x14ac:dyDescent="0.2">
      <c r="Y209886" s="5"/>
      <c r="AB209886" s="5"/>
      <c r="AE209886" s="5"/>
      <c r="AH209886" s="5"/>
      <c r="AK209886" s="5"/>
    </row>
    <row r="209896" spans="25:37" x14ac:dyDescent="0.2">
      <c r="Y209896" s="251"/>
      <c r="AB209896" s="251"/>
      <c r="AE209896" s="251"/>
      <c r="AH209896" s="251"/>
      <c r="AK209896" s="251"/>
    </row>
    <row r="210011" spans="25:37" x14ac:dyDescent="0.2">
      <c r="Y210011" s="5"/>
      <c r="AB210011" s="5"/>
      <c r="AE210011" s="5"/>
      <c r="AH210011" s="5"/>
      <c r="AK210011" s="5"/>
    </row>
    <row r="210021" spans="25:37" x14ac:dyDescent="0.2">
      <c r="Y210021" s="251"/>
      <c r="AB210021" s="251"/>
      <c r="AE210021" s="251"/>
      <c r="AH210021" s="251"/>
      <c r="AK210021" s="251"/>
    </row>
    <row r="210136" spans="25:37" x14ac:dyDescent="0.2">
      <c r="Y210136" s="5"/>
      <c r="AB210136" s="5"/>
      <c r="AE210136" s="5"/>
      <c r="AH210136" s="5"/>
      <c r="AK210136" s="5"/>
    </row>
    <row r="210146" spans="25:37" x14ac:dyDescent="0.2">
      <c r="Y210146" s="251"/>
      <c r="AB210146" s="251"/>
      <c r="AE210146" s="251"/>
      <c r="AH210146" s="251"/>
      <c r="AK210146" s="251"/>
    </row>
    <row r="210261" spans="25:37" x14ac:dyDescent="0.2">
      <c r="Y210261" s="5"/>
      <c r="AB210261" s="5"/>
      <c r="AE210261" s="5"/>
      <c r="AH210261" s="5"/>
      <c r="AK210261" s="5"/>
    </row>
    <row r="210271" spans="25:37" x14ac:dyDescent="0.2">
      <c r="Y210271" s="251"/>
      <c r="AB210271" s="251"/>
      <c r="AE210271" s="251"/>
      <c r="AH210271" s="251"/>
      <c r="AK210271" s="251"/>
    </row>
    <row r="210386" spans="25:37" x14ac:dyDescent="0.2">
      <c r="Y210386" s="5"/>
      <c r="AB210386" s="5"/>
      <c r="AE210386" s="5"/>
      <c r="AH210386" s="5"/>
      <c r="AK210386" s="5"/>
    </row>
    <row r="210396" spans="25:37" x14ac:dyDescent="0.2">
      <c r="Y210396" s="251"/>
      <c r="AB210396" s="251"/>
      <c r="AE210396" s="251"/>
      <c r="AH210396" s="251"/>
      <c r="AK210396" s="251"/>
    </row>
    <row r="210511" spans="25:37" x14ac:dyDescent="0.2">
      <c r="Y210511" s="5"/>
      <c r="AB210511" s="5"/>
      <c r="AE210511" s="5"/>
      <c r="AH210511" s="5"/>
      <c r="AK210511" s="5"/>
    </row>
    <row r="210521" spans="25:37" x14ac:dyDescent="0.2">
      <c r="Y210521" s="251"/>
      <c r="AB210521" s="251"/>
      <c r="AE210521" s="251"/>
      <c r="AH210521" s="251"/>
      <c r="AK210521" s="251"/>
    </row>
    <row r="210636" spans="25:37" x14ac:dyDescent="0.2">
      <c r="Y210636" s="5"/>
      <c r="AB210636" s="5"/>
      <c r="AE210636" s="5"/>
      <c r="AH210636" s="5"/>
      <c r="AK210636" s="5"/>
    </row>
    <row r="210646" spans="25:37" x14ac:dyDescent="0.2">
      <c r="Y210646" s="251"/>
      <c r="AB210646" s="251"/>
      <c r="AE210646" s="251"/>
      <c r="AH210646" s="251"/>
      <c r="AK210646" s="251"/>
    </row>
    <row r="210761" spans="25:37" x14ac:dyDescent="0.2">
      <c r="Y210761" s="5"/>
      <c r="AB210761" s="5"/>
      <c r="AE210761" s="5"/>
      <c r="AH210761" s="5"/>
      <c r="AK210761" s="5"/>
    </row>
    <row r="210771" spans="25:37" x14ac:dyDescent="0.2">
      <c r="Y210771" s="251"/>
      <c r="AB210771" s="251"/>
      <c r="AE210771" s="251"/>
      <c r="AH210771" s="251"/>
      <c r="AK210771" s="251"/>
    </row>
    <row r="210886" spans="25:37" x14ac:dyDescent="0.2">
      <c r="Y210886" s="5"/>
      <c r="AB210886" s="5"/>
      <c r="AE210886" s="5"/>
      <c r="AH210886" s="5"/>
      <c r="AK210886" s="5"/>
    </row>
    <row r="210896" spans="25:37" x14ac:dyDescent="0.2">
      <c r="Y210896" s="251"/>
      <c r="AB210896" s="251"/>
      <c r="AE210896" s="251"/>
      <c r="AH210896" s="251"/>
      <c r="AK210896" s="251"/>
    </row>
    <row r="211011" spans="25:37" x14ac:dyDescent="0.2">
      <c r="Y211011" s="5"/>
      <c r="AB211011" s="5"/>
      <c r="AE211011" s="5"/>
      <c r="AH211011" s="5"/>
      <c r="AK211011" s="5"/>
    </row>
    <row r="211021" spans="25:37" x14ac:dyDescent="0.2">
      <c r="Y211021" s="251"/>
      <c r="AB211021" s="251"/>
      <c r="AE211021" s="251"/>
      <c r="AH211021" s="251"/>
      <c r="AK211021" s="251"/>
    </row>
    <row r="211136" spans="25:37" x14ac:dyDescent="0.2">
      <c r="Y211136" s="5"/>
      <c r="AB211136" s="5"/>
      <c r="AE211136" s="5"/>
      <c r="AH211136" s="5"/>
      <c r="AK211136" s="5"/>
    </row>
    <row r="211146" spans="25:37" x14ac:dyDescent="0.2">
      <c r="Y211146" s="251"/>
      <c r="AB211146" s="251"/>
      <c r="AE211146" s="251"/>
      <c r="AH211146" s="251"/>
      <c r="AK211146" s="251"/>
    </row>
    <row r="211261" spans="25:37" x14ac:dyDescent="0.2">
      <c r="Y211261" s="5"/>
      <c r="AB211261" s="5"/>
      <c r="AE211261" s="5"/>
      <c r="AH211261" s="5"/>
      <c r="AK211261" s="5"/>
    </row>
    <row r="211271" spans="25:37" x14ac:dyDescent="0.2">
      <c r="Y211271" s="251"/>
      <c r="AB211271" s="251"/>
      <c r="AE211271" s="251"/>
      <c r="AH211271" s="251"/>
      <c r="AK211271" s="251"/>
    </row>
    <row r="211386" spans="25:37" x14ac:dyDescent="0.2">
      <c r="Y211386" s="5"/>
      <c r="AB211386" s="5"/>
      <c r="AE211386" s="5"/>
      <c r="AH211386" s="5"/>
      <c r="AK211386" s="5"/>
    </row>
    <row r="211396" spans="25:37" x14ac:dyDescent="0.2">
      <c r="Y211396" s="251"/>
      <c r="AB211396" s="251"/>
      <c r="AE211396" s="251"/>
      <c r="AH211396" s="251"/>
      <c r="AK211396" s="251"/>
    </row>
    <row r="211511" spans="25:37" x14ac:dyDescent="0.2">
      <c r="Y211511" s="5"/>
      <c r="AB211511" s="5"/>
      <c r="AE211511" s="5"/>
      <c r="AH211511" s="5"/>
      <c r="AK211511" s="5"/>
    </row>
    <row r="211521" spans="25:37" x14ac:dyDescent="0.2">
      <c r="Y211521" s="251"/>
      <c r="AB211521" s="251"/>
      <c r="AE211521" s="251"/>
      <c r="AH211521" s="251"/>
      <c r="AK211521" s="251"/>
    </row>
    <row r="211636" spans="25:37" x14ac:dyDescent="0.2">
      <c r="Y211636" s="5"/>
      <c r="AB211636" s="5"/>
      <c r="AE211636" s="5"/>
      <c r="AH211636" s="5"/>
      <c r="AK211636" s="5"/>
    </row>
    <row r="211646" spans="25:37" x14ac:dyDescent="0.2">
      <c r="Y211646" s="251"/>
      <c r="AB211646" s="251"/>
      <c r="AE211646" s="251"/>
      <c r="AH211646" s="251"/>
      <c r="AK211646" s="251"/>
    </row>
    <row r="211761" spans="25:37" x14ac:dyDescent="0.2">
      <c r="Y211761" s="5"/>
      <c r="AB211761" s="5"/>
      <c r="AE211761" s="5"/>
      <c r="AH211761" s="5"/>
      <c r="AK211761" s="5"/>
    </row>
    <row r="211771" spans="25:37" x14ac:dyDescent="0.2">
      <c r="Y211771" s="251"/>
      <c r="AB211771" s="251"/>
      <c r="AE211771" s="251"/>
      <c r="AH211771" s="251"/>
      <c r="AK211771" s="251"/>
    </row>
    <row r="211886" spans="25:37" x14ac:dyDescent="0.2">
      <c r="Y211886" s="5"/>
      <c r="AB211886" s="5"/>
      <c r="AE211886" s="5"/>
      <c r="AH211886" s="5"/>
      <c r="AK211886" s="5"/>
    </row>
    <row r="211896" spans="25:37" x14ac:dyDescent="0.2">
      <c r="Y211896" s="251"/>
      <c r="AB211896" s="251"/>
      <c r="AE211896" s="251"/>
      <c r="AH211896" s="251"/>
      <c r="AK211896" s="251"/>
    </row>
    <row r="212011" spans="25:37" x14ac:dyDescent="0.2">
      <c r="Y212011" s="5"/>
      <c r="AB212011" s="5"/>
      <c r="AE212011" s="5"/>
      <c r="AH212011" s="5"/>
      <c r="AK212011" s="5"/>
    </row>
    <row r="212021" spans="25:37" x14ac:dyDescent="0.2">
      <c r="Y212021" s="251"/>
      <c r="AB212021" s="251"/>
      <c r="AE212021" s="251"/>
      <c r="AH212021" s="251"/>
      <c r="AK212021" s="251"/>
    </row>
    <row r="212136" spans="25:37" x14ac:dyDescent="0.2">
      <c r="Y212136" s="5"/>
      <c r="AB212136" s="5"/>
      <c r="AE212136" s="5"/>
      <c r="AH212136" s="5"/>
      <c r="AK212136" s="5"/>
    </row>
    <row r="212146" spans="25:37" x14ac:dyDescent="0.2">
      <c r="Y212146" s="251"/>
      <c r="AB212146" s="251"/>
      <c r="AE212146" s="251"/>
      <c r="AH212146" s="251"/>
      <c r="AK212146" s="251"/>
    </row>
    <row r="212261" spans="25:37" x14ac:dyDescent="0.2">
      <c r="Y212261" s="5"/>
      <c r="AB212261" s="5"/>
      <c r="AE212261" s="5"/>
      <c r="AH212261" s="5"/>
      <c r="AK212261" s="5"/>
    </row>
    <row r="212271" spans="25:37" x14ac:dyDescent="0.2">
      <c r="Y212271" s="251"/>
      <c r="AB212271" s="251"/>
      <c r="AE212271" s="251"/>
      <c r="AH212271" s="251"/>
      <c r="AK212271" s="251"/>
    </row>
    <row r="212386" spans="25:37" x14ac:dyDescent="0.2">
      <c r="Y212386" s="5"/>
      <c r="AB212386" s="5"/>
      <c r="AE212386" s="5"/>
      <c r="AH212386" s="5"/>
      <c r="AK212386" s="5"/>
    </row>
    <row r="212396" spans="25:37" x14ac:dyDescent="0.2">
      <c r="Y212396" s="251"/>
      <c r="AB212396" s="251"/>
      <c r="AE212396" s="251"/>
      <c r="AH212396" s="251"/>
      <c r="AK212396" s="251"/>
    </row>
    <row r="212511" spans="25:37" x14ac:dyDescent="0.2">
      <c r="Y212511" s="5"/>
      <c r="AB212511" s="5"/>
      <c r="AE212511" s="5"/>
      <c r="AH212511" s="5"/>
      <c r="AK212511" s="5"/>
    </row>
    <row r="212521" spans="25:37" x14ac:dyDescent="0.2">
      <c r="Y212521" s="251"/>
      <c r="AB212521" s="251"/>
      <c r="AE212521" s="251"/>
      <c r="AH212521" s="251"/>
      <c r="AK212521" s="251"/>
    </row>
    <row r="212636" spans="25:37" x14ac:dyDescent="0.2">
      <c r="Y212636" s="5"/>
      <c r="AB212636" s="5"/>
      <c r="AE212636" s="5"/>
      <c r="AH212636" s="5"/>
      <c r="AK212636" s="5"/>
    </row>
    <row r="212646" spans="25:37" x14ac:dyDescent="0.2">
      <c r="Y212646" s="251"/>
      <c r="AB212646" s="251"/>
      <c r="AE212646" s="251"/>
      <c r="AH212646" s="251"/>
      <c r="AK212646" s="251"/>
    </row>
    <row r="212761" spans="25:37" x14ac:dyDescent="0.2">
      <c r="Y212761" s="5"/>
      <c r="AB212761" s="5"/>
      <c r="AE212761" s="5"/>
      <c r="AH212761" s="5"/>
      <c r="AK212761" s="5"/>
    </row>
    <row r="212771" spans="25:37" x14ac:dyDescent="0.2">
      <c r="Y212771" s="251"/>
      <c r="AB212771" s="251"/>
      <c r="AE212771" s="251"/>
      <c r="AH212771" s="251"/>
      <c r="AK212771" s="251"/>
    </row>
    <row r="212886" spans="25:37" x14ac:dyDescent="0.2">
      <c r="Y212886" s="5"/>
      <c r="AB212886" s="5"/>
      <c r="AE212886" s="5"/>
      <c r="AH212886" s="5"/>
      <c r="AK212886" s="5"/>
    </row>
    <row r="212896" spans="25:37" x14ac:dyDescent="0.2">
      <c r="Y212896" s="251"/>
      <c r="AB212896" s="251"/>
      <c r="AE212896" s="251"/>
      <c r="AH212896" s="251"/>
      <c r="AK212896" s="251"/>
    </row>
    <row r="213011" spans="25:37" x14ac:dyDescent="0.2">
      <c r="Y213011" s="5"/>
      <c r="AB213011" s="5"/>
      <c r="AE213011" s="5"/>
      <c r="AH213011" s="5"/>
      <c r="AK213011" s="5"/>
    </row>
    <row r="213021" spans="25:37" x14ac:dyDescent="0.2">
      <c r="Y213021" s="251"/>
      <c r="AB213021" s="251"/>
      <c r="AE213021" s="251"/>
      <c r="AH213021" s="251"/>
      <c r="AK213021" s="251"/>
    </row>
    <row r="213136" spans="25:37" x14ac:dyDescent="0.2">
      <c r="Y213136" s="5"/>
      <c r="AB213136" s="5"/>
      <c r="AE213136" s="5"/>
      <c r="AH213136" s="5"/>
      <c r="AK213136" s="5"/>
    </row>
    <row r="213146" spans="25:37" x14ac:dyDescent="0.2">
      <c r="Y213146" s="251"/>
      <c r="AB213146" s="251"/>
      <c r="AE213146" s="251"/>
      <c r="AH213146" s="251"/>
      <c r="AK213146" s="251"/>
    </row>
    <row r="213261" spans="25:37" x14ac:dyDescent="0.2">
      <c r="Y213261" s="5"/>
      <c r="AB213261" s="5"/>
      <c r="AE213261" s="5"/>
      <c r="AH213261" s="5"/>
      <c r="AK213261" s="5"/>
    </row>
    <row r="213271" spans="25:37" x14ac:dyDescent="0.2">
      <c r="Y213271" s="251"/>
      <c r="AB213271" s="251"/>
      <c r="AE213271" s="251"/>
      <c r="AH213271" s="251"/>
      <c r="AK213271" s="251"/>
    </row>
    <row r="213386" spans="25:37" x14ac:dyDescent="0.2">
      <c r="Y213386" s="5"/>
      <c r="AB213386" s="5"/>
      <c r="AE213386" s="5"/>
      <c r="AH213386" s="5"/>
      <c r="AK213386" s="5"/>
    </row>
    <row r="213396" spans="25:37" x14ac:dyDescent="0.2">
      <c r="Y213396" s="251"/>
      <c r="AB213396" s="251"/>
      <c r="AE213396" s="251"/>
      <c r="AH213396" s="251"/>
      <c r="AK213396" s="251"/>
    </row>
    <row r="213511" spans="25:37" x14ac:dyDescent="0.2">
      <c r="Y213511" s="5"/>
      <c r="AB213511" s="5"/>
      <c r="AE213511" s="5"/>
      <c r="AH213511" s="5"/>
      <c r="AK213511" s="5"/>
    </row>
    <row r="213521" spans="25:37" x14ac:dyDescent="0.2">
      <c r="Y213521" s="251"/>
      <c r="AB213521" s="251"/>
      <c r="AE213521" s="251"/>
      <c r="AH213521" s="251"/>
      <c r="AK213521" s="251"/>
    </row>
    <row r="213636" spans="25:37" x14ac:dyDescent="0.2">
      <c r="Y213636" s="5"/>
      <c r="AB213636" s="5"/>
      <c r="AE213636" s="5"/>
      <c r="AH213636" s="5"/>
      <c r="AK213636" s="5"/>
    </row>
    <row r="213646" spans="25:37" x14ac:dyDescent="0.2">
      <c r="Y213646" s="251"/>
      <c r="AB213646" s="251"/>
      <c r="AE213646" s="251"/>
      <c r="AH213646" s="251"/>
      <c r="AK213646" s="251"/>
    </row>
    <row r="213761" spans="25:37" x14ac:dyDescent="0.2">
      <c r="Y213761" s="5"/>
      <c r="AB213761" s="5"/>
      <c r="AE213761" s="5"/>
      <c r="AH213761" s="5"/>
      <c r="AK213761" s="5"/>
    </row>
    <row r="213771" spans="25:37" x14ac:dyDescent="0.2">
      <c r="Y213771" s="251"/>
      <c r="AB213771" s="251"/>
      <c r="AE213771" s="251"/>
      <c r="AH213771" s="251"/>
      <c r="AK213771" s="251"/>
    </row>
    <row r="213886" spans="25:37" x14ac:dyDescent="0.2">
      <c r="Y213886" s="5"/>
      <c r="AB213886" s="5"/>
      <c r="AE213886" s="5"/>
      <c r="AH213886" s="5"/>
      <c r="AK213886" s="5"/>
    </row>
    <row r="213896" spans="25:37" x14ac:dyDescent="0.2">
      <c r="Y213896" s="251"/>
      <c r="AB213896" s="251"/>
      <c r="AE213896" s="251"/>
      <c r="AH213896" s="251"/>
      <c r="AK213896" s="251"/>
    </row>
    <row r="214011" spans="25:37" x14ac:dyDescent="0.2">
      <c r="Y214011" s="5"/>
      <c r="AB214011" s="5"/>
      <c r="AE214011" s="5"/>
      <c r="AH214011" s="5"/>
      <c r="AK214011" s="5"/>
    </row>
    <row r="214021" spans="25:37" x14ac:dyDescent="0.2">
      <c r="Y214021" s="251"/>
      <c r="AB214021" s="251"/>
      <c r="AE214021" s="251"/>
      <c r="AH214021" s="251"/>
      <c r="AK214021" s="251"/>
    </row>
    <row r="214136" spans="25:37" x14ac:dyDescent="0.2">
      <c r="Y214136" s="5"/>
      <c r="AB214136" s="5"/>
      <c r="AE214136" s="5"/>
      <c r="AH214136" s="5"/>
      <c r="AK214136" s="5"/>
    </row>
    <row r="214146" spans="25:37" x14ac:dyDescent="0.2">
      <c r="Y214146" s="251"/>
      <c r="AB214146" s="251"/>
      <c r="AE214146" s="251"/>
      <c r="AH214146" s="251"/>
      <c r="AK214146" s="251"/>
    </row>
    <row r="214261" spans="25:37" x14ac:dyDescent="0.2">
      <c r="Y214261" s="5"/>
      <c r="AB214261" s="5"/>
      <c r="AE214261" s="5"/>
      <c r="AH214261" s="5"/>
      <c r="AK214261" s="5"/>
    </row>
    <row r="214271" spans="25:37" x14ac:dyDescent="0.2">
      <c r="Y214271" s="251"/>
      <c r="AB214271" s="251"/>
      <c r="AE214271" s="251"/>
      <c r="AH214271" s="251"/>
      <c r="AK214271" s="251"/>
    </row>
    <row r="214386" spans="25:37" x14ac:dyDescent="0.2">
      <c r="Y214386" s="5"/>
      <c r="AB214386" s="5"/>
      <c r="AE214386" s="5"/>
      <c r="AH214386" s="5"/>
      <c r="AK214386" s="5"/>
    </row>
    <row r="214396" spans="25:37" x14ac:dyDescent="0.2">
      <c r="Y214396" s="251"/>
      <c r="AB214396" s="251"/>
      <c r="AE214396" s="251"/>
      <c r="AH214396" s="251"/>
      <c r="AK214396" s="251"/>
    </row>
    <row r="214511" spans="25:37" x14ac:dyDescent="0.2">
      <c r="Y214511" s="5"/>
      <c r="AB214511" s="5"/>
      <c r="AE214511" s="5"/>
      <c r="AH214511" s="5"/>
      <c r="AK214511" s="5"/>
    </row>
    <row r="214521" spans="25:37" x14ac:dyDescent="0.2">
      <c r="Y214521" s="251"/>
      <c r="AB214521" s="251"/>
      <c r="AE214521" s="251"/>
      <c r="AH214521" s="251"/>
      <c r="AK214521" s="251"/>
    </row>
    <row r="214636" spans="25:37" x14ac:dyDescent="0.2">
      <c r="Y214636" s="5"/>
      <c r="AB214636" s="5"/>
      <c r="AE214636" s="5"/>
      <c r="AH214636" s="5"/>
      <c r="AK214636" s="5"/>
    </row>
    <row r="214646" spans="25:37" x14ac:dyDescent="0.2">
      <c r="Y214646" s="251"/>
      <c r="AB214646" s="251"/>
      <c r="AE214646" s="251"/>
      <c r="AH214646" s="251"/>
      <c r="AK214646" s="251"/>
    </row>
    <row r="214761" spans="25:37" x14ac:dyDescent="0.2">
      <c r="Y214761" s="5"/>
      <c r="AB214761" s="5"/>
      <c r="AE214761" s="5"/>
      <c r="AH214761" s="5"/>
      <c r="AK214761" s="5"/>
    </row>
    <row r="214771" spans="25:37" x14ac:dyDescent="0.2">
      <c r="Y214771" s="251"/>
      <c r="AB214771" s="251"/>
      <c r="AE214771" s="251"/>
      <c r="AH214771" s="251"/>
      <c r="AK214771" s="251"/>
    </row>
    <row r="214886" spans="25:37" x14ac:dyDescent="0.2">
      <c r="Y214886" s="5"/>
      <c r="AB214886" s="5"/>
      <c r="AE214886" s="5"/>
      <c r="AH214886" s="5"/>
      <c r="AK214886" s="5"/>
    </row>
    <row r="214896" spans="25:37" x14ac:dyDescent="0.2">
      <c r="Y214896" s="251"/>
      <c r="AB214896" s="251"/>
      <c r="AE214896" s="251"/>
      <c r="AH214896" s="251"/>
      <c r="AK214896" s="251"/>
    </row>
    <row r="215011" spans="25:37" x14ac:dyDescent="0.2">
      <c r="Y215011" s="5"/>
      <c r="AB215011" s="5"/>
      <c r="AE215011" s="5"/>
      <c r="AH215011" s="5"/>
      <c r="AK215011" s="5"/>
    </row>
    <row r="215021" spans="25:37" x14ac:dyDescent="0.2">
      <c r="Y215021" s="251"/>
      <c r="AB215021" s="251"/>
      <c r="AE215021" s="251"/>
      <c r="AH215021" s="251"/>
      <c r="AK215021" s="251"/>
    </row>
    <row r="215136" spans="25:37" x14ac:dyDescent="0.2">
      <c r="Y215136" s="5"/>
      <c r="AB215136" s="5"/>
      <c r="AE215136" s="5"/>
      <c r="AH215136" s="5"/>
      <c r="AK215136" s="5"/>
    </row>
    <row r="215146" spans="25:37" x14ac:dyDescent="0.2">
      <c r="Y215146" s="251"/>
      <c r="AB215146" s="251"/>
      <c r="AE215146" s="251"/>
      <c r="AH215146" s="251"/>
      <c r="AK215146" s="251"/>
    </row>
    <row r="215261" spans="25:37" x14ac:dyDescent="0.2">
      <c r="Y215261" s="5"/>
      <c r="AB215261" s="5"/>
      <c r="AE215261" s="5"/>
      <c r="AH215261" s="5"/>
      <c r="AK215261" s="5"/>
    </row>
    <row r="215271" spans="25:37" x14ac:dyDescent="0.2">
      <c r="Y215271" s="251"/>
      <c r="AB215271" s="251"/>
      <c r="AE215271" s="251"/>
      <c r="AH215271" s="251"/>
      <c r="AK215271" s="251"/>
    </row>
    <row r="215386" spans="25:37" x14ac:dyDescent="0.2">
      <c r="Y215386" s="5"/>
      <c r="AB215386" s="5"/>
      <c r="AE215386" s="5"/>
      <c r="AH215386" s="5"/>
      <c r="AK215386" s="5"/>
    </row>
    <row r="215396" spans="25:37" x14ac:dyDescent="0.2">
      <c r="Y215396" s="251"/>
      <c r="AB215396" s="251"/>
      <c r="AE215396" s="251"/>
      <c r="AH215396" s="251"/>
      <c r="AK215396" s="251"/>
    </row>
    <row r="215511" spans="25:37" x14ac:dyDescent="0.2">
      <c r="Y215511" s="5"/>
      <c r="AB215511" s="5"/>
      <c r="AE215511" s="5"/>
      <c r="AH215511" s="5"/>
      <c r="AK215511" s="5"/>
    </row>
    <row r="215521" spans="25:37" x14ac:dyDescent="0.2">
      <c r="Y215521" s="251"/>
      <c r="AB215521" s="251"/>
      <c r="AE215521" s="251"/>
      <c r="AH215521" s="251"/>
      <c r="AK215521" s="251"/>
    </row>
    <row r="215636" spans="25:37" x14ac:dyDescent="0.2">
      <c r="Y215636" s="5"/>
      <c r="AB215636" s="5"/>
      <c r="AE215636" s="5"/>
      <c r="AH215636" s="5"/>
      <c r="AK215636" s="5"/>
    </row>
    <row r="215646" spans="25:37" x14ac:dyDescent="0.2">
      <c r="Y215646" s="251"/>
      <c r="AB215646" s="251"/>
      <c r="AE215646" s="251"/>
      <c r="AH215646" s="251"/>
      <c r="AK215646" s="251"/>
    </row>
    <row r="215761" spans="25:37" x14ac:dyDescent="0.2">
      <c r="Y215761" s="5"/>
      <c r="AB215761" s="5"/>
      <c r="AE215761" s="5"/>
      <c r="AH215761" s="5"/>
      <c r="AK215761" s="5"/>
    </row>
    <row r="215771" spans="25:37" x14ac:dyDescent="0.2">
      <c r="Y215771" s="251"/>
      <c r="AB215771" s="251"/>
      <c r="AE215771" s="251"/>
      <c r="AH215771" s="251"/>
      <c r="AK215771" s="251"/>
    </row>
    <row r="215886" spans="25:37" x14ac:dyDescent="0.2">
      <c r="Y215886" s="5"/>
      <c r="AB215886" s="5"/>
      <c r="AE215886" s="5"/>
      <c r="AH215886" s="5"/>
      <c r="AK215886" s="5"/>
    </row>
    <row r="215896" spans="25:37" x14ac:dyDescent="0.2">
      <c r="Y215896" s="251"/>
      <c r="AB215896" s="251"/>
      <c r="AE215896" s="251"/>
      <c r="AH215896" s="251"/>
      <c r="AK215896" s="251"/>
    </row>
    <row r="216011" spans="25:37" x14ac:dyDescent="0.2">
      <c r="Y216011" s="5"/>
      <c r="AB216011" s="5"/>
      <c r="AE216011" s="5"/>
      <c r="AH216011" s="5"/>
      <c r="AK216011" s="5"/>
    </row>
    <row r="216021" spans="25:37" x14ac:dyDescent="0.2">
      <c r="Y216021" s="251"/>
      <c r="AB216021" s="251"/>
      <c r="AE216021" s="251"/>
      <c r="AH216021" s="251"/>
      <c r="AK216021" s="251"/>
    </row>
    <row r="216136" spans="25:37" x14ac:dyDescent="0.2">
      <c r="Y216136" s="5"/>
      <c r="AB216136" s="5"/>
      <c r="AE216136" s="5"/>
      <c r="AH216136" s="5"/>
      <c r="AK216136" s="5"/>
    </row>
    <row r="216146" spans="25:37" x14ac:dyDescent="0.2">
      <c r="Y216146" s="251"/>
      <c r="AB216146" s="251"/>
      <c r="AE216146" s="251"/>
      <c r="AH216146" s="251"/>
      <c r="AK216146" s="251"/>
    </row>
    <row r="216261" spans="25:37" x14ac:dyDescent="0.2">
      <c r="Y216261" s="5"/>
      <c r="AB216261" s="5"/>
      <c r="AE216261" s="5"/>
      <c r="AH216261" s="5"/>
      <c r="AK216261" s="5"/>
    </row>
    <row r="216271" spans="25:37" x14ac:dyDescent="0.2">
      <c r="Y216271" s="251"/>
      <c r="AB216271" s="251"/>
      <c r="AE216271" s="251"/>
      <c r="AH216271" s="251"/>
      <c r="AK216271" s="251"/>
    </row>
    <row r="216386" spans="25:37" x14ac:dyDescent="0.2">
      <c r="Y216386" s="5"/>
      <c r="AB216386" s="5"/>
      <c r="AE216386" s="5"/>
      <c r="AH216386" s="5"/>
      <c r="AK216386" s="5"/>
    </row>
    <row r="216396" spans="25:37" x14ac:dyDescent="0.2">
      <c r="Y216396" s="251"/>
      <c r="AB216396" s="251"/>
      <c r="AE216396" s="251"/>
      <c r="AH216396" s="251"/>
      <c r="AK216396" s="251"/>
    </row>
    <row r="216511" spans="25:37" x14ac:dyDescent="0.2">
      <c r="Y216511" s="5"/>
      <c r="AB216511" s="5"/>
      <c r="AE216511" s="5"/>
      <c r="AH216511" s="5"/>
      <c r="AK216511" s="5"/>
    </row>
    <row r="216521" spans="25:37" x14ac:dyDescent="0.2">
      <c r="Y216521" s="251"/>
      <c r="AB216521" s="251"/>
      <c r="AE216521" s="251"/>
      <c r="AH216521" s="251"/>
      <c r="AK216521" s="251"/>
    </row>
    <row r="216636" spans="25:37" x14ac:dyDescent="0.2">
      <c r="Y216636" s="5"/>
      <c r="AB216636" s="5"/>
      <c r="AE216636" s="5"/>
      <c r="AH216636" s="5"/>
      <c r="AK216636" s="5"/>
    </row>
    <row r="216646" spans="25:37" x14ac:dyDescent="0.2">
      <c r="Y216646" s="251"/>
      <c r="AB216646" s="251"/>
      <c r="AE216646" s="251"/>
      <c r="AH216646" s="251"/>
      <c r="AK216646" s="251"/>
    </row>
    <row r="216761" spans="25:37" x14ac:dyDescent="0.2">
      <c r="Y216761" s="5"/>
      <c r="AB216761" s="5"/>
      <c r="AE216761" s="5"/>
      <c r="AH216761" s="5"/>
      <c r="AK216761" s="5"/>
    </row>
    <row r="216771" spans="25:37" x14ac:dyDescent="0.2">
      <c r="Y216771" s="251"/>
      <c r="AB216771" s="251"/>
      <c r="AE216771" s="251"/>
      <c r="AH216771" s="251"/>
      <c r="AK216771" s="251"/>
    </row>
    <row r="216886" spans="25:37" x14ac:dyDescent="0.2">
      <c r="Y216886" s="5"/>
      <c r="AB216886" s="5"/>
      <c r="AE216886" s="5"/>
      <c r="AH216886" s="5"/>
      <c r="AK216886" s="5"/>
    </row>
    <row r="216896" spans="25:37" x14ac:dyDescent="0.2">
      <c r="Y216896" s="251"/>
      <c r="AB216896" s="251"/>
      <c r="AE216896" s="251"/>
      <c r="AH216896" s="251"/>
      <c r="AK216896" s="251"/>
    </row>
    <row r="217011" spans="25:37" x14ac:dyDescent="0.2">
      <c r="Y217011" s="5"/>
      <c r="AB217011" s="5"/>
      <c r="AE217011" s="5"/>
      <c r="AH217011" s="5"/>
      <c r="AK217011" s="5"/>
    </row>
    <row r="217021" spans="25:37" x14ac:dyDescent="0.2">
      <c r="Y217021" s="251"/>
      <c r="AB217021" s="251"/>
      <c r="AE217021" s="251"/>
      <c r="AH217021" s="251"/>
      <c r="AK217021" s="251"/>
    </row>
    <row r="217136" spans="25:37" x14ac:dyDescent="0.2">
      <c r="Y217136" s="5"/>
      <c r="AB217136" s="5"/>
      <c r="AE217136" s="5"/>
      <c r="AH217136" s="5"/>
      <c r="AK217136" s="5"/>
    </row>
    <row r="217146" spans="25:37" x14ac:dyDescent="0.2">
      <c r="Y217146" s="251"/>
      <c r="AB217146" s="251"/>
      <c r="AE217146" s="251"/>
      <c r="AH217146" s="251"/>
      <c r="AK217146" s="251"/>
    </row>
    <row r="217261" spans="25:37" x14ac:dyDescent="0.2">
      <c r="Y217261" s="5"/>
      <c r="AB217261" s="5"/>
      <c r="AE217261" s="5"/>
      <c r="AH217261" s="5"/>
      <c r="AK217261" s="5"/>
    </row>
    <row r="217271" spans="25:37" x14ac:dyDescent="0.2">
      <c r="Y217271" s="251"/>
      <c r="AB217271" s="251"/>
      <c r="AE217271" s="251"/>
      <c r="AH217271" s="251"/>
      <c r="AK217271" s="251"/>
    </row>
    <row r="217386" spans="25:37" x14ac:dyDescent="0.2">
      <c r="Y217386" s="5"/>
      <c r="AB217386" s="5"/>
      <c r="AE217386" s="5"/>
      <c r="AH217386" s="5"/>
      <c r="AK217386" s="5"/>
    </row>
    <row r="217396" spans="25:37" x14ac:dyDescent="0.2">
      <c r="Y217396" s="251"/>
      <c r="AB217396" s="251"/>
      <c r="AE217396" s="251"/>
      <c r="AH217396" s="251"/>
      <c r="AK217396" s="251"/>
    </row>
    <row r="217511" spans="25:37" x14ac:dyDescent="0.2">
      <c r="Y217511" s="5"/>
      <c r="AB217511" s="5"/>
      <c r="AE217511" s="5"/>
      <c r="AH217511" s="5"/>
      <c r="AK217511" s="5"/>
    </row>
    <row r="217521" spans="25:37" x14ac:dyDescent="0.2">
      <c r="Y217521" s="251"/>
      <c r="AB217521" s="251"/>
      <c r="AE217521" s="251"/>
      <c r="AH217521" s="251"/>
      <c r="AK217521" s="251"/>
    </row>
    <row r="217636" spans="25:37" x14ac:dyDescent="0.2">
      <c r="Y217636" s="5"/>
      <c r="AB217636" s="5"/>
      <c r="AE217636" s="5"/>
      <c r="AH217636" s="5"/>
      <c r="AK217636" s="5"/>
    </row>
    <row r="217646" spans="25:37" x14ac:dyDescent="0.2">
      <c r="Y217646" s="251"/>
      <c r="AB217646" s="251"/>
      <c r="AE217646" s="251"/>
      <c r="AH217646" s="251"/>
      <c r="AK217646" s="251"/>
    </row>
    <row r="217761" spans="25:37" x14ac:dyDescent="0.2">
      <c r="Y217761" s="5"/>
      <c r="AB217761" s="5"/>
      <c r="AE217761" s="5"/>
      <c r="AH217761" s="5"/>
      <c r="AK217761" s="5"/>
    </row>
    <row r="217771" spans="25:37" x14ac:dyDescent="0.2">
      <c r="Y217771" s="251"/>
      <c r="AB217771" s="251"/>
      <c r="AE217771" s="251"/>
      <c r="AH217771" s="251"/>
      <c r="AK217771" s="251"/>
    </row>
    <row r="217886" spans="25:37" x14ac:dyDescent="0.2">
      <c r="Y217886" s="5"/>
      <c r="AB217886" s="5"/>
      <c r="AE217886" s="5"/>
      <c r="AH217886" s="5"/>
      <c r="AK217886" s="5"/>
    </row>
    <row r="217896" spans="25:37" x14ac:dyDescent="0.2">
      <c r="Y217896" s="251"/>
      <c r="AB217896" s="251"/>
      <c r="AE217896" s="251"/>
      <c r="AH217896" s="251"/>
      <c r="AK217896" s="251"/>
    </row>
    <row r="218011" spans="25:37" x14ac:dyDescent="0.2">
      <c r="Y218011" s="5"/>
      <c r="AB218011" s="5"/>
      <c r="AE218011" s="5"/>
      <c r="AH218011" s="5"/>
      <c r="AK218011" s="5"/>
    </row>
    <row r="218021" spans="25:37" x14ac:dyDescent="0.2">
      <c r="Y218021" s="251"/>
      <c r="AB218021" s="251"/>
      <c r="AE218021" s="251"/>
      <c r="AH218021" s="251"/>
      <c r="AK218021" s="251"/>
    </row>
    <row r="218136" spans="25:37" x14ac:dyDescent="0.2">
      <c r="Y218136" s="5"/>
      <c r="AB218136" s="5"/>
      <c r="AE218136" s="5"/>
      <c r="AH218136" s="5"/>
      <c r="AK218136" s="5"/>
    </row>
    <row r="218146" spans="25:37" x14ac:dyDescent="0.2">
      <c r="Y218146" s="251"/>
      <c r="AB218146" s="251"/>
      <c r="AE218146" s="251"/>
      <c r="AH218146" s="251"/>
      <c r="AK218146" s="251"/>
    </row>
    <row r="218261" spans="25:37" x14ac:dyDescent="0.2">
      <c r="Y218261" s="5"/>
      <c r="AB218261" s="5"/>
      <c r="AE218261" s="5"/>
      <c r="AH218261" s="5"/>
      <c r="AK218261" s="5"/>
    </row>
    <row r="218271" spans="25:37" x14ac:dyDescent="0.2">
      <c r="Y218271" s="251"/>
      <c r="AB218271" s="251"/>
      <c r="AE218271" s="251"/>
      <c r="AH218271" s="251"/>
      <c r="AK218271" s="251"/>
    </row>
    <row r="218386" spans="25:37" x14ac:dyDescent="0.2">
      <c r="Y218386" s="5"/>
      <c r="AB218386" s="5"/>
      <c r="AE218386" s="5"/>
      <c r="AH218386" s="5"/>
      <c r="AK218386" s="5"/>
    </row>
    <row r="218396" spans="25:37" x14ac:dyDescent="0.2">
      <c r="Y218396" s="251"/>
      <c r="AB218396" s="251"/>
      <c r="AE218396" s="251"/>
      <c r="AH218396" s="251"/>
      <c r="AK218396" s="251"/>
    </row>
    <row r="218511" spans="25:37" x14ac:dyDescent="0.2">
      <c r="Y218511" s="5"/>
      <c r="AB218511" s="5"/>
      <c r="AE218511" s="5"/>
      <c r="AH218511" s="5"/>
      <c r="AK218511" s="5"/>
    </row>
    <row r="218521" spans="25:37" x14ac:dyDescent="0.2">
      <c r="Y218521" s="251"/>
      <c r="AB218521" s="251"/>
      <c r="AE218521" s="251"/>
      <c r="AH218521" s="251"/>
      <c r="AK218521" s="251"/>
    </row>
    <row r="218636" spans="25:37" x14ac:dyDescent="0.2">
      <c r="Y218636" s="5"/>
      <c r="AB218636" s="5"/>
      <c r="AE218636" s="5"/>
      <c r="AH218636" s="5"/>
      <c r="AK218636" s="5"/>
    </row>
    <row r="218646" spans="25:37" x14ac:dyDescent="0.2">
      <c r="Y218646" s="251"/>
      <c r="AB218646" s="251"/>
      <c r="AE218646" s="251"/>
      <c r="AH218646" s="251"/>
      <c r="AK218646" s="251"/>
    </row>
    <row r="218761" spans="25:37" x14ac:dyDescent="0.2">
      <c r="Y218761" s="5"/>
      <c r="AB218761" s="5"/>
      <c r="AE218761" s="5"/>
      <c r="AH218761" s="5"/>
      <c r="AK218761" s="5"/>
    </row>
    <row r="218771" spans="25:37" x14ac:dyDescent="0.2">
      <c r="Y218771" s="251"/>
      <c r="AB218771" s="251"/>
      <c r="AE218771" s="251"/>
      <c r="AH218771" s="251"/>
      <c r="AK218771" s="251"/>
    </row>
    <row r="218886" spans="25:37" x14ac:dyDescent="0.2">
      <c r="Y218886" s="5"/>
      <c r="AB218886" s="5"/>
      <c r="AE218886" s="5"/>
      <c r="AH218886" s="5"/>
      <c r="AK218886" s="5"/>
    </row>
    <row r="218896" spans="25:37" x14ac:dyDescent="0.2">
      <c r="Y218896" s="251"/>
      <c r="AB218896" s="251"/>
      <c r="AE218896" s="251"/>
      <c r="AH218896" s="251"/>
      <c r="AK218896" s="251"/>
    </row>
    <row r="219011" spans="25:37" x14ac:dyDescent="0.2">
      <c r="Y219011" s="5"/>
      <c r="AB219011" s="5"/>
      <c r="AE219011" s="5"/>
      <c r="AH219011" s="5"/>
      <c r="AK219011" s="5"/>
    </row>
    <row r="219021" spans="25:37" x14ac:dyDescent="0.2">
      <c r="Y219021" s="251"/>
      <c r="AB219021" s="251"/>
      <c r="AE219021" s="251"/>
      <c r="AH219021" s="251"/>
      <c r="AK219021" s="251"/>
    </row>
    <row r="219136" spans="25:37" x14ac:dyDescent="0.2">
      <c r="Y219136" s="5"/>
      <c r="AB219136" s="5"/>
      <c r="AE219136" s="5"/>
      <c r="AH219136" s="5"/>
      <c r="AK219136" s="5"/>
    </row>
    <row r="219146" spans="25:37" x14ac:dyDescent="0.2">
      <c r="Y219146" s="251"/>
      <c r="AB219146" s="251"/>
      <c r="AE219146" s="251"/>
      <c r="AH219146" s="251"/>
      <c r="AK219146" s="251"/>
    </row>
    <row r="219261" spans="25:37" x14ac:dyDescent="0.2">
      <c r="Y219261" s="5"/>
      <c r="AB219261" s="5"/>
      <c r="AE219261" s="5"/>
      <c r="AH219261" s="5"/>
      <c r="AK219261" s="5"/>
    </row>
    <row r="219271" spans="25:37" x14ac:dyDescent="0.2">
      <c r="Y219271" s="251"/>
      <c r="AB219271" s="251"/>
      <c r="AE219271" s="251"/>
      <c r="AH219271" s="251"/>
      <c r="AK219271" s="251"/>
    </row>
    <row r="219386" spans="25:37" x14ac:dyDescent="0.2">
      <c r="Y219386" s="5"/>
      <c r="AB219386" s="5"/>
      <c r="AE219386" s="5"/>
      <c r="AH219386" s="5"/>
      <c r="AK219386" s="5"/>
    </row>
    <row r="219396" spans="25:37" x14ac:dyDescent="0.2">
      <c r="Y219396" s="251"/>
      <c r="AB219396" s="251"/>
      <c r="AE219396" s="251"/>
      <c r="AH219396" s="251"/>
      <c r="AK219396" s="251"/>
    </row>
    <row r="219511" spans="25:37" x14ac:dyDescent="0.2">
      <c r="Y219511" s="5"/>
      <c r="AB219511" s="5"/>
      <c r="AE219511" s="5"/>
      <c r="AH219511" s="5"/>
      <c r="AK219511" s="5"/>
    </row>
    <row r="219521" spans="25:37" x14ac:dyDescent="0.2">
      <c r="Y219521" s="251"/>
      <c r="AB219521" s="251"/>
      <c r="AE219521" s="251"/>
      <c r="AH219521" s="251"/>
      <c r="AK219521" s="251"/>
    </row>
    <row r="219636" spans="25:37" x14ac:dyDescent="0.2">
      <c r="Y219636" s="5"/>
      <c r="AB219636" s="5"/>
      <c r="AE219636" s="5"/>
      <c r="AH219636" s="5"/>
      <c r="AK219636" s="5"/>
    </row>
    <row r="219646" spans="25:37" x14ac:dyDescent="0.2">
      <c r="Y219646" s="251"/>
      <c r="AB219646" s="251"/>
      <c r="AE219646" s="251"/>
      <c r="AH219646" s="251"/>
      <c r="AK219646" s="251"/>
    </row>
    <row r="219761" spans="25:37" x14ac:dyDescent="0.2">
      <c r="Y219761" s="5"/>
      <c r="AB219761" s="5"/>
      <c r="AE219761" s="5"/>
      <c r="AH219761" s="5"/>
      <c r="AK219761" s="5"/>
    </row>
    <row r="219771" spans="25:37" x14ac:dyDescent="0.2">
      <c r="Y219771" s="251"/>
      <c r="AB219771" s="251"/>
      <c r="AE219771" s="251"/>
      <c r="AH219771" s="251"/>
      <c r="AK219771" s="251"/>
    </row>
    <row r="219886" spans="25:37" x14ac:dyDescent="0.2">
      <c r="Y219886" s="5"/>
      <c r="AB219886" s="5"/>
      <c r="AE219886" s="5"/>
      <c r="AH219886" s="5"/>
      <c r="AK219886" s="5"/>
    </row>
    <row r="219896" spans="25:37" x14ac:dyDescent="0.2">
      <c r="Y219896" s="251"/>
      <c r="AB219896" s="251"/>
      <c r="AE219896" s="251"/>
      <c r="AH219896" s="251"/>
      <c r="AK219896" s="251"/>
    </row>
    <row r="220011" spans="25:37" x14ac:dyDescent="0.2">
      <c r="Y220011" s="5"/>
      <c r="AB220011" s="5"/>
      <c r="AE220011" s="5"/>
      <c r="AH220011" s="5"/>
      <c r="AK220011" s="5"/>
    </row>
    <row r="220021" spans="25:37" x14ac:dyDescent="0.2">
      <c r="Y220021" s="251"/>
      <c r="AB220021" s="251"/>
      <c r="AE220021" s="251"/>
      <c r="AH220021" s="251"/>
      <c r="AK220021" s="251"/>
    </row>
    <row r="220136" spans="25:37" x14ac:dyDescent="0.2">
      <c r="Y220136" s="5"/>
      <c r="AB220136" s="5"/>
      <c r="AE220136" s="5"/>
      <c r="AH220136" s="5"/>
      <c r="AK220136" s="5"/>
    </row>
    <row r="220146" spans="25:37" x14ac:dyDescent="0.2">
      <c r="Y220146" s="251"/>
      <c r="AB220146" s="251"/>
      <c r="AE220146" s="251"/>
      <c r="AH220146" s="251"/>
      <c r="AK220146" s="251"/>
    </row>
    <row r="220261" spans="25:37" x14ac:dyDescent="0.2">
      <c r="Y220261" s="5"/>
      <c r="AB220261" s="5"/>
      <c r="AE220261" s="5"/>
      <c r="AH220261" s="5"/>
      <c r="AK220261" s="5"/>
    </row>
    <row r="220271" spans="25:37" x14ac:dyDescent="0.2">
      <c r="Y220271" s="251"/>
      <c r="AB220271" s="251"/>
      <c r="AE220271" s="251"/>
      <c r="AH220271" s="251"/>
      <c r="AK220271" s="251"/>
    </row>
    <row r="220386" spans="25:37" x14ac:dyDescent="0.2">
      <c r="Y220386" s="5"/>
      <c r="AB220386" s="5"/>
      <c r="AE220386" s="5"/>
      <c r="AH220386" s="5"/>
      <c r="AK220386" s="5"/>
    </row>
    <row r="220396" spans="25:37" x14ac:dyDescent="0.2">
      <c r="Y220396" s="251"/>
      <c r="AB220396" s="251"/>
      <c r="AE220396" s="251"/>
      <c r="AH220396" s="251"/>
      <c r="AK220396" s="251"/>
    </row>
    <row r="220511" spans="25:37" x14ac:dyDescent="0.2">
      <c r="Y220511" s="5"/>
      <c r="AB220511" s="5"/>
      <c r="AE220511" s="5"/>
      <c r="AH220511" s="5"/>
      <c r="AK220511" s="5"/>
    </row>
    <row r="220521" spans="25:37" x14ac:dyDescent="0.2">
      <c r="Y220521" s="251"/>
      <c r="AB220521" s="251"/>
      <c r="AE220521" s="251"/>
      <c r="AH220521" s="251"/>
      <c r="AK220521" s="251"/>
    </row>
    <row r="220636" spans="25:37" x14ac:dyDescent="0.2">
      <c r="Y220636" s="5"/>
      <c r="AB220636" s="5"/>
      <c r="AE220636" s="5"/>
      <c r="AH220636" s="5"/>
      <c r="AK220636" s="5"/>
    </row>
    <row r="220646" spans="25:37" x14ac:dyDescent="0.2">
      <c r="Y220646" s="251"/>
      <c r="AB220646" s="251"/>
      <c r="AE220646" s="251"/>
      <c r="AH220646" s="251"/>
      <c r="AK220646" s="251"/>
    </row>
    <row r="220761" spans="25:37" x14ac:dyDescent="0.2">
      <c r="Y220761" s="5"/>
      <c r="AB220761" s="5"/>
      <c r="AE220761" s="5"/>
      <c r="AH220761" s="5"/>
      <c r="AK220761" s="5"/>
    </row>
    <row r="220771" spans="25:37" x14ac:dyDescent="0.2">
      <c r="Y220771" s="251"/>
      <c r="AB220771" s="251"/>
      <c r="AE220771" s="251"/>
      <c r="AH220771" s="251"/>
      <c r="AK220771" s="251"/>
    </row>
    <row r="220886" spans="25:37" x14ac:dyDescent="0.2">
      <c r="Y220886" s="5"/>
      <c r="AB220886" s="5"/>
      <c r="AE220886" s="5"/>
      <c r="AH220886" s="5"/>
      <c r="AK220886" s="5"/>
    </row>
    <row r="220896" spans="25:37" x14ac:dyDescent="0.2">
      <c r="Y220896" s="251"/>
      <c r="AB220896" s="251"/>
      <c r="AE220896" s="251"/>
      <c r="AH220896" s="251"/>
      <c r="AK220896" s="251"/>
    </row>
    <row r="221011" spans="25:37" x14ac:dyDescent="0.2">
      <c r="Y221011" s="5"/>
      <c r="AB221011" s="5"/>
      <c r="AE221011" s="5"/>
      <c r="AH221011" s="5"/>
      <c r="AK221011" s="5"/>
    </row>
    <row r="221021" spans="25:37" x14ac:dyDescent="0.2">
      <c r="Y221021" s="251"/>
      <c r="AB221021" s="251"/>
      <c r="AE221021" s="251"/>
      <c r="AH221021" s="251"/>
      <c r="AK221021" s="251"/>
    </row>
    <row r="221136" spans="25:37" x14ac:dyDescent="0.2">
      <c r="Y221136" s="5"/>
      <c r="AB221136" s="5"/>
      <c r="AE221136" s="5"/>
      <c r="AH221136" s="5"/>
      <c r="AK221136" s="5"/>
    </row>
    <row r="221146" spans="25:37" x14ac:dyDescent="0.2">
      <c r="Y221146" s="251"/>
      <c r="AB221146" s="251"/>
      <c r="AE221146" s="251"/>
      <c r="AH221146" s="251"/>
      <c r="AK221146" s="251"/>
    </row>
    <row r="221261" spans="25:37" x14ac:dyDescent="0.2">
      <c r="Y221261" s="5"/>
      <c r="AB221261" s="5"/>
      <c r="AE221261" s="5"/>
      <c r="AH221261" s="5"/>
      <c r="AK221261" s="5"/>
    </row>
    <row r="221271" spans="25:37" x14ac:dyDescent="0.2">
      <c r="Y221271" s="251"/>
      <c r="AB221271" s="251"/>
      <c r="AE221271" s="251"/>
      <c r="AH221271" s="251"/>
      <c r="AK221271" s="251"/>
    </row>
    <row r="221386" spans="25:37" x14ac:dyDescent="0.2">
      <c r="Y221386" s="5"/>
      <c r="AB221386" s="5"/>
      <c r="AE221386" s="5"/>
      <c r="AH221386" s="5"/>
      <c r="AK221386" s="5"/>
    </row>
    <row r="221396" spans="25:37" x14ac:dyDescent="0.2">
      <c r="Y221396" s="251"/>
      <c r="AB221396" s="251"/>
      <c r="AE221396" s="251"/>
      <c r="AH221396" s="251"/>
      <c r="AK221396" s="251"/>
    </row>
    <row r="221511" spans="25:37" x14ac:dyDescent="0.2">
      <c r="Y221511" s="5"/>
      <c r="AB221511" s="5"/>
      <c r="AE221511" s="5"/>
      <c r="AH221511" s="5"/>
      <c r="AK221511" s="5"/>
    </row>
    <row r="221521" spans="25:37" x14ac:dyDescent="0.2">
      <c r="Y221521" s="251"/>
      <c r="AB221521" s="251"/>
      <c r="AE221521" s="251"/>
      <c r="AH221521" s="251"/>
      <c r="AK221521" s="251"/>
    </row>
    <row r="221636" spans="25:37" x14ac:dyDescent="0.2">
      <c r="Y221636" s="5"/>
      <c r="AB221636" s="5"/>
      <c r="AE221636" s="5"/>
      <c r="AH221636" s="5"/>
      <c r="AK221636" s="5"/>
    </row>
    <row r="221646" spans="25:37" x14ac:dyDescent="0.2">
      <c r="Y221646" s="251"/>
      <c r="AB221646" s="251"/>
      <c r="AE221646" s="251"/>
      <c r="AH221646" s="251"/>
      <c r="AK221646" s="251"/>
    </row>
    <row r="221761" spans="25:37" x14ac:dyDescent="0.2">
      <c r="Y221761" s="5"/>
      <c r="AB221761" s="5"/>
      <c r="AE221761" s="5"/>
      <c r="AH221761" s="5"/>
      <c r="AK221761" s="5"/>
    </row>
    <row r="221771" spans="25:37" x14ac:dyDescent="0.2">
      <c r="Y221771" s="251"/>
      <c r="AB221771" s="251"/>
      <c r="AE221771" s="251"/>
      <c r="AH221771" s="251"/>
      <c r="AK221771" s="251"/>
    </row>
    <row r="221886" spans="25:37" x14ac:dyDescent="0.2">
      <c r="Y221886" s="5"/>
      <c r="AB221886" s="5"/>
      <c r="AE221886" s="5"/>
      <c r="AH221886" s="5"/>
      <c r="AK221886" s="5"/>
    </row>
    <row r="221896" spans="25:37" x14ac:dyDescent="0.2">
      <c r="Y221896" s="251"/>
      <c r="AB221896" s="251"/>
      <c r="AE221896" s="251"/>
      <c r="AH221896" s="251"/>
      <c r="AK221896" s="251"/>
    </row>
    <row r="222011" spans="25:37" x14ac:dyDescent="0.2">
      <c r="Y222011" s="5"/>
      <c r="AB222011" s="5"/>
      <c r="AE222011" s="5"/>
      <c r="AH222011" s="5"/>
      <c r="AK222011" s="5"/>
    </row>
    <row r="222021" spans="25:37" x14ac:dyDescent="0.2">
      <c r="Y222021" s="251"/>
      <c r="AB222021" s="251"/>
      <c r="AE222021" s="251"/>
      <c r="AH222021" s="251"/>
      <c r="AK222021" s="251"/>
    </row>
    <row r="222136" spans="25:37" x14ac:dyDescent="0.2">
      <c r="Y222136" s="5"/>
      <c r="AB222136" s="5"/>
      <c r="AE222136" s="5"/>
      <c r="AH222136" s="5"/>
      <c r="AK222136" s="5"/>
    </row>
    <row r="222146" spans="25:37" x14ac:dyDescent="0.2">
      <c r="Y222146" s="251"/>
      <c r="AB222146" s="251"/>
      <c r="AE222146" s="251"/>
      <c r="AH222146" s="251"/>
      <c r="AK222146" s="251"/>
    </row>
    <row r="222261" spans="25:37" x14ac:dyDescent="0.2">
      <c r="Y222261" s="5"/>
      <c r="AB222261" s="5"/>
      <c r="AE222261" s="5"/>
      <c r="AH222261" s="5"/>
      <c r="AK222261" s="5"/>
    </row>
    <row r="222271" spans="25:37" x14ac:dyDescent="0.2">
      <c r="Y222271" s="251"/>
      <c r="AB222271" s="251"/>
      <c r="AE222271" s="251"/>
      <c r="AH222271" s="251"/>
      <c r="AK222271" s="251"/>
    </row>
    <row r="222386" spans="25:37" x14ac:dyDescent="0.2">
      <c r="Y222386" s="5"/>
      <c r="AB222386" s="5"/>
      <c r="AE222386" s="5"/>
      <c r="AH222386" s="5"/>
      <c r="AK222386" s="5"/>
    </row>
    <row r="222396" spans="25:37" x14ac:dyDescent="0.2">
      <c r="Y222396" s="251"/>
      <c r="AB222396" s="251"/>
      <c r="AE222396" s="251"/>
      <c r="AH222396" s="251"/>
      <c r="AK222396" s="251"/>
    </row>
    <row r="222511" spans="25:37" x14ac:dyDescent="0.2">
      <c r="Y222511" s="5"/>
      <c r="AB222511" s="5"/>
      <c r="AE222511" s="5"/>
      <c r="AH222511" s="5"/>
      <c r="AK222511" s="5"/>
    </row>
    <row r="222521" spans="25:37" x14ac:dyDescent="0.2">
      <c r="Y222521" s="251"/>
      <c r="AB222521" s="251"/>
      <c r="AE222521" s="251"/>
      <c r="AH222521" s="251"/>
      <c r="AK222521" s="251"/>
    </row>
    <row r="222636" spans="25:37" x14ac:dyDescent="0.2">
      <c r="Y222636" s="5"/>
      <c r="AB222636" s="5"/>
      <c r="AE222636" s="5"/>
      <c r="AH222636" s="5"/>
      <c r="AK222636" s="5"/>
    </row>
    <row r="222646" spans="25:37" x14ac:dyDescent="0.2">
      <c r="Y222646" s="251"/>
      <c r="AB222646" s="251"/>
      <c r="AE222646" s="251"/>
      <c r="AH222646" s="251"/>
      <c r="AK222646" s="251"/>
    </row>
    <row r="222761" spans="25:37" x14ac:dyDescent="0.2">
      <c r="Y222761" s="5"/>
      <c r="AB222761" s="5"/>
      <c r="AE222761" s="5"/>
      <c r="AH222761" s="5"/>
      <c r="AK222761" s="5"/>
    </row>
    <row r="222771" spans="25:37" x14ac:dyDescent="0.2">
      <c r="Y222771" s="251"/>
      <c r="AB222771" s="251"/>
      <c r="AE222771" s="251"/>
      <c r="AH222771" s="251"/>
      <c r="AK222771" s="251"/>
    </row>
    <row r="222886" spans="25:37" x14ac:dyDescent="0.2">
      <c r="Y222886" s="5"/>
      <c r="AB222886" s="5"/>
      <c r="AE222886" s="5"/>
      <c r="AH222886" s="5"/>
      <c r="AK222886" s="5"/>
    </row>
    <row r="222896" spans="25:37" x14ac:dyDescent="0.2">
      <c r="Y222896" s="251"/>
      <c r="AB222896" s="251"/>
      <c r="AE222896" s="251"/>
      <c r="AH222896" s="251"/>
      <c r="AK222896" s="251"/>
    </row>
    <row r="223011" spans="25:37" x14ac:dyDescent="0.2">
      <c r="Y223011" s="5"/>
      <c r="AB223011" s="5"/>
      <c r="AE223011" s="5"/>
      <c r="AH223011" s="5"/>
      <c r="AK223011" s="5"/>
    </row>
    <row r="223021" spans="25:37" x14ac:dyDescent="0.2">
      <c r="Y223021" s="251"/>
      <c r="AB223021" s="251"/>
      <c r="AE223021" s="251"/>
      <c r="AH223021" s="251"/>
      <c r="AK223021" s="251"/>
    </row>
    <row r="223136" spans="25:37" x14ac:dyDescent="0.2">
      <c r="Y223136" s="5"/>
      <c r="AB223136" s="5"/>
      <c r="AE223136" s="5"/>
      <c r="AH223136" s="5"/>
      <c r="AK223136" s="5"/>
    </row>
    <row r="223146" spans="25:37" x14ac:dyDescent="0.2">
      <c r="Y223146" s="251"/>
      <c r="AB223146" s="251"/>
      <c r="AE223146" s="251"/>
      <c r="AH223146" s="251"/>
      <c r="AK223146" s="251"/>
    </row>
    <row r="223261" spans="25:37" x14ac:dyDescent="0.2">
      <c r="Y223261" s="5"/>
      <c r="AB223261" s="5"/>
      <c r="AE223261" s="5"/>
      <c r="AH223261" s="5"/>
      <c r="AK223261" s="5"/>
    </row>
    <row r="223271" spans="25:37" x14ac:dyDescent="0.2">
      <c r="Y223271" s="251"/>
      <c r="AB223271" s="251"/>
      <c r="AE223271" s="251"/>
      <c r="AH223271" s="251"/>
      <c r="AK223271" s="251"/>
    </row>
    <row r="223386" spans="25:37" x14ac:dyDescent="0.2">
      <c r="Y223386" s="5"/>
      <c r="AB223386" s="5"/>
      <c r="AE223386" s="5"/>
      <c r="AH223386" s="5"/>
      <c r="AK223386" s="5"/>
    </row>
    <row r="223396" spans="25:37" x14ac:dyDescent="0.2">
      <c r="Y223396" s="251"/>
      <c r="AB223396" s="251"/>
      <c r="AE223396" s="251"/>
      <c r="AH223396" s="251"/>
      <c r="AK223396" s="251"/>
    </row>
    <row r="223511" spans="25:37" x14ac:dyDescent="0.2">
      <c r="Y223511" s="5"/>
      <c r="AB223511" s="5"/>
      <c r="AE223511" s="5"/>
      <c r="AH223511" s="5"/>
      <c r="AK223511" s="5"/>
    </row>
    <row r="223521" spans="25:37" x14ac:dyDescent="0.2">
      <c r="Y223521" s="251"/>
      <c r="AB223521" s="251"/>
      <c r="AE223521" s="251"/>
      <c r="AH223521" s="251"/>
      <c r="AK223521" s="251"/>
    </row>
    <row r="223636" spans="25:37" x14ac:dyDescent="0.2">
      <c r="Y223636" s="5"/>
      <c r="AB223636" s="5"/>
      <c r="AE223636" s="5"/>
      <c r="AH223636" s="5"/>
      <c r="AK223636" s="5"/>
    </row>
    <row r="223646" spans="25:37" x14ac:dyDescent="0.2">
      <c r="Y223646" s="251"/>
      <c r="AB223646" s="251"/>
      <c r="AE223646" s="251"/>
      <c r="AH223646" s="251"/>
      <c r="AK223646" s="251"/>
    </row>
    <row r="223761" spans="25:37" x14ac:dyDescent="0.2">
      <c r="Y223761" s="5"/>
      <c r="AB223761" s="5"/>
      <c r="AE223761" s="5"/>
      <c r="AH223761" s="5"/>
      <c r="AK223761" s="5"/>
    </row>
    <row r="223771" spans="25:37" x14ac:dyDescent="0.2">
      <c r="Y223771" s="251"/>
      <c r="AB223771" s="251"/>
      <c r="AE223771" s="251"/>
      <c r="AH223771" s="251"/>
      <c r="AK223771" s="251"/>
    </row>
    <row r="223886" spans="25:37" x14ac:dyDescent="0.2">
      <c r="Y223886" s="5"/>
      <c r="AB223886" s="5"/>
      <c r="AE223886" s="5"/>
      <c r="AH223886" s="5"/>
      <c r="AK223886" s="5"/>
    </row>
    <row r="223896" spans="25:37" x14ac:dyDescent="0.2">
      <c r="Y223896" s="251"/>
      <c r="AB223896" s="251"/>
      <c r="AE223896" s="251"/>
      <c r="AH223896" s="251"/>
      <c r="AK223896" s="251"/>
    </row>
    <row r="224011" spans="25:37" x14ac:dyDescent="0.2">
      <c r="Y224011" s="5"/>
      <c r="AB224011" s="5"/>
      <c r="AE224011" s="5"/>
      <c r="AH224011" s="5"/>
      <c r="AK224011" s="5"/>
    </row>
    <row r="224021" spans="25:37" x14ac:dyDescent="0.2">
      <c r="Y224021" s="251"/>
      <c r="AB224021" s="251"/>
      <c r="AE224021" s="251"/>
      <c r="AH224021" s="251"/>
      <c r="AK224021" s="251"/>
    </row>
    <row r="224136" spans="25:37" x14ac:dyDescent="0.2">
      <c r="Y224136" s="5"/>
      <c r="AB224136" s="5"/>
      <c r="AE224136" s="5"/>
      <c r="AH224136" s="5"/>
      <c r="AK224136" s="5"/>
    </row>
    <row r="224146" spans="25:37" x14ac:dyDescent="0.2">
      <c r="Y224146" s="251"/>
      <c r="AB224146" s="251"/>
      <c r="AE224146" s="251"/>
      <c r="AH224146" s="251"/>
      <c r="AK224146" s="251"/>
    </row>
    <row r="224261" spans="25:37" x14ac:dyDescent="0.2">
      <c r="Y224261" s="5"/>
      <c r="AB224261" s="5"/>
      <c r="AE224261" s="5"/>
      <c r="AH224261" s="5"/>
      <c r="AK224261" s="5"/>
    </row>
    <row r="224271" spans="25:37" x14ac:dyDescent="0.2">
      <c r="Y224271" s="251"/>
      <c r="AB224271" s="251"/>
      <c r="AE224271" s="251"/>
      <c r="AH224271" s="251"/>
      <c r="AK224271" s="251"/>
    </row>
    <row r="224386" spans="25:37" x14ac:dyDescent="0.2">
      <c r="Y224386" s="5"/>
      <c r="AB224386" s="5"/>
      <c r="AE224386" s="5"/>
      <c r="AH224386" s="5"/>
      <c r="AK224386" s="5"/>
    </row>
    <row r="224396" spans="25:37" x14ac:dyDescent="0.2">
      <c r="Y224396" s="251"/>
      <c r="AB224396" s="251"/>
      <c r="AE224396" s="251"/>
      <c r="AH224396" s="251"/>
      <c r="AK224396" s="251"/>
    </row>
    <row r="224511" spans="25:37" x14ac:dyDescent="0.2">
      <c r="Y224511" s="5"/>
      <c r="AB224511" s="5"/>
      <c r="AE224511" s="5"/>
      <c r="AH224511" s="5"/>
      <c r="AK224511" s="5"/>
    </row>
    <row r="224521" spans="25:37" x14ac:dyDescent="0.2">
      <c r="Y224521" s="251"/>
      <c r="AB224521" s="251"/>
      <c r="AE224521" s="251"/>
      <c r="AH224521" s="251"/>
      <c r="AK224521" s="251"/>
    </row>
    <row r="224636" spans="25:37" x14ac:dyDescent="0.2">
      <c r="Y224636" s="5"/>
      <c r="AB224636" s="5"/>
      <c r="AE224636" s="5"/>
      <c r="AH224636" s="5"/>
      <c r="AK224636" s="5"/>
    </row>
    <row r="224646" spans="25:37" x14ac:dyDescent="0.2">
      <c r="Y224646" s="251"/>
      <c r="AB224646" s="251"/>
      <c r="AE224646" s="251"/>
      <c r="AH224646" s="251"/>
      <c r="AK224646" s="251"/>
    </row>
    <row r="224761" spans="25:37" x14ac:dyDescent="0.2">
      <c r="Y224761" s="5"/>
      <c r="AB224761" s="5"/>
      <c r="AE224761" s="5"/>
      <c r="AH224761" s="5"/>
      <c r="AK224761" s="5"/>
    </row>
    <row r="224771" spans="25:37" x14ac:dyDescent="0.2">
      <c r="Y224771" s="251"/>
      <c r="AB224771" s="251"/>
      <c r="AE224771" s="251"/>
      <c r="AH224771" s="251"/>
      <c r="AK224771" s="251"/>
    </row>
    <row r="224886" spans="25:37" x14ac:dyDescent="0.2">
      <c r="Y224886" s="5"/>
      <c r="AB224886" s="5"/>
      <c r="AE224886" s="5"/>
      <c r="AH224886" s="5"/>
      <c r="AK224886" s="5"/>
    </row>
    <row r="224896" spans="25:37" x14ac:dyDescent="0.2">
      <c r="Y224896" s="251"/>
      <c r="AB224896" s="251"/>
      <c r="AE224896" s="251"/>
      <c r="AH224896" s="251"/>
      <c r="AK224896" s="251"/>
    </row>
    <row r="225011" spans="25:37" x14ac:dyDescent="0.2">
      <c r="Y225011" s="5"/>
      <c r="AB225011" s="5"/>
      <c r="AE225011" s="5"/>
      <c r="AH225011" s="5"/>
      <c r="AK225011" s="5"/>
    </row>
    <row r="225021" spans="25:37" x14ac:dyDescent="0.2">
      <c r="Y225021" s="251"/>
      <c r="AB225021" s="251"/>
      <c r="AE225021" s="251"/>
      <c r="AH225021" s="251"/>
      <c r="AK225021" s="251"/>
    </row>
    <row r="225136" spans="25:37" x14ac:dyDescent="0.2">
      <c r="Y225136" s="5"/>
      <c r="AB225136" s="5"/>
      <c r="AE225136" s="5"/>
      <c r="AH225136" s="5"/>
      <c r="AK225136" s="5"/>
    </row>
    <row r="225146" spans="25:37" x14ac:dyDescent="0.2">
      <c r="Y225146" s="251"/>
      <c r="AB225146" s="251"/>
      <c r="AE225146" s="251"/>
      <c r="AH225146" s="251"/>
      <c r="AK225146" s="251"/>
    </row>
    <row r="225261" spans="25:37" x14ac:dyDescent="0.2">
      <c r="Y225261" s="5"/>
      <c r="AB225261" s="5"/>
      <c r="AE225261" s="5"/>
      <c r="AH225261" s="5"/>
      <c r="AK225261" s="5"/>
    </row>
    <row r="225271" spans="25:37" x14ac:dyDescent="0.2">
      <c r="Y225271" s="251"/>
      <c r="AB225271" s="251"/>
      <c r="AE225271" s="251"/>
      <c r="AH225271" s="251"/>
      <c r="AK225271" s="251"/>
    </row>
    <row r="225386" spans="25:37" x14ac:dyDescent="0.2">
      <c r="Y225386" s="5"/>
      <c r="AB225386" s="5"/>
      <c r="AE225386" s="5"/>
      <c r="AH225386" s="5"/>
      <c r="AK225386" s="5"/>
    </row>
    <row r="225396" spans="25:37" x14ac:dyDescent="0.2">
      <c r="Y225396" s="251"/>
      <c r="AB225396" s="251"/>
      <c r="AE225396" s="251"/>
      <c r="AH225396" s="251"/>
      <c r="AK225396" s="251"/>
    </row>
    <row r="225511" spans="25:37" x14ac:dyDescent="0.2">
      <c r="Y225511" s="5"/>
      <c r="AB225511" s="5"/>
      <c r="AE225511" s="5"/>
      <c r="AH225511" s="5"/>
      <c r="AK225511" s="5"/>
    </row>
    <row r="225521" spans="25:37" x14ac:dyDescent="0.2">
      <c r="Y225521" s="251"/>
      <c r="AB225521" s="251"/>
      <c r="AE225521" s="251"/>
      <c r="AH225521" s="251"/>
      <c r="AK225521" s="251"/>
    </row>
    <row r="225636" spans="25:37" x14ac:dyDescent="0.2">
      <c r="Y225636" s="5"/>
      <c r="AB225636" s="5"/>
      <c r="AE225636" s="5"/>
      <c r="AH225636" s="5"/>
      <c r="AK225636" s="5"/>
    </row>
    <row r="225646" spans="25:37" x14ac:dyDescent="0.2">
      <c r="Y225646" s="251"/>
      <c r="AB225646" s="251"/>
      <c r="AE225646" s="251"/>
      <c r="AH225646" s="251"/>
      <c r="AK225646" s="251"/>
    </row>
    <row r="225761" spans="25:37" x14ac:dyDescent="0.2">
      <c r="Y225761" s="5"/>
      <c r="AB225761" s="5"/>
      <c r="AE225761" s="5"/>
      <c r="AH225761" s="5"/>
      <c r="AK225761" s="5"/>
    </row>
    <row r="225771" spans="25:37" x14ac:dyDescent="0.2">
      <c r="Y225771" s="251"/>
      <c r="AB225771" s="251"/>
      <c r="AE225771" s="251"/>
      <c r="AH225771" s="251"/>
      <c r="AK225771" s="251"/>
    </row>
    <row r="225886" spans="25:37" x14ac:dyDescent="0.2">
      <c r="Y225886" s="5"/>
      <c r="AB225886" s="5"/>
      <c r="AE225886" s="5"/>
      <c r="AH225886" s="5"/>
      <c r="AK225886" s="5"/>
    </row>
    <row r="225896" spans="25:37" x14ac:dyDescent="0.2">
      <c r="Y225896" s="251"/>
      <c r="AB225896" s="251"/>
      <c r="AE225896" s="251"/>
      <c r="AH225896" s="251"/>
      <c r="AK225896" s="251"/>
    </row>
    <row r="226011" spans="25:37" x14ac:dyDescent="0.2">
      <c r="Y226011" s="5"/>
      <c r="AB226011" s="5"/>
      <c r="AE226011" s="5"/>
      <c r="AH226011" s="5"/>
      <c r="AK226011" s="5"/>
    </row>
    <row r="226021" spans="25:37" x14ac:dyDescent="0.2">
      <c r="Y226021" s="251"/>
      <c r="AB226021" s="251"/>
      <c r="AE226021" s="251"/>
      <c r="AH226021" s="251"/>
      <c r="AK226021" s="251"/>
    </row>
    <row r="226136" spans="25:37" x14ac:dyDescent="0.2">
      <c r="Y226136" s="5"/>
      <c r="AB226136" s="5"/>
      <c r="AE226136" s="5"/>
      <c r="AH226136" s="5"/>
      <c r="AK226136" s="5"/>
    </row>
    <row r="226146" spans="25:37" x14ac:dyDescent="0.2">
      <c r="Y226146" s="251"/>
      <c r="AB226146" s="251"/>
      <c r="AE226146" s="251"/>
      <c r="AH226146" s="251"/>
      <c r="AK226146" s="251"/>
    </row>
    <row r="226261" spans="25:37" x14ac:dyDescent="0.2">
      <c r="Y226261" s="5"/>
      <c r="AB226261" s="5"/>
      <c r="AE226261" s="5"/>
      <c r="AH226261" s="5"/>
      <c r="AK226261" s="5"/>
    </row>
    <row r="226271" spans="25:37" x14ac:dyDescent="0.2">
      <c r="Y226271" s="251"/>
      <c r="AB226271" s="251"/>
      <c r="AE226271" s="251"/>
      <c r="AH226271" s="251"/>
      <c r="AK226271" s="251"/>
    </row>
    <row r="226386" spans="25:37" x14ac:dyDescent="0.2">
      <c r="Y226386" s="5"/>
      <c r="AB226386" s="5"/>
      <c r="AE226386" s="5"/>
      <c r="AH226386" s="5"/>
      <c r="AK226386" s="5"/>
    </row>
    <row r="226396" spans="25:37" x14ac:dyDescent="0.2">
      <c r="Y226396" s="251"/>
      <c r="AB226396" s="251"/>
      <c r="AE226396" s="251"/>
      <c r="AH226396" s="251"/>
      <c r="AK226396" s="251"/>
    </row>
    <row r="226511" spans="25:37" x14ac:dyDescent="0.2">
      <c r="Y226511" s="5"/>
      <c r="AB226511" s="5"/>
      <c r="AE226511" s="5"/>
      <c r="AH226511" s="5"/>
      <c r="AK226511" s="5"/>
    </row>
    <row r="226521" spans="25:37" x14ac:dyDescent="0.2">
      <c r="Y226521" s="251"/>
      <c r="AB226521" s="251"/>
      <c r="AE226521" s="251"/>
      <c r="AH226521" s="251"/>
      <c r="AK226521" s="251"/>
    </row>
    <row r="226636" spans="25:37" x14ac:dyDescent="0.2">
      <c r="Y226636" s="5"/>
      <c r="AB226636" s="5"/>
      <c r="AE226636" s="5"/>
      <c r="AH226636" s="5"/>
      <c r="AK226636" s="5"/>
    </row>
    <row r="226646" spans="25:37" x14ac:dyDescent="0.2">
      <c r="Y226646" s="251"/>
      <c r="AB226646" s="251"/>
      <c r="AE226646" s="251"/>
      <c r="AH226646" s="251"/>
      <c r="AK226646" s="251"/>
    </row>
    <row r="226761" spans="25:37" x14ac:dyDescent="0.2">
      <c r="Y226761" s="5"/>
      <c r="AB226761" s="5"/>
      <c r="AE226761" s="5"/>
      <c r="AH226761" s="5"/>
      <c r="AK226761" s="5"/>
    </row>
    <row r="226771" spans="25:37" x14ac:dyDescent="0.2">
      <c r="Y226771" s="251"/>
      <c r="AB226771" s="251"/>
      <c r="AE226771" s="251"/>
      <c r="AH226771" s="251"/>
      <c r="AK226771" s="251"/>
    </row>
    <row r="226886" spans="25:37" x14ac:dyDescent="0.2">
      <c r="Y226886" s="5"/>
      <c r="AB226886" s="5"/>
      <c r="AE226886" s="5"/>
      <c r="AH226886" s="5"/>
      <c r="AK226886" s="5"/>
    </row>
    <row r="226896" spans="25:37" x14ac:dyDescent="0.2">
      <c r="Y226896" s="251"/>
      <c r="AB226896" s="251"/>
      <c r="AE226896" s="251"/>
      <c r="AH226896" s="251"/>
      <c r="AK226896" s="251"/>
    </row>
    <row r="227011" spans="25:37" x14ac:dyDescent="0.2">
      <c r="Y227011" s="5"/>
      <c r="AB227011" s="5"/>
      <c r="AE227011" s="5"/>
      <c r="AH227011" s="5"/>
      <c r="AK227011" s="5"/>
    </row>
    <row r="227021" spans="25:37" x14ac:dyDescent="0.2">
      <c r="Y227021" s="251"/>
      <c r="AB227021" s="251"/>
      <c r="AE227021" s="251"/>
      <c r="AH227021" s="251"/>
      <c r="AK227021" s="251"/>
    </row>
    <row r="227136" spans="25:37" x14ac:dyDescent="0.2">
      <c r="Y227136" s="5"/>
      <c r="AB227136" s="5"/>
      <c r="AE227136" s="5"/>
      <c r="AH227136" s="5"/>
      <c r="AK227136" s="5"/>
    </row>
    <row r="227146" spans="25:37" x14ac:dyDescent="0.2">
      <c r="Y227146" s="251"/>
      <c r="AB227146" s="251"/>
      <c r="AE227146" s="251"/>
      <c r="AH227146" s="251"/>
      <c r="AK227146" s="251"/>
    </row>
    <row r="227261" spans="25:37" x14ac:dyDescent="0.2">
      <c r="Y227261" s="5"/>
      <c r="AB227261" s="5"/>
      <c r="AE227261" s="5"/>
      <c r="AH227261" s="5"/>
      <c r="AK227261" s="5"/>
    </row>
    <row r="227271" spans="25:37" x14ac:dyDescent="0.2">
      <c r="Y227271" s="251"/>
      <c r="AB227271" s="251"/>
      <c r="AE227271" s="251"/>
      <c r="AH227271" s="251"/>
      <c r="AK227271" s="251"/>
    </row>
    <row r="227386" spans="25:37" x14ac:dyDescent="0.2">
      <c r="Y227386" s="5"/>
      <c r="AB227386" s="5"/>
      <c r="AE227386" s="5"/>
      <c r="AH227386" s="5"/>
      <c r="AK227386" s="5"/>
    </row>
    <row r="227396" spans="25:37" x14ac:dyDescent="0.2">
      <c r="Y227396" s="251"/>
      <c r="AB227396" s="251"/>
      <c r="AE227396" s="251"/>
      <c r="AH227396" s="251"/>
      <c r="AK227396" s="251"/>
    </row>
    <row r="227511" spans="25:37" x14ac:dyDescent="0.2">
      <c r="Y227511" s="5"/>
      <c r="AB227511" s="5"/>
      <c r="AE227511" s="5"/>
      <c r="AH227511" s="5"/>
      <c r="AK227511" s="5"/>
    </row>
    <row r="227521" spans="25:37" x14ac:dyDescent="0.2">
      <c r="Y227521" s="251"/>
      <c r="AB227521" s="251"/>
      <c r="AE227521" s="251"/>
      <c r="AH227521" s="251"/>
      <c r="AK227521" s="251"/>
    </row>
    <row r="227636" spans="25:37" x14ac:dyDescent="0.2">
      <c r="Y227636" s="5"/>
      <c r="AB227636" s="5"/>
      <c r="AE227636" s="5"/>
      <c r="AH227636" s="5"/>
      <c r="AK227636" s="5"/>
    </row>
    <row r="227646" spans="25:37" x14ac:dyDescent="0.2">
      <c r="Y227646" s="251"/>
      <c r="AB227646" s="251"/>
      <c r="AE227646" s="251"/>
      <c r="AH227646" s="251"/>
      <c r="AK227646" s="251"/>
    </row>
    <row r="227761" spans="25:37" x14ac:dyDescent="0.2">
      <c r="Y227761" s="5"/>
      <c r="AB227761" s="5"/>
      <c r="AE227761" s="5"/>
      <c r="AH227761" s="5"/>
      <c r="AK227761" s="5"/>
    </row>
    <row r="227771" spans="25:37" x14ac:dyDescent="0.2">
      <c r="Y227771" s="251"/>
      <c r="AB227771" s="251"/>
      <c r="AE227771" s="251"/>
      <c r="AH227771" s="251"/>
      <c r="AK227771" s="251"/>
    </row>
    <row r="227886" spans="25:37" x14ac:dyDescent="0.2">
      <c r="Y227886" s="5"/>
      <c r="AB227886" s="5"/>
      <c r="AE227886" s="5"/>
      <c r="AH227886" s="5"/>
      <c r="AK227886" s="5"/>
    </row>
    <row r="227896" spans="25:37" x14ac:dyDescent="0.2">
      <c r="Y227896" s="251"/>
      <c r="AB227896" s="251"/>
      <c r="AE227896" s="251"/>
      <c r="AH227896" s="251"/>
      <c r="AK227896" s="251"/>
    </row>
    <row r="228011" spans="25:37" x14ac:dyDescent="0.2">
      <c r="Y228011" s="5"/>
      <c r="AB228011" s="5"/>
      <c r="AE228011" s="5"/>
      <c r="AH228011" s="5"/>
      <c r="AK228011" s="5"/>
    </row>
    <row r="228021" spans="25:37" x14ac:dyDescent="0.2">
      <c r="Y228021" s="251"/>
      <c r="AB228021" s="251"/>
      <c r="AE228021" s="251"/>
      <c r="AH228021" s="251"/>
      <c r="AK228021" s="251"/>
    </row>
    <row r="228136" spans="25:37" x14ac:dyDescent="0.2">
      <c r="Y228136" s="5"/>
      <c r="AB228136" s="5"/>
      <c r="AE228136" s="5"/>
      <c r="AH228136" s="5"/>
      <c r="AK228136" s="5"/>
    </row>
    <row r="228146" spans="25:37" x14ac:dyDescent="0.2">
      <c r="Y228146" s="251"/>
      <c r="AB228146" s="251"/>
      <c r="AE228146" s="251"/>
      <c r="AH228146" s="251"/>
      <c r="AK228146" s="251"/>
    </row>
    <row r="228261" spans="25:37" x14ac:dyDescent="0.2">
      <c r="Y228261" s="5"/>
      <c r="AB228261" s="5"/>
      <c r="AE228261" s="5"/>
      <c r="AH228261" s="5"/>
      <c r="AK228261" s="5"/>
    </row>
    <row r="228271" spans="25:37" x14ac:dyDescent="0.2">
      <c r="Y228271" s="251"/>
      <c r="AB228271" s="251"/>
      <c r="AE228271" s="251"/>
      <c r="AH228271" s="251"/>
      <c r="AK228271" s="251"/>
    </row>
    <row r="228386" spans="25:37" x14ac:dyDescent="0.2">
      <c r="Y228386" s="5"/>
      <c r="AB228386" s="5"/>
      <c r="AE228386" s="5"/>
      <c r="AH228386" s="5"/>
      <c r="AK228386" s="5"/>
    </row>
    <row r="228396" spans="25:37" x14ac:dyDescent="0.2">
      <c r="Y228396" s="251"/>
      <c r="AB228396" s="251"/>
      <c r="AE228396" s="251"/>
      <c r="AH228396" s="251"/>
      <c r="AK228396" s="251"/>
    </row>
    <row r="228511" spans="25:37" x14ac:dyDescent="0.2">
      <c r="Y228511" s="5"/>
      <c r="AB228511" s="5"/>
      <c r="AE228511" s="5"/>
      <c r="AH228511" s="5"/>
      <c r="AK228511" s="5"/>
    </row>
    <row r="228521" spans="25:37" x14ac:dyDescent="0.2">
      <c r="Y228521" s="251"/>
      <c r="AB228521" s="251"/>
      <c r="AE228521" s="251"/>
      <c r="AH228521" s="251"/>
      <c r="AK228521" s="251"/>
    </row>
    <row r="228636" spans="25:37" x14ac:dyDescent="0.2">
      <c r="Y228636" s="5"/>
      <c r="AB228636" s="5"/>
      <c r="AE228636" s="5"/>
      <c r="AH228636" s="5"/>
      <c r="AK228636" s="5"/>
    </row>
    <row r="228646" spans="25:37" x14ac:dyDescent="0.2">
      <c r="Y228646" s="251"/>
      <c r="AB228646" s="251"/>
      <c r="AE228646" s="251"/>
      <c r="AH228646" s="251"/>
      <c r="AK228646" s="251"/>
    </row>
    <row r="228761" spans="25:37" x14ac:dyDescent="0.2">
      <c r="Y228761" s="5"/>
      <c r="AB228761" s="5"/>
      <c r="AE228761" s="5"/>
      <c r="AH228761" s="5"/>
      <c r="AK228761" s="5"/>
    </row>
    <row r="228771" spans="25:37" x14ac:dyDescent="0.2">
      <c r="Y228771" s="251"/>
      <c r="AB228771" s="251"/>
      <c r="AE228771" s="251"/>
      <c r="AH228771" s="251"/>
      <c r="AK228771" s="251"/>
    </row>
    <row r="228886" spans="25:37" x14ac:dyDescent="0.2">
      <c r="Y228886" s="5"/>
      <c r="AB228886" s="5"/>
      <c r="AE228886" s="5"/>
      <c r="AH228886" s="5"/>
      <c r="AK228886" s="5"/>
    </row>
    <row r="228896" spans="25:37" x14ac:dyDescent="0.2">
      <c r="Y228896" s="251"/>
      <c r="AB228896" s="251"/>
      <c r="AE228896" s="251"/>
      <c r="AH228896" s="251"/>
      <c r="AK228896" s="251"/>
    </row>
    <row r="229011" spans="25:37" x14ac:dyDescent="0.2">
      <c r="Y229011" s="5"/>
      <c r="AB229011" s="5"/>
      <c r="AE229011" s="5"/>
      <c r="AH229011" s="5"/>
      <c r="AK229011" s="5"/>
    </row>
    <row r="229021" spans="25:37" x14ac:dyDescent="0.2">
      <c r="Y229021" s="251"/>
      <c r="AB229021" s="251"/>
      <c r="AE229021" s="251"/>
      <c r="AH229021" s="251"/>
      <c r="AK229021" s="251"/>
    </row>
    <row r="229136" spans="25:37" x14ac:dyDescent="0.2">
      <c r="Y229136" s="5"/>
      <c r="AB229136" s="5"/>
      <c r="AE229136" s="5"/>
      <c r="AH229136" s="5"/>
      <c r="AK229136" s="5"/>
    </row>
    <row r="229146" spans="25:37" x14ac:dyDescent="0.2">
      <c r="Y229146" s="251"/>
      <c r="AB229146" s="251"/>
      <c r="AE229146" s="251"/>
      <c r="AH229146" s="251"/>
      <c r="AK229146" s="251"/>
    </row>
    <row r="229261" spans="25:37" x14ac:dyDescent="0.2">
      <c r="Y229261" s="5"/>
      <c r="AB229261" s="5"/>
      <c r="AE229261" s="5"/>
      <c r="AH229261" s="5"/>
      <c r="AK229261" s="5"/>
    </row>
    <row r="229271" spans="25:37" x14ac:dyDescent="0.2">
      <c r="Y229271" s="251"/>
      <c r="AB229271" s="251"/>
      <c r="AE229271" s="251"/>
      <c r="AH229271" s="251"/>
      <c r="AK229271" s="251"/>
    </row>
    <row r="229386" spans="25:37" x14ac:dyDescent="0.2">
      <c r="Y229386" s="5"/>
      <c r="AB229386" s="5"/>
      <c r="AE229386" s="5"/>
      <c r="AH229386" s="5"/>
      <c r="AK229386" s="5"/>
    </row>
    <row r="229396" spans="25:37" x14ac:dyDescent="0.2">
      <c r="Y229396" s="251"/>
      <c r="AB229396" s="251"/>
      <c r="AE229396" s="251"/>
      <c r="AH229396" s="251"/>
      <c r="AK229396" s="251"/>
    </row>
    <row r="229511" spans="25:37" x14ac:dyDescent="0.2">
      <c r="Y229511" s="5"/>
      <c r="AB229511" s="5"/>
      <c r="AE229511" s="5"/>
      <c r="AH229511" s="5"/>
      <c r="AK229511" s="5"/>
    </row>
    <row r="229521" spans="25:37" x14ac:dyDescent="0.2">
      <c r="Y229521" s="251"/>
      <c r="AB229521" s="251"/>
      <c r="AE229521" s="251"/>
      <c r="AH229521" s="251"/>
      <c r="AK229521" s="251"/>
    </row>
    <row r="229636" spans="25:37" x14ac:dyDescent="0.2">
      <c r="Y229636" s="5"/>
      <c r="AB229636" s="5"/>
      <c r="AE229636" s="5"/>
      <c r="AH229636" s="5"/>
      <c r="AK229636" s="5"/>
    </row>
    <row r="229646" spans="25:37" x14ac:dyDescent="0.2">
      <c r="Y229646" s="251"/>
      <c r="AB229646" s="251"/>
      <c r="AE229646" s="251"/>
      <c r="AH229646" s="251"/>
      <c r="AK229646" s="251"/>
    </row>
    <row r="229761" spans="25:37" x14ac:dyDescent="0.2">
      <c r="Y229761" s="5"/>
      <c r="AB229761" s="5"/>
      <c r="AE229761" s="5"/>
      <c r="AH229761" s="5"/>
      <c r="AK229761" s="5"/>
    </row>
    <row r="229771" spans="25:37" x14ac:dyDescent="0.2">
      <c r="Y229771" s="251"/>
      <c r="AB229771" s="251"/>
      <c r="AE229771" s="251"/>
      <c r="AH229771" s="251"/>
      <c r="AK229771" s="251"/>
    </row>
    <row r="229886" spans="25:37" x14ac:dyDescent="0.2">
      <c r="Y229886" s="5"/>
      <c r="AB229886" s="5"/>
      <c r="AE229886" s="5"/>
      <c r="AH229886" s="5"/>
      <c r="AK229886" s="5"/>
    </row>
    <row r="229896" spans="25:37" x14ac:dyDescent="0.2">
      <c r="Y229896" s="251"/>
      <c r="AB229896" s="251"/>
      <c r="AE229896" s="251"/>
      <c r="AH229896" s="251"/>
      <c r="AK229896" s="251"/>
    </row>
    <row r="230011" spans="25:37" x14ac:dyDescent="0.2">
      <c r="Y230011" s="5"/>
      <c r="AB230011" s="5"/>
      <c r="AE230011" s="5"/>
      <c r="AH230011" s="5"/>
      <c r="AK230011" s="5"/>
    </row>
    <row r="230021" spans="25:37" x14ac:dyDescent="0.2">
      <c r="Y230021" s="251"/>
      <c r="AB230021" s="251"/>
      <c r="AE230021" s="251"/>
      <c r="AH230021" s="251"/>
      <c r="AK230021" s="251"/>
    </row>
    <row r="230136" spans="25:37" x14ac:dyDescent="0.2">
      <c r="Y230136" s="5"/>
      <c r="AB230136" s="5"/>
      <c r="AE230136" s="5"/>
      <c r="AH230136" s="5"/>
      <c r="AK230136" s="5"/>
    </row>
    <row r="230146" spans="25:37" x14ac:dyDescent="0.2">
      <c r="Y230146" s="251"/>
      <c r="AB230146" s="251"/>
      <c r="AE230146" s="251"/>
      <c r="AH230146" s="251"/>
      <c r="AK230146" s="251"/>
    </row>
    <row r="230261" spans="25:37" x14ac:dyDescent="0.2">
      <c r="Y230261" s="5"/>
      <c r="AB230261" s="5"/>
      <c r="AE230261" s="5"/>
      <c r="AH230261" s="5"/>
      <c r="AK230261" s="5"/>
    </row>
    <row r="230271" spans="25:37" x14ac:dyDescent="0.2">
      <c r="Y230271" s="251"/>
      <c r="AB230271" s="251"/>
      <c r="AE230271" s="251"/>
      <c r="AH230271" s="251"/>
      <c r="AK230271" s="251"/>
    </row>
    <row r="230386" spans="25:37" x14ac:dyDescent="0.2">
      <c r="Y230386" s="5"/>
      <c r="AB230386" s="5"/>
      <c r="AE230386" s="5"/>
      <c r="AH230386" s="5"/>
      <c r="AK230386" s="5"/>
    </row>
    <row r="230396" spans="25:37" x14ac:dyDescent="0.2">
      <c r="Y230396" s="251"/>
      <c r="AB230396" s="251"/>
      <c r="AE230396" s="251"/>
      <c r="AH230396" s="251"/>
      <c r="AK230396" s="251"/>
    </row>
    <row r="230511" spans="25:37" x14ac:dyDescent="0.2">
      <c r="Y230511" s="5"/>
      <c r="AB230511" s="5"/>
      <c r="AE230511" s="5"/>
      <c r="AH230511" s="5"/>
      <c r="AK230511" s="5"/>
    </row>
    <row r="230521" spans="25:37" x14ac:dyDescent="0.2">
      <c r="Y230521" s="251"/>
      <c r="AB230521" s="251"/>
      <c r="AE230521" s="251"/>
      <c r="AH230521" s="251"/>
      <c r="AK230521" s="251"/>
    </row>
    <row r="230636" spans="25:37" x14ac:dyDescent="0.2">
      <c r="Y230636" s="5"/>
      <c r="AB230636" s="5"/>
      <c r="AE230636" s="5"/>
      <c r="AH230636" s="5"/>
      <c r="AK230636" s="5"/>
    </row>
    <row r="230646" spans="25:37" x14ac:dyDescent="0.2">
      <c r="Y230646" s="251"/>
      <c r="AB230646" s="251"/>
      <c r="AE230646" s="251"/>
      <c r="AH230646" s="251"/>
      <c r="AK230646" s="251"/>
    </row>
    <row r="230761" spans="25:37" x14ac:dyDescent="0.2">
      <c r="Y230761" s="5"/>
      <c r="AB230761" s="5"/>
      <c r="AE230761" s="5"/>
      <c r="AH230761" s="5"/>
      <c r="AK230761" s="5"/>
    </row>
    <row r="230771" spans="25:37" x14ac:dyDescent="0.2">
      <c r="Y230771" s="251"/>
      <c r="AB230771" s="251"/>
      <c r="AE230771" s="251"/>
      <c r="AH230771" s="251"/>
      <c r="AK230771" s="251"/>
    </row>
    <row r="230886" spans="25:37" x14ac:dyDescent="0.2">
      <c r="Y230886" s="5"/>
      <c r="AB230886" s="5"/>
      <c r="AE230886" s="5"/>
      <c r="AH230886" s="5"/>
      <c r="AK230886" s="5"/>
    </row>
    <row r="230896" spans="25:37" x14ac:dyDescent="0.2">
      <c r="Y230896" s="251"/>
      <c r="AB230896" s="251"/>
      <c r="AE230896" s="251"/>
      <c r="AH230896" s="251"/>
      <c r="AK230896" s="251"/>
    </row>
    <row r="231011" spans="25:37" x14ac:dyDescent="0.2">
      <c r="Y231011" s="5"/>
      <c r="AB231011" s="5"/>
      <c r="AE231011" s="5"/>
      <c r="AH231011" s="5"/>
      <c r="AK231011" s="5"/>
    </row>
    <row r="231021" spans="25:37" x14ac:dyDescent="0.2">
      <c r="Y231021" s="251"/>
      <c r="AB231021" s="251"/>
      <c r="AE231021" s="251"/>
      <c r="AH231021" s="251"/>
      <c r="AK231021" s="251"/>
    </row>
    <row r="231136" spans="25:37" x14ac:dyDescent="0.2">
      <c r="Y231136" s="5"/>
      <c r="AB231136" s="5"/>
      <c r="AE231136" s="5"/>
      <c r="AH231136" s="5"/>
      <c r="AK231136" s="5"/>
    </row>
    <row r="231146" spans="25:37" x14ac:dyDescent="0.2">
      <c r="Y231146" s="251"/>
      <c r="AB231146" s="251"/>
      <c r="AE231146" s="251"/>
      <c r="AH231146" s="251"/>
      <c r="AK231146" s="251"/>
    </row>
    <row r="231261" spans="25:37" x14ac:dyDescent="0.2">
      <c r="Y231261" s="5"/>
      <c r="AB231261" s="5"/>
      <c r="AE231261" s="5"/>
      <c r="AH231261" s="5"/>
      <c r="AK231261" s="5"/>
    </row>
    <row r="231271" spans="25:37" x14ac:dyDescent="0.2">
      <c r="Y231271" s="251"/>
      <c r="AB231271" s="251"/>
      <c r="AE231271" s="251"/>
      <c r="AH231271" s="251"/>
      <c r="AK231271" s="251"/>
    </row>
    <row r="231386" spans="25:37" x14ac:dyDescent="0.2">
      <c r="Y231386" s="5"/>
      <c r="AB231386" s="5"/>
      <c r="AE231386" s="5"/>
      <c r="AH231386" s="5"/>
      <c r="AK231386" s="5"/>
    </row>
    <row r="231396" spans="25:37" x14ac:dyDescent="0.2">
      <c r="Y231396" s="251"/>
      <c r="AB231396" s="251"/>
      <c r="AE231396" s="251"/>
      <c r="AH231396" s="251"/>
      <c r="AK231396" s="251"/>
    </row>
    <row r="231511" spans="25:37" x14ac:dyDescent="0.2">
      <c r="Y231511" s="5"/>
      <c r="AB231511" s="5"/>
      <c r="AE231511" s="5"/>
      <c r="AH231511" s="5"/>
      <c r="AK231511" s="5"/>
    </row>
    <row r="231521" spans="25:37" x14ac:dyDescent="0.2">
      <c r="Y231521" s="251"/>
      <c r="AB231521" s="251"/>
      <c r="AE231521" s="251"/>
      <c r="AH231521" s="251"/>
      <c r="AK231521" s="251"/>
    </row>
    <row r="231636" spans="25:37" x14ac:dyDescent="0.2">
      <c r="Y231636" s="5"/>
      <c r="AB231636" s="5"/>
      <c r="AE231636" s="5"/>
      <c r="AH231636" s="5"/>
      <c r="AK231636" s="5"/>
    </row>
    <row r="231646" spans="25:37" x14ac:dyDescent="0.2">
      <c r="Y231646" s="251"/>
      <c r="AB231646" s="251"/>
      <c r="AE231646" s="251"/>
      <c r="AH231646" s="251"/>
      <c r="AK231646" s="251"/>
    </row>
    <row r="231761" spans="25:37" x14ac:dyDescent="0.2">
      <c r="Y231761" s="5"/>
      <c r="AB231761" s="5"/>
      <c r="AE231761" s="5"/>
      <c r="AH231761" s="5"/>
      <c r="AK231761" s="5"/>
    </row>
    <row r="231771" spans="25:37" x14ac:dyDescent="0.2">
      <c r="Y231771" s="251"/>
      <c r="AB231771" s="251"/>
      <c r="AE231771" s="251"/>
      <c r="AH231771" s="251"/>
      <c r="AK231771" s="251"/>
    </row>
    <row r="231886" spans="25:37" x14ac:dyDescent="0.2">
      <c r="Y231886" s="5"/>
      <c r="AB231886" s="5"/>
      <c r="AE231886" s="5"/>
      <c r="AH231886" s="5"/>
      <c r="AK231886" s="5"/>
    </row>
    <row r="231896" spans="25:37" x14ac:dyDescent="0.2">
      <c r="Y231896" s="251"/>
      <c r="AB231896" s="251"/>
      <c r="AE231896" s="251"/>
      <c r="AH231896" s="251"/>
      <c r="AK231896" s="251"/>
    </row>
    <row r="232011" spans="25:37" x14ac:dyDescent="0.2">
      <c r="Y232011" s="5"/>
      <c r="AB232011" s="5"/>
      <c r="AE232011" s="5"/>
      <c r="AH232011" s="5"/>
      <c r="AK232011" s="5"/>
    </row>
    <row r="232021" spans="25:37" x14ac:dyDescent="0.2">
      <c r="Y232021" s="251"/>
      <c r="AB232021" s="251"/>
      <c r="AE232021" s="251"/>
      <c r="AH232021" s="251"/>
      <c r="AK232021" s="251"/>
    </row>
    <row r="232136" spans="25:37" x14ac:dyDescent="0.2">
      <c r="Y232136" s="5"/>
      <c r="AB232136" s="5"/>
      <c r="AE232136" s="5"/>
      <c r="AH232136" s="5"/>
      <c r="AK232136" s="5"/>
    </row>
    <row r="232146" spans="25:37" x14ac:dyDescent="0.2">
      <c r="Y232146" s="251"/>
      <c r="AB232146" s="251"/>
      <c r="AE232146" s="251"/>
      <c r="AH232146" s="251"/>
      <c r="AK232146" s="251"/>
    </row>
    <row r="232261" spans="25:37" x14ac:dyDescent="0.2">
      <c r="Y232261" s="5"/>
      <c r="AB232261" s="5"/>
      <c r="AE232261" s="5"/>
      <c r="AH232261" s="5"/>
      <c r="AK232261" s="5"/>
    </row>
    <row r="232271" spans="25:37" x14ac:dyDescent="0.2">
      <c r="Y232271" s="251"/>
      <c r="AB232271" s="251"/>
      <c r="AE232271" s="251"/>
      <c r="AH232271" s="251"/>
      <c r="AK232271" s="251"/>
    </row>
    <row r="232386" spans="25:37" x14ac:dyDescent="0.2">
      <c r="Y232386" s="5"/>
      <c r="AB232386" s="5"/>
      <c r="AE232386" s="5"/>
      <c r="AH232386" s="5"/>
      <c r="AK232386" s="5"/>
    </row>
    <row r="232396" spans="25:37" x14ac:dyDescent="0.2">
      <c r="Y232396" s="251"/>
      <c r="AB232396" s="251"/>
      <c r="AE232396" s="251"/>
      <c r="AH232396" s="251"/>
      <c r="AK232396" s="251"/>
    </row>
    <row r="232511" spans="25:37" x14ac:dyDescent="0.2">
      <c r="Y232511" s="5"/>
      <c r="AB232511" s="5"/>
      <c r="AE232511" s="5"/>
      <c r="AH232511" s="5"/>
      <c r="AK232511" s="5"/>
    </row>
    <row r="232521" spans="25:37" x14ac:dyDescent="0.2">
      <c r="Y232521" s="251"/>
      <c r="AB232521" s="251"/>
      <c r="AE232521" s="251"/>
      <c r="AH232521" s="251"/>
      <c r="AK232521" s="251"/>
    </row>
    <row r="232636" spans="25:37" x14ac:dyDescent="0.2">
      <c r="Y232636" s="5"/>
      <c r="AB232636" s="5"/>
      <c r="AE232636" s="5"/>
      <c r="AH232636" s="5"/>
      <c r="AK232636" s="5"/>
    </row>
    <row r="232646" spans="25:37" x14ac:dyDescent="0.2">
      <c r="Y232646" s="251"/>
      <c r="AB232646" s="251"/>
      <c r="AE232646" s="251"/>
      <c r="AH232646" s="251"/>
      <c r="AK232646" s="251"/>
    </row>
    <row r="232761" spans="25:37" x14ac:dyDescent="0.2">
      <c r="Y232761" s="5"/>
      <c r="AB232761" s="5"/>
      <c r="AE232761" s="5"/>
      <c r="AH232761" s="5"/>
      <c r="AK232761" s="5"/>
    </row>
    <row r="232771" spans="25:37" x14ac:dyDescent="0.2">
      <c r="Y232771" s="251"/>
      <c r="AB232771" s="251"/>
      <c r="AE232771" s="251"/>
      <c r="AH232771" s="251"/>
      <c r="AK232771" s="251"/>
    </row>
    <row r="232886" spans="25:37" x14ac:dyDescent="0.2">
      <c r="Y232886" s="5"/>
      <c r="AB232886" s="5"/>
      <c r="AE232886" s="5"/>
      <c r="AH232886" s="5"/>
      <c r="AK232886" s="5"/>
    </row>
    <row r="232896" spans="25:37" x14ac:dyDescent="0.2">
      <c r="Y232896" s="251"/>
      <c r="AB232896" s="251"/>
      <c r="AE232896" s="251"/>
      <c r="AH232896" s="251"/>
      <c r="AK232896" s="251"/>
    </row>
    <row r="233011" spans="25:37" x14ac:dyDescent="0.2">
      <c r="Y233011" s="5"/>
      <c r="AB233011" s="5"/>
      <c r="AE233011" s="5"/>
      <c r="AH233011" s="5"/>
      <c r="AK233011" s="5"/>
    </row>
    <row r="233021" spans="25:37" x14ac:dyDescent="0.2">
      <c r="Y233021" s="251"/>
      <c r="AB233021" s="251"/>
      <c r="AE233021" s="251"/>
      <c r="AH233021" s="251"/>
      <c r="AK233021" s="251"/>
    </row>
    <row r="233136" spans="25:37" x14ac:dyDescent="0.2">
      <c r="Y233136" s="5"/>
      <c r="AB233136" s="5"/>
      <c r="AE233136" s="5"/>
      <c r="AH233136" s="5"/>
      <c r="AK233136" s="5"/>
    </row>
    <row r="233146" spans="25:37" x14ac:dyDescent="0.2">
      <c r="Y233146" s="251"/>
      <c r="AB233146" s="251"/>
      <c r="AE233146" s="251"/>
      <c r="AH233146" s="251"/>
      <c r="AK233146" s="251"/>
    </row>
    <row r="233261" spans="25:37" x14ac:dyDescent="0.2">
      <c r="Y233261" s="5"/>
      <c r="AB233261" s="5"/>
      <c r="AE233261" s="5"/>
      <c r="AH233261" s="5"/>
      <c r="AK233261" s="5"/>
    </row>
    <row r="233271" spans="25:37" x14ac:dyDescent="0.2">
      <c r="Y233271" s="251"/>
      <c r="AB233271" s="251"/>
      <c r="AE233271" s="251"/>
      <c r="AH233271" s="251"/>
      <c r="AK233271" s="251"/>
    </row>
    <row r="233386" spans="25:37" x14ac:dyDescent="0.2">
      <c r="Y233386" s="5"/>
      <c r="AB233386" s="5"/>
      <c r="AE233386" s="5"/>
      <c r="AH233386" s="5"/>
      <c r="AK233386" s="5"/>
    </row>
    <row r="233396" spans="25:37" x14ac:dyDescent="0.2">
      <c r="Y233396" s="251"/>
      <c r="AB233396" s="251"/>
      <c r="AE233396" s="251"/>
      <c r="AH233396" s="251"/>
      <c r="AK233396" s="251"/>
    </row>
    <row r="233511" spans="25:37" x14ac:dyDescent="0.2">
      <c r="Y233511" s="5"/>
      <c r="AB233511" s="5"/>
      <c r="AE233511" s="5"/>
      <c r="AH233511" s="5"/>
      <c r="AK233511" s="5"/>
    </row>
    <row r="233521" spans="25:37" x14ac:dyDescent="0.2">
      <c r="Y233521" s="251"/>
      <c r="AB233521" s="251"/>
      <c r="AE233521" s="251"/>
      <c r="AH233521" s="251"/>
      <c r="AK233521" s="251"/>
    </row>
    <row r="233636" spans="25:37" x14ac:dyDescent="0.2">
      <c r="Y233636" s="5"/>
      <c r="AB233636" s="5"/>
      <c r="AE233636" s="5"/>
      <c r="AH233636" s="5"/>
      <c r="AK233636" s="5"/>
    </row>
    <row r="233646" spans="25:37" x14ac:dyDescent="0.2">
      <c r="Y233646" s="251"/>
      <c r="AB233646" s="251"/>
      <c r="AE233646" s="251"/>
      <c r="AH233646" s="251"/>
      <c r="AK233646" s="251"/>
    </row>
    <row r="233761" spans="25:37" x14ac:dyDescent="0.2">
      <c r="Y233761" s="5"/>
      <c r="AB233761" s="5"/>
      <c r="AE233761" s="5"/>
      <c r="AH233761" s="5"/>
      <c r="AK233761" s="5"/>
    </row>
    <row r="233771" spans="25:37" x14ac:dyDescent="0.2">
      <c r="Y233771" s="251"/>
      <c r="AB233771" s="251"/>
      <c r="AE233771" s="251"/>
      <c r="AH233771" s="251"/>
      <c r="AK233771" s="251"/>
    </row>
    <row r="233886" spans="25:37" x14ac:dyDescent="0.2">
      <c r="Y233886" s="5"/>
      <c r="AB233886" s="5"/>
      <c r="AE233886" s="5"/>
      <c r="AH233886" s="5"/>
      <c r="AK233886" s="5"/>
    </row>
    <row r="233896" spans="25:37" x14ac:dyDescent="0.2">
      <c r="Y233896" s="251"/>
      <c r="AB233896" s="251"/>
      <c r="AE233896" s="251"/>
      <c r="AH233896" s="251"/>
      <c r="AK233896" s="251"/>
    </row>
    <row r="234011" spans="25:37" x14ac:dyDescent="0.2">
      <c r="Y234011" s="5"/>
      <c r="AB234011" s="5"/>
      <c r="AE234011" s="5"/>
      <c r="AH234011" s="5"/>
      <c r="AK234011" s="5"/>
    </row>
    <row r="234021" spans="25:37" x14ac:dyDescent="0.2">
      <c r="Y234021" s="251"/>
      <c r="AB234021" s="251"/>
      <c r="AE234021" s="251"/>
      <c r="AH234021" s="251"/>
      <c r="AK234021" s="251"/>
    </row>
    <row r="234136" spans="25:37" x14ac:dyDescent="0.2">
      <c r="Y234136" s="5"/>
      <c r="AB234136" s="5"/>
      <c r="AE234136" s="5"/>
      <c r="AH234136" s="5"/>
      <c r="AK234136" s="5"/>
    </row>
    <row r="234146" spans="25:37" x14ac:dyDescent="0.2">
      <c r="Y234146" s="251"/>
      <c r="AB234146" s="251"/>
      <c r="AE234146" s="251"/>
      <c r="AH234146" s="251"/>
      <c r="AK234146" s="251"/>
    </row>
    <row r="234261" spans="25:37" x14ac:dyDescent="0.2">
      <c r="Y234261" s="5"/>
      <c r="AB234261" s="5"/>
      <c r="AE234261" s="5"/>
      <c r="AH234261" s="5"/>
      <c r="AK234261" s="5"/>
    </row>
    <row r="234271" spans="25:37" x14ac:dyDescent="0.2">
      <c r="Y234271" s="251"/>
      <c r="AB234271" s="251"/>
      <c r="AE234271" s="251"/>
      <c r="AH234271" s="251"/>
      <c r="AK234271" s="251"/>
    </row>
    <row r="234386" spans="25:37" x14ac:dyDescent="0.2">
      <c r="Y234386" s="5"/>
      <c r="AB234386" s="5"/>
      <c r="AE234386" s="5"/>
      <c r="AH234386" s="5"/>
      <c r="AK234386" s="5"/>
    </row>
    <row r="234396" spans="25:37" x14ac:dyDescent="0.2">
      <c r="Y234396" s="251"/>
      <c r="AB234396" s="251"/>
      <c r="AE234396" s="251"/>
      <c r="AH234396" s="251"/>
      <c r="AK234396" s="251"/>
    </row>
    <row r="234511" spans="25:37" x14ac:dyDescent="0.2">
      <c r="Y234511" s="5"/>
      <c r="AB234511" s="5"/>
      <c r="AE234511" s="5"/>
      <c r="AH234511" s="5"/>
      <c r="AK234511" s="5"/>
    </row>
    <row r="234521" spans="25:37" x14ac:dyDescent="0.2">
      <c r="Y234521" s="251"/>
      <c r="AB234521" s="251"/>
      <c r="AE234521" s="251"/>
      <c r="AH234521" s="251"/>
      <c r="AK234521" s="251"/>
    </row>
    <row r="234636" spans="25:37" x14ac:dyDescent="0.2">
      <c r="Y234636" s="5"/>
      <c r="AB234636" s="5"/>
      <c r="AE234636" s="5"/>
      <c r="AH234636" s="5"/>
      <c r="AK234636" s="5"/>
    </row>
    <row r="234646" spans="25:37" x14ac:dyDescent="0.2">
      <c r="Y234646" s="251"/>
      <c r="AB234646" s="251"/>
      <c r="AE234646" s="251"/>
      <c r="AH234646" s="251"/>
      <c r="AK234646" s="251"/>
    </row>
    <row r="234761" spans="25:37" x14ac:dyDescent="0.2">
      <c r="Y234761" s="5"/>
      <c r="AB234761" s="5"/>
      <c r="AE234761" s="5"/>
      <c r="AH234761" s="5"/>
      <c r="AK234761" s="5"/>
    </row>
    <row r="234771" spans="25:37" x14ac:dyDescent="0.2">
      <c r="Y234771" s="251"/>
      <c r="AB234771" s="251"/>
      <c r="AE234771" s="251"/>
      <c r="AH234771" s="251"/>
      <c r="AK234771" s="251"/>
    </row>
    <row r="234886" spans="25:37" x14ac:dyDescent="0.2">
      <c r="Y234886" s="5"/>
      <c r="AB234886" s="5"/>
      <c r="AE234886" s="5"/>
      <c r="AH234886" s="5"/>
      <c r="AK234886" s="5"/>
    </row>
    <row r="234896" spans="25:37" x14ac:dyDescent="0.2">
      <c r="Y234896" s="251"/>
      <c r="AB234896" s="251"/>
      <c r="AE234896" s="251"/>
      <c r="AH234896" s="251"/>
      <c r="AK234896" s="251"/>
    </row>
    <row r="235011" spans="25:37" x14ac:dyDescent="0.2">
      <c r="Y235011" s="5"/>
      <c r="AB235011" s="5"/>
      <c r="AE235011" s="5"/>
      <c r="AH235011" s="5"/>
      <c r="AK235011" s="5"/>
    </row>
    <row r="235021" spans="25:37" x14ac:dyDescent="0.2">
      <c r="Y235021" s="251"/>
      <c r="AB235021" s="251"/>
      <c r="AE235021" s="251"/>
      <c r="AH235021" s="251"/>
      <c r="AK235021" s="251"/>
    </row>
    <row r="235136" spans="25:37" x14ac:dyDescent="0.2">
      <c r="Y235136" s="5"/>
      <c r="AB235136" s="5"/>
      <c r="AE235136" s="5"/>
      <c r="AH235136" s="5"/>
      <c r="AK235136" s="5"/>
    </row>
    <row r="235146" spans="25:37" x14ac:dyDescent="0.2">
      <c r="Y235146" s="251"/>
      <c r="AB235146" s="251"/>
      <c r="AE235146" s="251"/>
      <c r="AH235146" s="251"/>
      <c r="AK235146" s="251"/>
    </row>
    <row r="235261" spans="25:37" x14ac:dyDescent="0.2">
      <c r="Y235261" s="5"/>
      <c r="AB235261" s="5"/>
      <c r="AE235261" s="5"/>
      <c r="AH235261" s="5"/>
      <c r="AK235261" s="5"/>
    </row>
    <row r="235271" spans="25:37" x14ac:dyDescent="0.2">
      <c r="Y235271" s="251"/>
      <c r="AB235271" s="251"/>
      <c r="AE235271" s="251"/>
      <c r="AH235271" s="251"/>
      <c r="AK235271" s="251"/>
    </row>
    <row r="235386" spans="25:37" x14ac:dyDescent="0.2">
      <c r="Y235386" s="5"/>
      <c r="AB235386" s="5"/>
      <c r="AE235386" s="5"/>
      <c r="AH235386" s="5"/>
      <c r="AK235386" s="5"/>
    </row>
    <row r="235396" spans="25:37" x14ac:dyDescent="0.2">
      <c r="Y235396" s="251"/>
      <c r="AB235396" s="251"/>
      <c r="AE235396" s="251"/>
      <c r="AH235396" s="251"/>
      <c r="AK235396" s="251"/>
    </row>
    <row r="235511" spans="25:37" x14ac:dyDescent="0.2">
      <c r="Y235511" s="5"/>
      <c r="AB235511" s="5"/>
      <c r="AE235511" s="5"/>
      <c r="AH235511" s="5"/>
      <c r="AK235511" s="5"/>
    </row>
    <row r="235521" spans="25:37" x14ac:dyDescent="0.2">
      <c r="Y235521" s="251"/>
      <c r="AB235521" s="251"/>
      <c r="AE235521" s="251"/>
      <c r="AH235521" s="251"/>
      <c r="AK235521" s="251"/>
    </row>
    <row r="235636" spans="25:37" x14ac:dyDescent="0.2">
      <c r="Y235636" s="5"/>
      <c r="AB235636" s="5"/>
      <c r="AE235636" s="5"/>
      <c r="AH235636" s="5"/>
      <c r="AK235636" s="5"/>
    </row>
    <row r="235646" spans="25:37" x14ac:dyDescent="0.2">
      <c r="Y235646" s="251"/>
      <c r="AB235646" s="251"/>
      <c r="AE235646" s="251"/>
      <c r="AH235646" s="251"/>
      <c r="AK235646" s="251"/>
    </row>
    <row r="235761" spans="25:37" x14ac:dyDescent="0.2">
      <c r="Y235761" s="5"/>
      <c r="AB235761" s="5"/>
      <c r="AE235761" s="5"/>
      <c r="AH235761" s="5"/>
      <c r="AK235761" s="5"/>
    </row>
    <row r="235771" spans="25:37" x14ac:dyDescent="0.2">
      <c r="Y235771" s="251"/>
      <c r="AB235771" s="251"/>
      <c r="AE235771" s="251"/>
      <c r="AH235771" s="251"/>
      <c r="AK235771" s="251"/>
    </row>
    <row r="235886" spans="25:37" x14ac:dyDescent="0.2">
      <c r="Y235886" s="5"/>
      <c r="AB235886" s="5"/>
      <c r="AE235886" s="5"/>
      <c r="AH235886" s="5"/>
      <c r="AK235886" s="5"/>
    </row>
    <row r="235896" spans="25:37" x14ac:dyDescent="0.2">
      <c r="Y235896" s="251"/>
      <c r="AB235896" s="251"/>
      <c r="AE235896" s="251"/>
      <c r="AH235896" s="251"/>
      <c r="AK235896" s="251"/>
    </row>
    <row r="236011" spans="25:37" x14ac:dyDescent="0.2">
      <c r="Y236011" s="5"/>
      <c r="AB236011" s="5"/>
      <c r="AE236011" s="5"/>
      <c r="AH236011" s="5"/>
      <c r="AK236011" s="5"/>
    </row>
    <row r="236021" spans="25:37" x14ac:dyDescent="0.2">
      <c r="Y236021" s="251"/>
      <c r="AB236021" s="251"/>
      <c r="AE236021" s="251"/>
      <c r="AH236021" s="251"/>
      <c r="AK236021" s="251"/>
    </row>
    <row r="236136" spans="25:37" x14ac:dyDescent="0.2">
      <c r="Y236136" s="5"/>
      <c r="AB236136" s="5"/>
      <c r="AE236136" s="5"/>
      <c r="AH236136" s="5"/>
      <c r="AK236136" s="5"/>
    </row>
    <row r="236146" spans="25:37" x14ac:dyDescent="0.2">
      <c r="Y236146" s="251"/>
      <c r="AB236146" s="251"/>
      <c r="AE236146" s="251"/>
      <c r="AH236146" s="251"/>
      <c r="AK236146" s="251"/>
    </row>
    <row r="236261" spans="25:37" x14ac:dyDescent="0.2">
      <c r="Y236261" s="5"/>
      <c r="AB236261" s="5"/>
      <c r="AE236261" s="5"/>
      <c r="AH236261" s="5"/>
      <c r="AK236261" s="5"/>
    </row>
    <row r="236271" spans="25:37" x14ac:dyDescent="0.2">
      <c r="Y236271" s="251"/>
      <c r="AB236271" s="251"/>
      <c r="AE236271" s="251"/>
      <c r="AH236271" s="251"/>
      <c r="AK236271" s="251"/>
    </row>
    <row r="236386" spans="25:37" x14ac:dyDescent="0.2">
      <c r="Y236386" s="5"/>
      <c r="AB236386" s="5"/>
      <c r="AE236386" s="5"/>
      <c r="AH236386" s="5"/>
      <c r="AK236386" s="5"/>
    </row>
    <row r="236396" spans="25:37" x14ac:dyDescent="0.2">
      <c r="Y236396" s="251"/>
      <c r="AB236396" s="251"/>
      <c r="AE236396" s="251"/>
      <c r="AH236396" s="251"/>
      <c r="AK236396" s="251"/>
    </row>
    <row r="236511" spans="25:37" x14ac:dyDescent="0.2">
      <c r="Y236511" s="5"/>
      <c r="AB236511" s="5"/>
      <c r="AE236511" s="5"/>
      <c r="AH236511" s="5"/>
      <c r="AK236511" s="5"/>
    </row>
    <row r="236521" spans="25:37" x14ac:dyDescent="0.2">
      <c r="Y236521" s="251"/>
      <c r="AB236521" s="251"/>
      <c r="AE236521" s="251"/>
      <c r="AH236521" s="251"/>
      <c r="AK236521" s="251"/>
    </row>
    <row r="236636" spans="25:37" x14ac:dyDescent="0.2">
      <c r="Y236636" s="5"/>
      <c r="AB236636" s="5"/>
      <c r="AE236636" s="5"/>
      <c r="AH236636" s="5"/>
      <c r="AK236636" s="5"/>
    </row>
    <row r="236646" spans="25:37" x14ac:dyDescent="0.2">
      <c r="Y236646" s="251"/>
      <c r="AB236646" s="251"/>
      <c r="AE236646" s="251"/>
      <c r="AH236646" s="251"/>
      <c r="AK236646" s="251"/>
    </row>
    <row r="236761" spans="25:37" x14ac:dyDescent="0.2">
      <c r="Y236761" s="5"/>
      <c r="AB236761" s="5"/>
      <c r="AE236761" s="5"/>
      <c r="AH236761" s="5"/>
      <c r="AK236761" s="5"/>
    </row>
    <row r="236771" spans="25:37" x14ac:dyDescent="0.2">
      <c r="Y236771" s="251"/>
      <c r="AB236771" s="251"/>
      <c r="AE236771" s="251"/>
      <c r="AH236771" s="251"/>
      <c r="AK236771" s="251"/>
    </row>
    <row r="236886" spans="25:37" x14ac:dyDescent="0.2">
      <c r="Y236886" s="5"/>
      <c r="AB236886" s="5"/>
      <c r="AE236886" s="5"/>
      <c r="AH236886" s="5"/>
      <c r="AK236886" s="5"/>
    </row>
    <row r="236896" spans="25:37" x14ac:dyDescent="0.2">
      <c r="Y236896" s="251"/>
      <c r="AB236896" s="251"/>
      <c r="AE236896" s="251"/>
      <c r="AH236896" s="251"/>
      <c r="AK236896" s="251"/>
    </row>
    <row r="237011" spans="25:37" x14ac:dyDescent="0.2">
      <c r="Y237011" s="5"/>
      <c r="AB237011" s="5"/>
      <c r="AE237011" s="5"/>
      <c r="AH237011" s="5"/>
      <c r="AK237011" s="5"/>
    </row>
    <row r="237021" spans="25:37" x14ac:dyDescent="0.2">
      <c r="Y237021" s="251"/>
      <c r="AB237021" s="251"/>
      <c r="AE237021" s="251"/>
      <c r="AH237021" s="251"/>
      <c r="AK237021" s="251"/>
    </row>
    <row r="237136" spans="25:37" x14ac:dyDescent="0.2">
      <c r="Y237136" s="5"/>
      <c r="AB237136" s="5"/>
      <c r="AE237136" s="5"/>
      <c r="AH237136" s="5"/>
      <c r="AK237136" s="5"/>
    </row>
    <row r="237146" spans="25:37" x14ac:dyDescent="0.2">
      <c r="Y237146" s="251"/>
      <c r="AB237146" s="251"/>
      <c r="AE237146" s="251"/>
      <c r="AH237146" s="251"/>
      <c r="AK237146" s="251"/>
    </row>
    <row r="237261" spans="25:37" x14ac:dyDescent="0.2">
      <c r="Y237261" s="5"/>
      <c r="AB237261" s="5"/>
      <c r="AE237261" s="5"/>
      <c r="AH237261" s="5"/>
      <c r="AK237261" s="5"/>
    </row>
    <row r="237271" spans="25:37" x14ac:dyDescent="0.2">
      <c r="Y237271" s="251"/>
      <c r="AB237271" s="251"/>
      <c r="AE237271" s="251"/>
      <c r="AH237271" s="251"/>
      <c r="AK237271" s="251"/>
    </row>
    <row r="237386" spans="25:37" x14ac:dyDescent="0.2">
      <c r="Y237386" s="5"/>
      <c r="AB237386" s="5"/>
      <c r="AE237386" s="5"/>
      <c r="AH237386" s="5"/>
      <c r="AK237386" s="5"/>
    </row>
    <row r="237396" spans="25:37" x14ac:dyDescent="0.2">
      <c r="Y237396" s="251"/>
      <c r="AB237396" s="251"/>
      <c r="AE237396" s="251"/>
      <c r="AH237396" s="251"/>
      <c r="AK237396" s="251"/>
    </row>
    <row r="237511" spans="25:37" x14ac:dyDescent="0.2">
      <c r="Y237511" s="5"/>
      <c r="AB237511" s="5"/>
      <c r="AE237511" s="5"/>
      <c r="AH237511" s="5"/>
      <c r="AK237511" s="5"/>
    </row>
    <row r="237521" spans="25:37" x14ac:dyDescent="0.2">
      <c r="Y237521" s="251"/>
      <c r="AB237521" s="251"/>
      <c r="AE237521" s="251"/>
      <c r="AH237521" s="251"/>
      <c r="AK237521" s="251"/>
    </row>
    <row r="237636" spans="25:37" x14ac:dyDescent="0.2">
      <c r="Y237636" s="5"/>
      <c r="AB237636" s="5"/>
      <c r="AE237636" s="5"/>
      <c r="AH237636" s="5"/>
      <c r="AK237636" s="5"/>
    </row>
    <row r="237646" spans="25:37" x14ac:dyDescent="0.2">
      <c r="Y237646" s="251"/>
      <c r="AB237646" s="251"/>
      <c r="AE237646" s="251"/>
      <c r="AH237646" s="251"/>
      <c r="AK237646" s="251"/>
    </row>
    <row r="237761" spans="25:37" x14ac:dyDescent="0.2">
      <c r="Y237761" s="5"/>
      <c r="AB237761" s="5"/>
      <c r="AE237761" s="5"/>
      <c r="AH237761" s="5"/>
      <c r="AK237761" s="5"/>
    </row>
    <row r="237771" spans="25:37" x14ac:dyDescent="0.2">
      <c r="Y237771" s="251"/>
      <c r="AB237771" s="251"/>
      <c r="AE237771" s="251"/>
      <c r="AH237771" s="251"/>
      <c r="AK237771" s="251"/>
    </row>
    <row r="237886" spans="25:37" x14ac:dyDescent="0.2">
      <c r="Y237886" s="5"/>
      <c r="AB237886" s="5"/>
      <c r="AE237886" s="5"/>
      <c r="AH237886" s="5"/>
      <c r="AK237886" s="5"/>
    </row>
    <row r="237896" spans="25:37" x14ac:dyDescent="0.2">
      <c r="Y237896" s="251"/>
      <c r="AB237896" s="251"/>
      <c r="AE237896" s="251"/>
      <c r="AH237896" s="251"/>
      <c r="AK237896" s="251"/>
    </row>
    <row r="238011" spans="25:37" x14ac:dyDescent="0.2">
      <c r="Y238011" s="5"/>
      <c r="AB238011" s="5"/>
      <c r="AE238011" s="5"/>
      <c r="AH238011" s="5"/>
      <c r="AK238011" s="5"/>
    </row>
    <row r="238021" spans="25:37" x14ac:dyDescent="0.2">
      <c r="Y238021" s="251"/>
      <c r="AB238021" s="251"/>
      <c r="AE238021" s="251"/>
      <c r="AH238021" s="251"/>
      <c r="AK238021" s="251"/>
    </row>
    <row r="238136" spans="25:37" x14ac:dyDescent="0.2">
      <c r="Y238136" s="5"/>
      <c r="AB238136" s="5"/>
      <c r="AE238136" s="5"/>
      <c r="AH238136" s="5"/>
      <c r="AK238136" s="5"/>
    </row>
    <row r="238146" spans="25:37" x14ac:dyDescent="0.2">
      <c r="Y238146" s="251"/>
      <c r="AB238146" s="251"/>
      <c r="AE238146" s="251"/>
      <c r="AH238146" s="251"/>
      <c r="AK238146" s="251"/>
    </row>
    <row r="238261" spans="25:37" x14ac:dyDescent="0.2">
      <c r="Y238261" s="5"/>
      <c r="AB238261" s="5"/>
      <c r="AE238261" s="5"/>
      <c r="AH238261" s="5"/>
      <c r="AK238261" s="5"/>
    </row>
    <row r="238271" spans="25:37" x14ac:dyDescent="0.2">
      <c r="Y238271" s="251"/>
      <c r="AB238271" s="251"/>
      <c r="AE238271" s="251"/>
      <c r="AH238271" s="251"/>
      <c r="AK238271" s="251"/>
    </row>
    <row r="238386" spans="25:37" x14ac:dyDescent="0.2">
      <c r="Y238386" s="5"/>
      <c r="AB238386" s="5"/>
      <c r="AE238386" s="5"/>
      <c r="AH238386" s="5"/>
      <c r="AK238386" s="5"/>
    </row>
    <row r="238396" spans="25:37" x14ac:dyDescent="0.2">
      <c r="Y238396" s="251"/>
      <c r="AB238396" s="251"/>
      <c r="AE238396" s="251"/>
      <c r="AH238396" s="251"/>
      <c r="AK238396" s="251"/>
    </row>
    <row r="238511" spans="25:37" x14ac:dyDescent="0.2">
      <c r="Y238511" s="5"/>
      <c r="AB238511" s="5"/>
      <c r="AE238511" s="5"/>
      <c r="AH238511" s="5"/>
      <c r="AK238511" s="5"/>
    </row>
    <row r="238521" spans="25:37" x14ac:dyDescent="0.2">
      <c r="Y238521" s="251"/>
      <c r="AB238521" s="251"/>
      <c r="AE238521" s="251"/>
      <c r="AH238521" s="251"/>
      <c r="AK238521" s="251"/>
    </row>
    <row r="238636" spans="25:37" x14ac:dyDescent="0.2">
      <c r="Y238636" s="5"/>
      <c r="AB238636" s="5"/>
      <c r="AE238636" s="5"/>
      <c r="AH238636" s="5"/>
      <c r="AK238636" s="5"/>
    </row>
    <row r="238646" spans="25:37" x14ac:dyDescent="0.2">
      <c r="Y238646" s="251"/>
      <c r="AB238646" s="251"/>
      <c r="AE238646" s="251"/>
      <c r="AH238646" s="251"/>
      <c r="AK238646" s="251"/>
    </row>
    <row r="238761" spans="25:37" x14ac:dyDescent="0.2">
      <c r="Y238761" s="5"/>
      <c r="AB238761" s="5"/>
      <c r="AE238761" s="5"/>
      <c r="AH238761" s="5"/>
      <c r="AK238761" s="5"/>
    </row>
    <row r="238771" spans="25:37" x14ac:dyDescent="0.2">
      <c r="Y238771" s="251"/>
      <c r="AB238771" s="251"/>
      <c r="AE238771" s="251"/>
      <c r="AH238771" s="251"/>
      <c r="AK238771" s="251"/>
    </row>
    <row r="238886" spans="25:37" x14ac:dyDescent="0.2">
      <c r="Y238886" s="5"/>
      <c r="AB238886" s="5"/>
      <c r="AE238886" s="5"/>
      <c r="AH238886" s="5"/>
      <c r="AK238886" s="5"/>
    </row>
    <row r="238896" spans="25:37" x14ac:dyDescent="0.2">
      <c r="Y238896" s="251"/>
      <c r="AB238896" s="251"/>
      <c r="AE238896" s="251"/>
      <c r="AH238896" s="251"/>
      <c r="AK238896" s="251"/>
    </row>
    <row r="239011" spans="25:37" x14ac:dyDescent="0.2">
      <c r="Y239011" s="5"/>
      <c r="AB239011" s="5"/>
      <c r="AE239011" s="5"/>
      <c r="AH239011" s="5"/>
      <c r="AK239011" s="5"/>
    </row>
    <row r="239021" spans="25:37" x14ac:dyDescent="0.2">
      <c r="Y239021" s="251"/>
      <c r="AB239021" s="251"/>
      <c r="AE239021" s="251"/>
      <c r="AH239021" s="251"/>
      <c r="AK239021" s="251"/>
    </row>
    <row r="239136" spans="25:37" x14ac:dyDescent="0.2">
      <c r="Y239136" s="5"/>
      <c r="AB239136" s="5"/>
      <c r="AE239136" s="5"/>
      <c r="AH239136" s="5"/>
      <c r="AK239136" s="5"/>
    </row>
    <row r="239146" spans="25:37" x14ac:dyDescent="0.2">
      <c r="Y239146" s="251"/>
      <c r="AB239146" s="251"/>
      <c r="AE239146" s="251"/>
      <c r="AH239146" s="251"/>
      <c r="AK239146" s="251"/>
    </row>
    <row r="239261" spans="25:37" x14ac:dyDescent="0.2">
      <c r="Y239261" s="5"/>
      <c r="AB239261" s="5"/>
      <c r="AE239261" s="5"/>
      <c r="AH239261" s="5"/>
      <c r="AK239261" s="5"/>
    </row>
    <row r="239271" spans="25:37" x14ac:dyDescent="0.2">
      <c r="Y239271" s="251"/>
      <c r="AB239271" s="251"/>
      <c r="AE239271" s="251"/>
      <c r="AH239271" s="251"/>
      <c r="AK239271" s="251"/>
    </row>
    <row r="239386" spans="25:37" x14ac:dyDescent="0.2">
      <c r="Y239386" s="5"/>
      <c r="AB239386" s="5"/>
      <c r="AE239386" s="5"/>
      <c r="AH239386" s="5"/>
      <c r="AK239386" s="5"/>
    </row>
    <row r="239396" spans="25:37" x14ac:dyDescent="0.2">
      <c r="Y239396" s="251"/>
      <c r="AB239396" s="251"/>
      <c r="AE239396" s="251"/>
      <c r="AH239396" s="251"/>
      <c r="AK239396" s="251"/>
    </row>
    <row r="239511" spans="25:37" x14ac:dyDescent="0.2">
      <c r="Y239511" s="5"/>
      <c r="AB239511" s="5"/>
      <c r="AE239511" s="5"/>
      <c r="AH239511" s="5"/>
      <c r="AK239511" s="5"/>
    </row>
    <row r="239521" spans="25:37" x14ac:dyDescent="0.2">
      <c r="Y239521" s="251"/>
      <c r="AB239521" s="251"/>
      <c r="AE239521" s="251"/>
      <c r="AH239521" s="251"/>
      <c r="AK239521" s="251"/>
    </row>
    <row r="239636" spans="25:37" x14ac:dyDescent="0.2">
      <c r="Y239636" s="5"/>
      <c r="AB239636" s="5"/>
      <c r="AE239636" s="5"/>
      <c r="AH239636" s="5"/>
      <c r="AK239636" s="5"/>
    </row>
    <row r="239646" spans="25:37" x14ac:dyDescent="0.2">
      <c r="Y239646" s="251"/>
      <c r="AB239646" s="251"/>
      <c r="AE239646" s="251"/>
      <c r="AH239646" s="251"/>
      <c r="AK239646" s="251"/>
    </row>
    <row r="239761" spans="25:37" x14ac:dyDescent="0.2">
      <c r="Y239761" s="5"/>
      <c r="AB239761" s="5"/>
      <c r="AE239761" s="5"/>
      <c r="AH239761" s="5"/>
      <c r="AK239761" s="5"/>
    </row>
    <row r="239771" spans="25:37" x14ac:dyDescent="0.2">
      <c r="Y239771" s="251"/>
      <c r="AB239771" s="251"/>
      <c r="AE239771" s="251"/>
      <c r="AH239771" s="251"/>
      <c r="AK239771" s="251"/>
    </row>
    <row r="239886" spans="25:37" x14ac:dyDescent="0.2">
      <c r="Y239886" s="5"/>
      <c r="AB239886" s="5"/>
      <c r="AE239886" s="5"/>
      <c r="AH239886" s="5"/>
      <c r="AK239886" s="5"/>
    </row>
    <row r="239896" spans="25:37" x14ac:dyDescent="0.2">
      <c r="Y239896" s="251"/>
      <c r="AB239896" s="251"/>
      <c r="AE239896" s="251"/>
      <c r="AH239896" s="251"/>
      <c r="AK239896" s="251"/>
    </row>
    <row r="240011" spans="25:37" x14ac:dyDescent="0.2">
      <c r="Y240011" s="5"/>
      <c r="AB240011" s="5"/>
      <c r="AE240011" s="5"/>
      <c r="AH240011" s="5"/>
      <c r="AK240011" s="5"/>
    </row>
    <row r="240021" spans="25:37" x14ac:dyDescent="0.2">
      <c r="Y240021" s="251"/>
      <c r="AB240021" s="251"/>
      <c r="AE240021" s="251"/>
      <c r="AH240021" s="251"/>
      <c r="AK240021" s="251"/>
    </row>
    <row r="240136" spans="25:37" x14ac:dyDescent="0.2">
      <c r="Y240136" s="5"/>
      <c r="AB240136" s="5"/>
      <c r="AE240136" s="5"/>
      <c r="AH240136" s="5"/>
      <c r="AK240136" s="5"/>
    </row>
    <row r="240146" spans="25:37" x14ac:dyDescent="0.2">
      <c r="Y240146" s="251"/>
      <c r="AB240146" s="251"/>
      <c r="AE240146" s="251"/>
      <c r="AH240146" s="251"/>
      <c r="AK240146" s="251"/>
    </row>
    <row r="240261" spans="25:37" x14ac:dyDescent="0.2">
      <c r="Y240261" s="5"/>
      <c r="AB240261" s="5"/>
      <c r="AE240261" s="5"/>
      <c r="AH240261" s="5"/>
      <c r="AK240261" s="5"/>
    </row>
    <row r="240271" spans="25:37" x14ac:dyDescent="0.2">
      <c r="Y240271" s="251"/>
      <c r="AB240271" s="251"/>
      <c r="AE240271" s="251"/>
      <c r="AH240271" s="251"/>
      <c r="AK240271" s="251"/>
    </row>
    <row r="240386" spans="25:37" x14ac:dyDescent="0.2">
      <c r="Y240386" s="5"/>
      <c r="AB240386" s="5"/>
      <c r="AE240386" s="5"/>
      <c r="AH240386" s="5"/>
      <c r="AK240386" s="5"/>
    </row>
    <row r="240396" spans="25:37" x14ac:dyDescent="0.2">
      <c r="Y240396" s="251"/>
      <c r="AB240396" s="251"/>
      <c r="AE240396" s="251"/>
      <c r="AH240396" s="251"/>
      <c r="AK240396" s="251"/>
    </row>
    <row r="240511" spans="25:37" x14ac:dyDescent="0.2">
      <c r="Y240511" s="5"/>
      <c r="AB240511" s="5"/>
      <c r="AE240511" s="5"/>
      <c r="AH240511" s="5"/>
      <c r="AK240511" s="5"/>
    </row>
    <row r="240521" spans="25:37" x14ac:dyDescent="0.2">
      <c r="Y240521" s="251"/>
      <c r="AB240521" s="251"/>
      <c r="AE240521" s="251"/>
      <c r="AH240521" s="251"/>
      <c r="AK240521" s="251"/>
    </row>
    <row r="240636" spans="25:37" x14ac:dyDescent="0.2">
      <c r="Y240636" s="5"/>
      <c r="AB240636" s="5"/>
      <c r="AE240636" s="5"/>
      <c r="AH240636" s="5"/>
      <c r="AK240636" s="5"/>
    </row>
    <row r="240646" spans="25:37" x14ac:dyDescent="0.2">
      <c r="Y240646" s="251"/>
      <c r="AB240646" s="251"/>
      <c r="AE240646" s="251"/>
      <c r="AH240646" s="251"/>
      <c r="AK240646" s="251"/>
    </row>
    <row r="240761" spans="25:37" x14ac:dyDescent="0.2">
      <c r="Y240761" s="5"/>
      <c r="AB240761" s="5"/>
      <c r="AE240761" s="5"/>
      <c r="AH240761" s="5"/>
      <c r="AK240761" s="5"/>
    </row>
    <row r="240771" spans="25:37" x14ac:dyDescent="0.2">
      <c r="Y240771" s="251"/>
      <c r="AB240771" s="251"/>
      <c r="AE240771" s="251"/>
      <c r="AH240771" s="251"/>
      <c r="AK240771" s="251"/>
    </row>
    <row r="240886" spans="25:37" x14ac:dyDescent="0.2">
      <c r="Y240886" s="5"/>
      <c r="AB240886" s="5"/>
      <c r="AE240886" s="5"/>
      <c r="AH240886" s="5"/>
      <c r="AK240886" s="5"/>
    </row>
    <row r="240896" spans="25:37" x14ac:dyDescent="0.2">
      <c r="Y240896" s="251"/>
      <c r="AB240896" s="251"/>
      <c r="AE240896" s="251"/>
      <c r="AH240896" s="251"/>
      <c r="AK240896" s="251"/>
    </row>
    <row r="241011" spans="25:37" x14ac:dyDescent="0.2">
      <c r="Y241011" s="5"/>
      <c r="AB241011" s="5"/>
      <c r="AE241011" s="5"/>
      <c r="AH241011" s="5"/>
      <c r="AK241011" s="5"/>
    </row>
    <row r="241021" spans="25:37" x14ac:dyDescent="0.2">
      <c r="Y241021" s="251"/>
      <c r="AB241021" s="251"/>
      <c r="AE241021" s="251"/>
      <c r="AH241021" s="251"/>
      <c r="AK241021" s="251"/>
    </row>
    <row r="241136" spans="25:37" x14ac:dyDescent="0.2">
      <c r="Y241136" s="5"/>
      <c r="AB241136" s="5"/>
      <c r="AE241136" s="5"/>
      <c r="AH241136" s="5"/>
      <c r="AK241136" s="5"/>
    </row>
    <row r="241146" spans="25:37" x14ac:dyDescent="0.2">
      <c r="Y241146" s="251"/>
      <c r="AB241146" s="251"/>
      <c r="AE241146" s="251"/>
      <c r="AH241146" s="251"/>
      <c r="AK241146" s="251"/>
    </row>
    <row r="241261" spans="25:37" x14ac:dyDescent="0.2">
      <c r="Y241261" s="5"/>
      <c r="AB241261" s="5"/>
      <c r="AE241261" s="5"/>
      <c r="AH241261" s="5"/>
      <c r="AK241261" s="5"/>
    </row>
    <row r="241271" spans="25:37" x14ac:dyDescent="0.2">
      <c r="Y241271" s="251"/>
      <c r="AB241271" s="251"/>
      <c r="AE241271" s="251"/>
      <c r="AH241271" s="251"/>
      <c r="AK241271" s="251"/>
    </row>
    <row r="241386" spans="25:37" x14ac:dyDescent="0.2">
      <c r="Y241386" s="5"/>
      <c r="AB241386" s="5"/>
      <c r="AE241386" s="5"/>
      <c r="AH241386" s="5"/>
      <c r="AK241386" s="5"/>
    </row>
    <row r="241396" spans="25:37" x14ac:dyDescent="0.2">
      <c r="Y241396" s="251"/>
      <c r="AB241396" s="251"/>
      <c r="AE241396" s="251"/>
      <c r="AH241396" s="251"/>
      <c r="AK241396" s="251"/>
    </row>
    <row r="241511" spans="25:37" x14ac:dyDescent="0.2">
      <c r="Y241511" s="5"/>
      <c r="AB241511" s="5"/>
      <c r="AE241511" s="5"/>
      <c r="AH241511" s="5"/>
      <c r="AK241511" s="5"/>
    </row>
    <row r="241521" spans="25:37" x14ac:dyDescent="0.2">
      <c r="Y241521" s="251"/>
      <c r="AB241521" s="251"/>
      <c r="AE241521" s="251"/>
      <c r="AH241521" s="251"/>
      <c r="AK241521" s="251"/>
    </row>
    <row r="241636" spans="25:37" x14ac:dyDescent="0.2">
      <c r="Y241636" s="5"/>
      <c r="AB241636" s="5"/>
      <c r="AE241636" s="5"/>
      <c r="AH241636" s="5"/>
      <c r="AK241636" s="5"/>
    </row>
    <row r="241646" spans="25:37" x14ac:dyDescent="0.2">
      <c r="Y241646" s="251"/>
      <c r="AB241646" s="251"/>
      <c r="AE241646" s="251"/>
      <c r="AH241646" s="251"/>
      <c r="AK241646" s="251"/>
    </row>
    <row r="241761" spans="25:37" x14ac:dyDescent="0.2">
      <c r="Y241761" s="5"/>
      <c r="AB241761" s="5"/>
      <c r="AE241761" s="5"/>
      <c r="AH241761" s="5"/>
      <c r="AK241761" s="5"/>
    </row>
    <row r="241771" spans="25:37" x14ac:dyDescent="0.2">
      <c r="Y241771" s="251"/>
      <c r="AB241771" s="251"/>
      <c r="AE241771" s="251"/>
      <c r="AH241771" s="251"/>
      <c r="AK241771" s="251"/>
    </row>
    <row r="241886" spans="25:37" x14ac:dyDescent="0.2">
      <c r="Y241886" s="5"/>
      <c r="AB241886" s="5"/>
      <c r="AE241886" s="5"/>
      <c r="AH241886" s="5"/>
      <c r="AK241886" s="5"/>
    </row>
    <row r="241896" spans="25:37" x14ac:dyDescent="0.2">
      <c r="Y241896" s="251"/>
      <c r="AB241896" s="251"/>
      <c r="AE241896" s="251"/>
      <c r="AH241896" s="251"/>
      <c r="AK241896" s="251"/>
    </row>
    <row r="242011" spans="25:37" x14ac:dyDescent="0.2">
      <c r="Y242011" s="5"/>
      <c r="AB242011" s="5"/>
      <c r="AE242011" s="5"/>
      <c r="AH242011" s="5"/>
      <c r="AK242011" s="5"/>
    </row>
    <row r="242021" spans="25:37" x14ac:dyDescent="0.2">
      <c r="Y242021" s="251"/>
      <c r="AB242021" s="251"/>
      <c r="AE242021" s="251"/>
      <c r="AH242021" s="251"/>
      <c r="AK242021" s="251"/>
    </row>
    <row r="242136" spans="25:37" x14ac:dyDescent="0.2">
      <c r="Y242136" s="5"/>
      <c r="AB242136" s="5"/>
      <c r="AE242136" s="5"/>
      <c r="AH242136" s="5"/>
      <c r="AK242136" s="5"/>
    </row>
    <row r="242146" spans="25:37" x14ac:dyDescent="0.2">
      <c r="Y242146" s="251"/>
      <c r="AB242146" s="251"/>
      <c r="AE242146" s="251"/>
      <c r="AH242146" s="251"/>
      <c r="AK242146" s="251"/>
    </row>
    <row r="242261" spans="25:37" x14ac:dyDescent="0.2">
      <c r="Y242261" s="5"/>
      <c r="AB242261" s="5"/>
      <c r="AE242261" s="5"/>
      <c r="AH242261" s="5"/>
      <c r="AK242261" s="5"/>
    </row>
    <row r="242271" spans="25:37" x14ac:dyDescent="0.2">
      <c r="Y242271" s="251"/>
      <c r="AB242271" s="251"/>
      <c r="AE242271" s="251"/>
      <c r="AH242271" s="251"/>
      <c r="AK242271" s="251"/>
    </row>
    <row r="242386" spans="25:37" x14ac:dyDescent="0.2">
      <c r="Y242386" s="5"/>
      <c r="AB242386" s="5"/>
      <c r="AE242386" s="5"/>
      <c r="AH242386" s="5"/>
      <c r="AK242386" s="5"/>
    </row>
    <row r="242396" spans="25:37" x14ac:dyDescent="0.2">
      <c r="Y242396" s="251"/>
      <c r="AB242396" s="251"/>
      <c r="AE242396" s="251"/>
      <c r="AH242396" s="251"/>
      <c r="AK242396" s="251"/>
    </row>
    <row r="242511" spans="25:37" x14ac:dyDescent="0.2">
      <c r="Y242511" s="5"/>
      <c r="AB242511" s="5"/>
      <c r="AE242511" s="5"/>
      <c r="AH242511" s="5"/>
      <c r="AK242511" s="5"/>
    </row>
    <row r="242521" spans="25:37" x14ac:dyDescent="0.2">
      <c r="Y242521" s="251"/>
      <c r="AB242521" s="251"/>
      <c r="AE242521" s="251"/>
      <c r="AH242521" s="251"/>
      <c r="AK242521" s="251"/>
    </row>
    <row r="242636" spans="25:37" x14ac:dyDescent="0.2">
      <c r="Y242636" s="5"/>
      <c r="AB242636" s="5"/>
      <c r="AE242636" s="5"/>
      <c r="AH242636" s="5"/>
      <c r="AK242636" s="5"/>
    </row>
    <row r="242646" spans="25:37" x14ac:dyDescent="0.2">
      <c r="Y242646" s="251"/>
      <c r="AB242646" s="251"/>
      <c r="AE242646" s="251"/>
      <c r="AH242646" s="251"/>
      <c r="AK242646" s="251"/>
    </row>
    <row r="242761" spans="25:37" x14ac:dyDescent="0.2">
      <c r="Y242761" s="5"/>
      <c r="AB242761" s="5"/>
      <c r="AE242761" s="5"/>
      <c r="AH242761" s="5"/>
      <c r="AK242761" s="5"/>
    </row>
    <row r="242771" spans="25:37" x14ac:dyDescent="0.2">
      <c r="Y242771" s="251"/>
      <c r="AB242771" s="251"/>
      <c r="AE242771" s="251"/>
      <c r="AH242771" s="251"/>
      <c r="AK242771" s="251"/>
    </row>
    <row r="242886" spans="25:37" x14ac:dyDescent="0.2">
      <c r="Y242886" s="5"/>
      <c r="AB242886" s="5"/>
      <c r="AE242886" s="5"/>
      <c r="AH242886" s="5"/>
      <c r="AK242886" s="5"/>
    </row>
    <row r="242896" spans="25:37" x14ac:dyDescent="0.2">
      <c r="Y242896" s="251"/>
      <c r="AB242896" s="251"/>
      <c r="AE242896" s="251"/>
      <c r="AH242896" s="251"/>
      <c r="AK242896" s="251"/>
    </row>
    <row r="243011" spans="25:37" x14ac:dyDescent="0.2">
      <c r="Y243011" s="5"/>
      <c r="AB243011" s="5"/>
      <c r="AE243011" s="5"/>
      <c r="AH243011" s="5"/>
      <c r="AK243011" s="5"/>
    </row>
    <row r="243021" spans="25:37" x14ac:dyDescent="0.2">
      <c r="Y243021" s="251"/>
      <c r="AB243021" s="251"/>
      <c r="AE243021" s="251"/>
      <c r="AH243021" s="251"/>
      <c r="AK243021" s="251"/>
    </row>
    <row r="243136" spans="25:37" x14ac:dyDescent="0.2">
      <c r="Y243136" s="5"/>
      <c r="AB243136" s="5"/>
      <c r="AE243136" s="5"/>
      <c r="AH243136" s="5"/>
      <c r="AK243136" s="5"/>
    </row>
    <row r="243146" spans="25:37" x14ac:dyDescent="0.2">
      <c r="Y243146" s="251"/>
      <c r="AB243146" s="251"/>
      <c r="AE243146" s="251"/>
      <c r="AH243146" s="251"/>
      <c r="AK243146" s="251"/>
    </row>
    <row r="243261" spans="25:37" x14ac:dyDescent="0.2">
      <c r="Y243261" s="5"/>
      <c r="AB243261" s="5"/>
      <c r="AE243261" s="5"/>
      <c r="AH243261" s="5"/>
      <c r="AK243261" s="5"/>
    </row>
    <row r="243271" spans="25:37" x14ac:dyDescent="0.2">
      <c r="Y243271" s="251"/>
      <c r="AB243271" s="251"/>
      <c r="AE243271" s="251"/>
      <c r="AH243271" s="251"/>
      <c r="AK243271" s="251"/>
    </row>
    <row r="243386" spans="25:37" x14ac:dyDescent="0.2">
      <c r="Y243386" s="5"/>
      <c r="AB243386" s="5"/>
      <c r="AE243386" s="5"/>
      <c r="AH243386" s="5"/>
      <c r="AK243386" s="5"/>
    </row>
    <row r="243396" spans="25:37" x14ac:dyDescent="0.2">
      <c r="Y243396" s="251"/>
      <c r="AB243396" s="251"/>
      <c r="AE243396" s="251"/>
      <c r="AH243396" s="251"/>
      <c r="AK243396" s="251"/>
    </row>
    <row r="243511" spans="25:37" x14ac:dyDescent="0.2">
      <c r="Y243511" s="5"/>
      <c r="AB243511" s="5"/>
      <c r="AE243511" s="5"/>
      <c r="AH243511" s="5"/>
      <c r="AK243511" s="5"/>
    </row>
    <row r="243521" spans="25:37" x14ac:dyDescent="0.2">
      <c r="Y243521" s="251"/>
      <c r="AB243521" s="251"/>
      <c r="AE243521" s="251"/>
      <c r="AH243521" s="251"/>
      <c r="AK243521" s="251"/>
    </row>
    <row r="243636" spans="25:37" x14ac:dyDescent="0.2">
      <c r="Y243636" s="5"/>
      <c r="AB243636" s="5"/>
      <c r="AE243636" s="5"/>
      <c r="AH243636" s="5"/>
      <c r="AK243636" s="5"/>
    </row>
    <row r="243646" spans="25:37" x14ac:dyDescent="0.2">
      <c r="Y243646" s="251"/>
      <c r="AB243646" s="251"/>
      <c r="AE243646" s="251"/>
      <c r="AH243646" s="251"/>
      <c r="AK243646" s="251"/>
    </row>
    <row r="243761" spans="25:37" x14ac:dyDescent="0.2">
      <c r="Y243761" s="5"/>
      <c r="AB243761" s="5"/>
      <c r="AE243761" s="5"/>
      <c r="AH243761" s="5"/>
      <c r="AK243761" s="5"/>
    </row>
    <row r="243771" spans="25:37" x14ac:dyDescent="0.2">
      <c r="Y243771" s="251"/>
      <c r="AB243771" s="251"/>
      <c r="AE243771" s="251"/>
      <c r="AH243771" s="251"/>
      <c r="AK243771" s="251"/>
    </row>
    <row r="243886" spans="25:37" x14ac:dyDescent="0.2">
      <c r="Y243886" s="5"/>
      <c r="AB243886" s="5"/>
      <c r="AE243886" s="5"/>
      <c r="AH243886" s="5"/>
      <c r="AK243886" s="5"/>
    </row>
    <row r="243896" spans="25:37" x14ac:dyDescent="0.2">
      <c r="Y243896" s="251"/>
      <c r="AB243896" s="251"/>
      <c r="AE243896" s="251"/>
      <c r="AH243896" s="251"/>
      <c r="AK243896" s="251"/>
    </row>
    <row r="244011" spans="25:37" x14ac:dyDescent="0.2">
      <c r="Y244011" s="5"/>
      <c r="AB244011" s="5"/>
      <c r="AE244011" s="5"/>
      <c r="AH244011" s="5"/>
      <c r="AK244011" s="5"/>
    </row>
    <row r="244021" spans="25:37" x14ac:dyDescent="0.2">
      <c r="Y244021" s="251"/>
      <c r="AB244021" s="251"/>
      <c r="AE244021" s="251"/>
      <c r="AH244021" s="251"/>
      <c r="AK244021" s="251"/>
    </row>
    <row r="244136" spans="25:37" x14ac:dyDescent="0.2">
      <c r="Y244136" s="5"/>
      <c r="AB244136" s="5"/>
      <c r="AE244136" s="5"/>
      <c r="AH244136" s="5"/>
      <c r="AK244136" s="5"/>
    </row>
    <row r="244146" spans="25:37" x14ac:dyDescent="0.2">
      <c r="Y244146" s="251"/>
      <c r="AB244146" s="251"/>
      <c r="AE244146" s="251"/>
      <c r="AH244146" s="251"/>
      <c r="AK244146" s="251"/>
    </row>
    <row r="244261" spans="25:37" x14ac:dyDescent="0.2">
      <c r="Y244261" s="5"/>
      <c r="AB244261" s="5"/>
      <c r="AE244261" s="5"/>
      <c r="AH244261" s="5"/>
      <c r="AK244261" s="5"/>
    </row>
    <row r="244271" spans="25:37" x14ac:dyDescent="0.2">
      <c r="Y244271" s="251"/>
      <c r="AB244271" s="251"/>
      <c r="AE244271" s="251"/>
      <c r="AH244271" s="251"/>
      <c r="AK244271" s="251"/>
    </row>
    <row r="244386" spans="25:37" x14ac:dyDescent="0.2">
      <c r="Y244386" s="5"/>
      <c r="AB244386" s="5"/>
      <c r="AE244386" s="5"/>
      <c r="AH244386" s="5"/>
      <c r="AK244386" s="5"/>
    </row>
    <row r="244396" spans="25:37" x14ac:dyDescent="0.2">
      <c r="Y244396" s="251"/>
      <c r="AB244396" s="251"/>
      <c r="AE244396" s="251"/>
      <c r="AH244396" s="251"/>
      <c r="AK244396" s="251"/>
    </row>
    <row r="244511" spans="25:37" x14ac:dyDescent="0.2">
      <c r="Y244511" s="5"/>
      <c r="AB244511" s="5"/>
      <c r="AE244511" s="5"/>
      <c r="AH244511" s="5"/>
      <c r="AK244511" s="5"/>
    </row>
    <row r="244521" spans="25:37" x14ac:dyDescent="0.2">
      <c r="Y244521" s="251"/>
      <c r="AB244521" s="251"/>
      <c r="AE244521" s="251"/>
      <c r="AH244521" s="251"/>
      <c r="AK244521" s="251"/>
    </row>
    <row r="244636" spans="25:37" x14ac:dyDescent="0.2">
      <c r="Y244636" s="5"/>
      <c r="AB244636" s="5"/>
      <c r="AE244636" s="5"/>
      <c r="AH244636" s="5"/>
      <c r="AK244636" s="5"/>
    </row>
    <row r="244646" spans="25:37" x14ac:dyDescent="0.2">
      <c r="Y244646" s="251"/>
      <c r="AB244646" s="251"/>
      <c r="AE244646" s="251"/>
      <c r="AH244646" s="251"/>
      <c r="AK244646" s="251"/>
    </row>
    <row r="244761" spans="25:37" x14ac:dyDescent="0.2">
      <c r="Y244761" s="5"/>
      <c r="AB244761" s="5"/>
      <c r="AE244761" s="5"/>
      <c r="AH244761" s="5"/>
      <c r="AK244761" s="5"/>
    </row>
    <row r="244771" spans="25:37" x14ac:dyDescent="0.2">
      <c r="Y244771" s="251"/>
      <c r="AB244771" s="251"/>
      <c r="AE244771" s="251"/>
      <c r="AH244771" s="251"/>
      <c r="AK244771" s="251"/>
    </row>
    <row r="244886" spans="25:37" x14ac:dyDescent="0.2">
      <c r="Y244886" s="5"/>
      <c r="AB244886" s="5"/>
      <c r="AE244886" s="5"/>
      <c r="AH244886" s="5"/>
      <c r="AK244886" s="5"/>
    </row>
    <row r="244896" spans="25:37" x14ac:dyDescent="0.2">
      <c r="Y244896" s="251"/>
      <c r="AB244896" s="251"/>
      <c r="AE244896" s="251"/>
      <c r="AH244896" s="251"/>
      <c r="AK244896" s="251"/>
    </row>
    <row r="245011" spans="25:37" x14ac:dyDescent="0.2">
      <c r="Y245011" s="5"/>
      <c r="AB245011" s="5"/>
      <c r="AE245011" s="5"/>
      <c r="AH245011" s="5"/>
      <c r="AK245011" s="5"/>
    </row>
    <row r="245021" spans="25:37" x14ac:dyDescent="0.2">
      <c r="Y245021" s="251"/>
      <c r="AB245021" s="251"/>
      <c r="AE245021" s="251"/>
      <c r="AH245021" s="251"/>
      <c r="AK245021" s="251"/>
    </row>
    <row r="245136" spans="25:37" x14ac:dyDescent="0.2">
      <c r="Y245136" s="5"/>
      <c r="AB245136" s="5"/>
      <c r="AE245136" s="5"/>
      <c r="AH245136" s="5"/>
      <c r="AK245136" s="5"/>
    </row>
    <row r="245146" spans="25:37" x14ac:dyDescent="0.2">
      <c r="Y245146" s="251"/>
      <c r="AB245146" s="251"/>
      <c r="AE245146" s="251"/>
      <c r="AH245146" s="251"/>
      <c r="AK245146" s="251"/>
    </row>
    <row r="245261" spans="25:37" x14ac:dyDescent="0.2">
      <c r="Y245261" s="5"/>
      <c r="AB245261" s="5"/>
      <c r="AE245261" s="5"/>
      <c r="AH245261" s="5"/>
      <c r="AK245261" s="5"/>
    </row>
    <row r="245271" spans="25:37" x14ac:dyDescent="0.2">
      <c r="Y245271" s="251"/>
      <c r="AB245271" s="251"/>
      <c r="AE245271" s="251"/>
      <c r="AH245271" s="251"/>
      <c r="AK245271" s="251"/>
    </row>
    <row r="245386" spans="25:37" x14ac:dyDescent="0.2">
      <c r="Y245386" s="5"/>
      <c r="AB245386" s="5"/>
      <c r="AE245386" s="5"/>
      <c r="AH245386" s="5"/>
      <c r="AK245386" s="5"/>
    </row>
    <row r="245396" spans="25:37" x14ac:dyDescent="0.2">
      <c r="Y245396" s="251"/>
      <c r="AB245396" s="251"/>
      <c r="AE245396" s="251"/>
      <c r="AH245396" s="251"/>
      <c r="AK245396" s="251"/>
    </row>
    <row r="245511" spans="25:37" x14ac:dyDescent="0.2">
      <c r="Y245511" s="5"/>
      <c r="AB245511" s="5"/>
      <c r="AE245511" s="5"/>
      <c r="AH245511" s="5"/>
      <c r="AK245511" s="5"/>
    </row>
    <row r="245521" spans="25:37" x14ac:dyDescent="0.2">
      <c r="Y245521" s="251"/>
      <c r="AB245521" s="251"/>
      <c r="AE245521" s="251"/>
      <c r="AH245521" s="251"/>
      <c r="AK245521" s="251"/>
    </row>
    <row r="245636" spans="25:37" x14ac:dyDescent="0.2">
      <c r="Y245636" s="5"/>
      <c r="AB245636" s="5"/>
      <c r="AE245636" s="5"/>
      <c r="AH245636" s="5"/>
      <c r="AK245636" s="5"/>
    </row>
    <row r="245646" spans="25:37" x14ac:dyDescent="0.2">
      <c r="Y245646" s="251"/>
      <c r="AB245646" s="251"/>
      <c r="AE245646" s="251"/>
      <c r="AH245646" s="251"/>
      <c r="AK245646" s="251"/>
    </row>
    <row r="245761" spans="25:37" x14ac:dyDescent="0.2">
      <c r="Y245761" s="5"/>
      <c r="AB245761" s="5"/>
      <c r="AE245761" s="5"/>
      <c r="AH245761" s="5"/>
      <c r="AK245761" s="5"/>
    </row>
    <row r="245771" spans="25:37" x14ac:dyDescent="0.2">
      <c r="Y245771" s="251"/>
      <c r="AB245771" s="251"/>
      <c r="AE245771" s="251"/>
      <c r="AH245771" s="251"/>
      <c r="AK245771" s="251"/>
    </row>
    <row r="245886" spans="25:37" x14ac:dyDescent="0.2">
      <c r="Y245886" s="5"/>
      <c r="AB245886" s="5"/>
      <c r="AE245886" s="5"/>
      <c r="AH245886" s="5"/>
      <c r="AK245886" s="5"/>
    </row>
    <row r="245896" spans="25:37" x14ac:dyDescent="0.2">
      <c r="Y245896" s="251"/>
      <c r="AB245896" s="251"/>
      <c r="AE245896" s="251"/>
      <c r="AH245896" s="251"/>
      <c r="AK245896" s="251"/>
    </row>
    <row r="246011" spans="25:37" x14ac:dyDescent="0.2">
      <c r="Y246011" s="5"/>
      <c r="AB246011" s="5"/>
      <c r="AE246011" s="5"/>
      <c r="AH246011" s="5"/>
      <c r="AK246011" s="5"/>
    </row>
    <row r="246021" spans="25:37" x14ac:dyDescent="0.2">
      <c r="Y246021" s="251"/>
      <c r="AB246021" s="251"/>
      <c r="AE246021" s="251"/>
      <c r="AH246021" s="251"/>
      <c r="AK246021" s="251"/>
    </row>
    <row r="246136" spans="25:37" x14ac:dyDescent="0.2">
      <c r="Y246136" s="5"/>
      <c r="AB246136" s="5"/>
      <c r="AE246136" s="5"/>
      <c r="AH246136" s="5"/>
      <c r="AK246136" s="5"/>
    </row>
    <row r="246146" spans="25:37" x14ac:dyDescent="0.2">
      <c r="Y246146" s="251"/>
      <c r="AB246146" s="251"/>
      <c r="AE246146" s="251"/>
      <c r="AH246146" s="251"/>
      <c r="AK246146" s="251"/>
    </row>
    <row r="246261" spans="25:37" x14ac:dyDescent="0.2">
      <c r="Y246261" s="5"/>
      <c r="AB246261" s="5"/>
      <c r="AE246261" s="5"/>
      <c r="AH246261" s="5"/>
      <c r="AK246261" s="5"/>
    </row>
    <row r="246271" spans="25:37" x14ac:dyDescent="0.2">
      <c r="Y246271" s="251"/>
      <c r="AB246271" s="251"/>
      <c r="AE246271" s="251"/>
      <c r="AH246271" s="251"/>
      <c r="AK246271" s="251"/>
    </row>
    <row r="246386" spans="25:37" x14ac:dyDescent="0.2">
      <c r="Y246386" s="5"/>
      <c r="AB246386" s="5"/>
      <c r="AE246386" s="5"/>
      <c r="AH246386" s="5"/>
      <c r="AK246386" s="5"/>
    </row>
    <row r="246396" spans="25:37" x14ac:dyDescent="0.2">
      <c r="Y246396" s="251"/>
      <c r="AB246396" s="251"/>
      <c r="AE246396" s="251"/>
      <c r="AH246396" s="251"/>
      <c r="AK246396" s="251"/>
    </row>
    <row r="246511" spans="25:37" x14ac:dyDescent="0.2">
      <c r="Y246511" s="5"/>
      <c r="AB246511" s="5"/>
      <c r="AE246511" s="5"/>
      <c r="AH246511" s="5"/>
      <c r="AK246511" s="5"/>
    </row>
    <row r="246521" spans="25:37" x14ac:dyDescent="0.2">
      <c r="Y246521" s="251"/>
      <c r="AB246521" s="251"/>
      <c r="AE246521" s="251"/>
      <c r="AH246521" s="251"/>
      <c r="AK246521" s="251"/>
    </row>
    <row r="246636" spans="25:37" x14ac:dyDescent="0.2">
      <c r="Y246636" s="5"/>
      <c r="AB246636" s="5"/>
      <c r="AE246636" s="5"/>
      <c r="AH246636" s="5"/>
      <c r="AK246636" s="5"/>
    </row>
    <row r="246646" spans="25:37" x14ac:dyDescent="0.2">
      <c r="Y246646" s="251"/>
      <c r="AB246646" s="251"/>
      <c r="AE246646" s="251"/>
      <c r="AH246646" s="251"/>
      <c r="AK246646" s="251"/>
    </row>
    <row r="246761" spans="25:37" x14ac:dyDescent="0.2">
      <c r="Y246761" s="5"/>
      <c r="AB246761" s="5"/>
      <c r="AE246761" s="5"/>
      <c r="AH246761" s="5"/>
      <c r="AK246761" s="5"/>
    </row>
    <row r="246771" spans="25:37" x14ac:dyDescent="0.2">
      <c r="Y246771" s="251"/>
      <c r="AB246771" s="251"/>
      <c r="AE246771" s="251"/>
      <c r="AH246771" s="251"/>
      <c r="AK246771" s="251"/>
    </row>
    <row r="246886" spans="25:37" x14ac:dyDescent="0.2">
      <c r="Y246886" s="5"/>
      <c r="AB246886" s="5"/>
      <c r="AE246886" s="5"/>
      <c r="AH246886" s="5"/>
      <c r="AK246886" s="5"/>
    </row>
    <row r="246896" spans="25:37" x14ac:dyDescent="0.2">
      <c r="Y246896" s="251"/>
      <c r="AB246896" s="251"/>
      <c r="AE246896" s="251"/>
      <c r="AH246896" s="251"/>
      <c r="AK246896" s="251"/>
    </row>
    <row r="247011" spans="25:37" x14ac:dyDescent="0.2">
      <c r="Y247011" s="5"/>
      <c r="AB247011" s="5"/>
      <c r="AE247011" s="5"/>
      <c r="AH247011" s="5"/>
      <c r="AK247011" s="5"/>
    </row>
    <row r="247021" spans="25:37" x14ac:dyDescent="0.2">
      <c r="Y247021" s="251"/>
      <c r="AB247021" s="251"/>
      <c r="AE247021" s="251"/>
      <c r="AH247021" s="251"/>
      <c r="AK247021" s="251"/>
    </row>
    <row r="247136" spans="25:37" x14ac:dyDescent="0.2">
      <c r="Y247136" s="5"/>
      <c r="AB247136" s="5"/>
      <c r="AE247136" s="5"/>
      <c r="AH247136" s="5"/>
      <c r="AK247136" s="5"/>
    </row>
    <row r="247146" spans="25:37" x14ac:dyDescent="0.2">
      <c r="Y247146" s="251"/>
      <c r="AB247146" s="251"/>
      <c r="AE247146" s="251"/>
      <c r="AH247146" s="251"/>
      <c r="AK247146" s="251"/>
    </row>
    <row r="247261" spans="25:37" x14ac:dyDescent="0.2">
      <c r="Y247261" s="5"/>
      <c r="AB247261" s="5"/>
      <c r="AE247261" s="5"/>
      <c r="AH247261" s="5"/>
      <c r="AK247261" s="5"/>
    </row>
    <row r="247271" spans="25:37" x14ac:dyDescent="0.2">
      <c r="Y247271" s="251"/>
      <c r="AB247271" s="251"/>
      <c r="AE247271" s="251"/>
      <c r="AH247271" s="251"/>
      <c r="AK247271" s="251"/>
    </row>
    <row r="247386" spans="25:37" x14ac:dyDescent="0.2">
      <c r="Y247386" s="5"/>
      <c r="AB247386" s="5"/>
      <c r="AE247386" s="5"/>
      <c r="AH247386" s="5"/>
      <c r="AK247386" s="5"/>
    </row>
    <row r="247396" spans="25:37" x14ac:dyDescent="0.2">
      <c r="Y247396" s="251"/>
      <c r="AB247396" s="251"/>
      <c r="AE247396" s="251"/>
      <c r="AH247396" s="251"/>
      <c r="AK247396" s="251"/>
    </row>
    <row r="247511" spans="25:37" x14ac:dyDescent="0.2">
      <c r="Y247511" s="5"/>
      <c r="AB247511" s="5"/>
      <c r="AE247511" s="5"/>
      <c r="AH247511" s="5"/>
      <c r="AK247511" s="5"/>
    </row>
    <row r="247521" spans="25:37" x14ac:dyDescent="0.2">
      <c r="Y247521" s="251"/>
      <c r="AB247521" s="251"/>
      <c r="AE247521" s="251"/>
      <c r="AH247521" s="251"/>
      <c r="AK247521" s="251"/>
    </row>
    <row r="247636" spans="25:37" x14ac:dyDescent="0.2">
      <c r="Y247636" s="5"/>
      <c r="AB247636" s="5"/>
      <c r="AE247636" s="5"/>
      <c r="AH247636" s="5"/>
      <c r="AK247636" s="5"/>
    </row>
    <row r="247646" spans="25:37" x14ac:dyDescent="0.2">
      <c r="Y247646" s="251"/>
      <c r="AB247646" s="251"/>
      <c r="AE247646" s="251"/>
      <c r="AH247646" s="251"/>
      <c r="AK247646" s="251"/>
    </row>
    <row r="247761" spans="25:37" x14ac:dyDescent="0.2">
      <c r="Y247761" s="5"/>
      <c r="AB247761" s="5"/>
      <c r="AE247761" s="5"/>
      <c r="AH247761" s="5"/>
      <c r="AK247761" s="5"/>
    </row>
    <row r="247771" spans="25:37" x14ac:dyDescent="0.2">
      <c r="Y247771" s="251"/>
      <c r="AB247771" s="251"/>
      <c r="AE247771" s="251"/>
      <c r="AH247771" s="251"/>
      <c r="AK247771" s="251"/>
    </row>
    <row r="247886" spans="25:37" x14ac:dyDescent="0.2">
      <c r="Y247886" s="5"/>
      <c r="AB247886" s="5"/>
      <c r="AE247886" s="5"/>
      <c r="AH247886" s="5"/>
      <c r="AK247886" s="5"/>
    </row>
    <row r="247896" spans="25:37" x14ac:dyDescent="0.2">
      <c r="Y247896" s="251"/>
      <c r="AB247896" s="251"/>
      <c r="AE247896" s="251"/>
      <c r="AH247896" s="251"/>
      <c r="AK247896" s="251"/>
    </row>
    <row r="248011" spans="25:37" x14ac:dyDescent="0.2">
      <c r="Y248011" s="5"/>
      <c r="AB248011" s="5"/>
      <c r="AE248011" s="5"/>
      <c r="AH248011" s="5"/>
      <c r="AK248011" s="5"/>
    </row>
    <row r="248021" spans="25:37" x14ac:dyDescent="0.2">
      <c r="Y248021" s="251"/>
      <c r="AB248021" s="251"/>
      <c r="AE248021" s="251"/>
      <c r="AH248021" s="251"/>
      <c r="AK248021" s="251"/>
    </row>
    <row r="248136" spans="25:37" x14ac:dyDescent="0.2">
      <c r="Y248136" s="5"/>
      <c r="AB248136" s="5"/>
      <c r="AE248136" s="5"/>
      <c r="AH248136" s="5"/>
      <c r="AK248136" s="5"/>
    </row>
    <row r="248146" spans="25:37" x14ac:dyDescent="0.2">
      <c r="Y248146" s="251"/>
      <c r="AB248146" s="251"/>
      <c r="AE248146" s="251"/>
      <c r="AH248146" s="251"/>
      <c r="AK248146" s="251"/>
    </row>
    <row r="248261" spans="25:37" x14ac:dyDescent="0.2">
      <c r="Y248261" s="5"/>
      <c r="AB248261" s="5"/>
      <c r="AE248261" s="5"/>
      <c r="AH248261" s="5"/>
      <c r="AK248261" s="5"/>
    </row>
    <row r="248271" spans="25:37" x14ac:dyDescent="0.2">
      <c r="Y248271" s="251"/>
      <c r="AB248271" s="251"/>
      <c r="AE248271" s="251"/>
      <c r="AH248271" s="251"/>
      <c r="AK248271" s="251"/>
    </row>
    <row r="248386" spans="25:37" x14ac:dyDescent="0.2">
      <c r="Y248386" s="5"/>
      <c r="AB248386" s="5"/>
      <c r="AE248386" s="5"/>
      <c r="AH248386" s="5"/>
      <c r="AK248386" s="5"/>
    </row>
    <row r="248396" spans="25:37" x14ac:dyDescent="0.2">
      <c r="Y248396" s="251"/>
      <c r="AB248396" s="251"/>
      <c r="AE248396" s="251"/>
      <c r="AH248396" s="251"/>
      <c r="AK248396" s="251"/>
    </row>
    <row r="248511" spans="25:37" x14ac:dyDescent="0.2">
      <c r="Y248511" s="5"/>
      <c r="AB248511" s="5"/>
      <c r="AE248511" s="5"/>
      <c r="AH248511" s="5"/>
      <c r="AK248511" s="5"/>
    </row>
    <row r="248521" spans="25:37" x14ac:dyDescent="0.2">
      <c r="Y248521" s="251"/>
      <c r="AB248521" s="251"/>
      <c r="AE248521" s="251"/>
      <c r="AH248521" s="251"/>
      <c r="AK248521" s="251"/>
    </row>
    <row r="248636" spans="25:37" x14ac:dyDescent="0.2">
      <c r="Y248636" s="5"/>
      <c r="AB248636" s="5"/>
      <c r="AE248636" s="5"/>
      <c r="AH248636" s="5"/>
      <c r="AK248636" s="5"/>
    </row>
    <row r="248646" spans="25:37" x14ac:dyDescent="0.2">
      <c r="Y248646" s="251"/>
      <c r="AB248646" s="251"/>
      <c r="AE248646" s="251"/>
      <c r="AH248646" s="251"/>
      <c r="AK248646" s="251"/>
    </row>
    <row r="248761" spans="25:37" x14ac:dyDescent="0.2">
      <c r="Y248761" s="5"/>
      <c r="AB248761" s="5"/>
      <c r="AE248761" s="5"/>
      <c r="AH248761" s="5"/>
      <c r="AK248761" s="5"/>
    </row>
    <row r="248771" spans="25:37" x14ac:dyDescent="0.2">
      <c r="Y248771" s="251"/>
      <c r="AB248771" s="251"/>
      <c r="AE248771" s="251"/>
      <c r="AH248771" s="251"/>
      <c r="AK248771" s="251"/>
    </row>
    <row r="248886" spans="25:37" x14ac:dyDescent="0.2">
      <c r="Y248886" s="5"/>
      <c r="AB248886" s="5"/>
      <c r="AE248886" s="5"/>
      <c r="AH248886" s="5"/>
      <c r="AK248886" s="5"/>
    </row>
    <row r="248896" spans="25:37" x14ac:dyDescent="0.2">
      <c r="Y248896" s="251"/>
      <c r="AB248896" s="251"/>
      <c r="AE248896" s="251"/>
      <c r="AH248896" s="251"/>
      <c r="AK248896" s="251"/>
    </row>
    <row r="249011" spans="25:37" x14ac:dyDescent="0.2">
      <c r="Y249011" s="5"/>
      <c r="AB249011" s="5"/>
      <c r="AE249011" s="5"/>
      <c r="AH249011" s="5"/>
      <c r="AK249011" s="5"/>
    </row>
    <row r="249021" spans="25:37" x14ac:dyDescent="0.2">
      <c r="Y249021" s="251"/>
      <c r="AB249021" s="251"/>
      <c r="AE249021" s="251"/>
      <c r="AH249021" s="251"/>
      <c r="AK249021" s="251"/>
    </row>
    <row r="249136" spans="25:37" x14ac:dyDescent="0.2">
      <c r="Y249136" s="5"/>
      <c r="AB249136" s="5"/>
      <c r="AE249136" s="5"/>
      <c r="AH249136" s="5"/>
      <c r="AK249136" s="5"/>
    </row>
    <row r="249146" spans="25:37" x14ac:dyDescent="0.2">
      <c r="Y249146" s="251"/>
      <c r="AB249146" s="251"/>
      <c r="AE249146" s="251"/>
      <c r="AH249146" s="251"/>
      <c r="AK249146" s="251"/>
    </row>
    <row r="249261" spans="25:37" x14ac:dyDescent="0.2">
      <c r="Y249261" s="5"/>
      <c r="AB249261" s="5"/>
      <c r="AE249261" s="5"/>
      <c r="AH249261" s="5"/>
      <c r="AK249261" s="5"/>
    </row>
    <row r="249271" spans="25:37" x14ac:dyDescent="0.2">
      <c r="Y249271" s="251"/>
      <c r="AB249271" s="251"/>
      <c r="AE249271" s="251"/>
      <c r="AH249271" s="251"/>
      <c r="AK249271" s="251"/>
    </row>
    <row r="249386" spans="25:37" x14ac:dyDescent="0.2">
      <c r="Y249386" s="5"/>
      <c r="AB249386" s="5"/>
      <c r="AE249386" s="5"/>
      <c r="AH249386" s="5"/>
      <c r="AK249386" s="5"/>
    </row>
    <row r="249396" spans="25:37" x14ac:dyDescent="0.2">
      <c r="Y249396" s="251"/>
      <c r="AB249396" s="251"/>
      <c r="AE249396" s="251"/>
      <c r="AH249396" s="251"/>
      <c r="AK249396" s="251"/>
    </row>
    <row r="249511" spans="25:37" x14ac:dyDescent="0.2">
      <c r="Y249511" s="5"/>
      <c r="AB249511" s="5"/>
      <c r="AE249511" s="5"/>
      <c r="AH249511" s="5"/>
      <c r="AK249511" s="5"/>
    </row>
    <row r="249521" spans="25:37" x14ac:dyDescent="0.2">
      <c r="Y249521" s="251"/>
      <c r="AB249521" s="251"/>
      <c r="AE249521" s="251"/>
      <c r="AH249521" s="251"/>
      <c r="AK249521" s="251"/>
    </row>
    <row r="249636" spans="25:37" x14ac:dyDescent="0.2">
      <c r="Y249636" s="5"/>
      <c r="AB249636" s="5"/>
      <c r="AE249636" s="5"/>
      <c r="AH249636" s="5"/>
      <c r="AK249636" s="5"/>
    </row>
    <row r="249646" spans="25:37" x14ac:dyDescent="0.2">
      <c r="Y249646" s="251"/>
      <c r="AB249646" s="251"/>
      <c r="AE249646" s="251"/>
      <c r="AH249646" s="251"/>
      <c r="AK249646" s="251"/>
    </row>
    <row r="249761" spans="25:37" x14ac:dyDescent="0.2">
      <c r="Y249761" s="5"/>
      <c r="AB249761" s="5"/>
      <c r="AE249761" s="5"/>
      <c r="AH249761" s="5"/>
      <c r="AK249761" s="5"/>
    </row>
    <row r="249771" spans="25:37" x14ac:dyDescent="0.2">
      <c r="Y249771" s="251"/>
      <c r="AB249771" s="251"/>
      <c r="AE249771" s="251"/>
      <c r="AH249771" s="251"/>
      <c r="AK249771" s="251"/>
    </row>
    <row r="249886" spans="25:37" x14ac:dyDescent="0.2">
      <c r="Y249886" s="5"/>
      <c r="AB249886" s="5"/>
      <c r="AE249886" s="5"/>
      <c r="AH249886" s="5"/>
      <c r="AK249886" s="5"/>
    </row>
    <row r="249896" spans="25:37" x14ac:dyDescent="0.2">
      <c r="Y249896" s="251"/>
      <c r="AB249896" s="251"/>
      <c r="AE249896" s="251"/>
      <c r="AH249896" s="251"/>
      <c r="AK249896" s="251"/>
    </row>
    <row r="250011" spans="25:37" x14ac:dyDescent="0.2">
      <c r="Y250011" s="5"/>
      <c r="AB250011" s="5"/>
      <c r="AE250011" s="5"/>
      <c r="AH250011" s="5"/>
      <c r="AK250011" s="5"/>
    </row>
    <row r="250021" spans="25:37" x14ac:dyDescent="0.2">
      <c r="Y250021" s="251"/>
      <c r="AB250021" s="251"/>
      <c r="AE250021" s="251"/>
      <c r="AH250021" s="251"/>
      <c r="AK250021" s="251"/>
    </row>
    <row r="250136" spans="25:37" x14ac:dyDescent="0.2">
      <c r="Y250136" s="5"/>
      <c r="AB250136" s="5"/>
      <c r="AE250136" s="5"/>
      <c r="AH250136" s="5"/>
      <c r="AK250136" s="5"/>
    </row>
    <row r="250146" spans="25:37" x14ac:dyDescent="0.2">
      <c r="Y250146" s="251"/>
      <c r="AB250146" s="251"/>
      <c r="AE250146" s="251"/>
      <c r="AH250146" s="251"/>
      <c r="AK250146" s="251"/>
    </row>
    <row r="250261" spans="25:37" x14ac:dyDescent="0.2">
      <c r="Y250261" s="5"/>
      <c r="AB250261" s="5"/>
      <c r="AE250261" s="5"/>
      <c r="AH250261" s="5"/>
      <c r="AK250261" s="5"/>
    </row>
    <row r="250271" spans="25:37" x14ac:dyDescent="0.2">
      <c r="Y250271" s="251"/>
      <c r="AB250271" s="251"/>
      <c r="AE250271" s="251"/>
      <c r="AH250271" s="251"/>
      <c r="AK250271" s="251"/>
    </row>
    <row r="250386" spans="25:37" x14ac:dyDescent="0.2">
      <c r="Y250386" s="5"/>
      <c r="AB250386" s="5"/>
      <c r="AE250386" s="5"/>
      <c r="AH250386" s="5"/>
      <c r="AK250386" s="5"/>
    </row>
    <row r="250396" spans="25:37" x14ac:dyDescent="0.2">
      <c r="Y250396" s="251"/>
      <c r="AB250396" s="251"/>
      <c r="AE250396" s="251"/>
      <c r="AH250396" s="251"/>
      <c r="AK250396" s="251"/>
    </row>
    <row r="250511" spans="25:37" x14ac:dyDescent="0.2">
      <c r="Y250511" s="5"/>
      <c r="AB250511" s="5"/>
      <c r="AE250511" s="5"/>
      <c r="AH250511" s="5"/>
      <c r="AK250511" s="5"/>
    </row>
    <row r="250521" spans="25:37" x14ac:dyDescent="0.2">
      <c r="Y250521" s="251"/>
      <c r="AB250521" s="251"/>
      <c r="AE250521" s="251"/>
      <c r="AH250521" s="251"/>
      <c r="AK250521" s="251"/>
    </row>
    <row r="250636" spans="25:37" x14ac:dyDescent="0.2">
      <c r="Y250636" s="5"/>
      <c r="AB250636" s="5"/>
      <c r="AE250636" s="5"/>
      <c r="AH250636" s="5"/>
      <c r="AK250636" s="5"/>
    </row>
    <row r="250646" spans="25:37" x14ac:dyDescent="0.2">
      <c r="Y250646" s="251"/>
      <c r="AB250646" s="251"/>
      <c r="AE250646" s="251"/>
      <c r="AH250646" s="251"/>
      <c r="AK250646" s="251"/>
    </row>
    <row r="250761" spans="25:37" x14ac:dyDescent="0.2">
      <c r="Y250761" s="5"/>
      <c r="AB250761" s="5"/>
      <c r="AE250761" s="5"/>
      <c r="AH250761" s="5"/>
      <c r="AK250761" s="5"/>
    </row>
    <row r="250771" spans="25:37" x14ac:dyDescent="0.2">
      <c r="Y250771" s="251"/>
      <c r="AB250771" s="251"/>
      <c r="AE250771" s="251"/>
      <c r="AH250771" s="251"/>
      <c r="AK250771" s="251"/>
    </row>
    <row r="250886" spans="25:37" x14ac:dyDescent="0.2">
      <c r="Y250886" s="5"/>
      <c r="AB250886" s="5"/>
      <c r="AE250886" s="5"/>
      <c r="AH250886" s="5"/>
      <c r="AK250886" s="5"/>
    </row>
    <row r="250896" spans="25:37" x14ac:dyDescent="0.2">
      <c r="Y250896" s="251"/>
      <c r="AB250896" s="251"/>
      <c r="AE250896" s="251"/>
      <c r="AH250896" s="251"/>
      <c r="AK250896" s="251"/>
    </row>
    <row r="251011" spans="25:37" x14ac:dyDescent="0.2">
      <c r="Y251011" s="5"/>
      <c r="AB251011" s="5"/>
      <c r="AE251011" s="5"/>
      <c r="AH251011" s="5"/>
      <c r="AK251011" s="5"/>
    </row>
    <row r="251021" spans="25:37" x14ac:dyDescent="0.2">
      <c r="Y251021" s="251"/>
      <c r="AB251021" s="251"/>
      <c r="AE251021" s="251"/>
      <c r="AH251021" s="251"/>
      <c r="AK251021" s="251"/>
    </row>
    <row r="251136" spans="25:37" x14ac:dyDescent="0.2">
      <c r="Y251136" s="5"/>
      <c r="AB251136" s="5"/>
      <c r="AE251136" s="5"/>
      <c r="AH251136" s="5"/>
      <c r="AK251136" s="5"/>
    </row>
    <row r="251146" spans="25:37" x14ac:dyDescent="0.2">
      <c r="Y251146" s="251"/>
      <c r="AB251146" s="251"/>
      <c r="AE251146" s="251"/>
      <c r="AH251146" s="251"/>
      <c r="AK251146" s="251"/>
    </row>
    <row r="251261" spans="25:37" x14ac:dyDescent="0.2">
      <c r="Y251261" s="5"/>
      <c r="AB251261" s="5"/>
      <c r="AE251261" s="5"/>
      <c r="AH251261" s="5"/>
      <c r="AK251261" s="5"/>
    </row>
    <row r="251271" spans="25:37" x14ac:dyDescent="0.2">
      <c r="Y251271" s="251"/>
      <c r="AB251271" s="251"/>
      <c r="AE251271" s="251"/>
      <c r="AH251271" s="251"/>
      <c r="AK251271" s="251"/>
    </row>
    <row r="251386" spans="25:37" x14ac:dyDescent="0.2">
      <c r="Y251386" s="5"/>
      <c r="AB251386" s="5"/>
      <c r="AE251386" s="5"/>
      <c r="AH251386" s="5"/>
      <c r="AK251386" s="5"/>
    </row>
    <row r="251396" spans="25:37" x14ac:dyDescent="0.2">
      <c r="Y251396" s="251"/>
      <c r="AB251396" s="251"/>
      <c r="AE251396" s="251"/>
      <c r="AH251396" s="251"/>
      <c r="AK251396" s="251"/>
    </row>
    <row r="251511" spans="25:37" x14ac:dyDescent="0.2">
      <c r="Y251511" s="5"/>
      <c r="AB251511" s="5"/>
      <c r="AE251511" s="5"/>
      <c r="AH251511" s="5"/>
      <c r="AK251511" s="5"/>
    </row>
    <row r="251521" spans="25:37" x14ac:dyDescent="0.2">
      <c r="Y251521" s="251"/>
      <c r="AB251521" s="251"/>
      <c r="AE251521" s="251"/>
      <c r="AH251521" s="251"/>
      <c r="AK251521" s="251"/>
    </row>
    <row r="251636" spans="25:37" x14ac:dyDescent="0.2">
      <c r="Y251636" s="5"/>
      <c r="AB251636" s="5"/>
      <c r="AE251636" s="5"/>
      <c r="AH251636" s="5"/>
      <c r="AK251636" s="5"/>
    </row>
    <row r="251646" spans="25:37" x14ac:dyDescent="0.2">
      <c r="Y251646" s="251"/>
      <c r="AB251646" s="251"/>
      <c r="AE251646" s="251"/>
      <c r="AH251646" s="251"/>
      <c r="AK251646" s="251"/>
    </row>
    <row r="251761" spans="25:37" x14ac:dyDescent="0.2">
      <c r="Y251761" s="5"/>
      <c r="AB251761" s="5"/>
      <c r="AE251761" s="5"/>
      <c r="AH251761" s="5"/>
      <c r="AK251761" s="5"/>
    </row>
    <row r="251771" spans="25:37" x14ac:dyDescent="0.2">
      <c r="Y251771" s="251"/>
      <c r="AB251771" s="251"/>
      <c r="AE251771" s="251"/>
      <c r="AH251771" s="251"/>
      <c r="AK251771" s="251"/>
    </row>
    <row r="251886" spans="25:37" x14ac:dyDescent="0.2">
      <c r="Y251886" s="5"/>
      <c r="AB251886" s="5"/>
      <c r="AE251886" s="5"/>
      <c r="AH251886" s="5"/>
      <c r="AK251886" s="5"/>
    </row>
    <row r="251896" spans="25:37" x14ac:dyDescent="0.2">
      <c r="Y251896" s="251"/>
      <c r="AB251896" s="251"/>
      <c r="AE251896" s="251"/>
      <c r="AH251896" s="251"/>
      <c r="AK251896" s="251"/>
    </row>
    <row r="252011" spans="25:37" x14ac:dyDescent="0.2">
      <c r="Y252011" s="5"/>
      <c r="AB252011" s="5"/>
      <c r="AE252011" s="5"/>
      <c r="AH252011" s="5"/>
      <c r="AK252011" s="5"/>
    </row>
    <row r="252021" spans="25:37" x14ac:dyDescent="0.2">
      <c r="Y252021" s="251"/>
      <c r="AB252021" s="251"/>
      <c r="AE252021" s="251"/>
      <c r="AH252021" s="251"/>
      <c r="AK252021" s="251"/>
    </row>
    <row r="252136" spans="25:37" x14ac:dyDescent="0.2">
      <c r="Y252136" s="5"/>
      <c r="AB252136" s="5"/>
      <c r="AE252136" s="5"/>
      <c r="AH252136" s="5"/>
      <c r="AK252136" s="5"/>
    </row>
    <row r="252146" spans="25:37" x14ac:dyDescent="0.2">
      <c r="Y252146" s="251"/>
      <c r="AB252146" s="251"/>
      <c r="AE252146" s="251"/>
      <c r="AH252146" s="251"/>
      <c r="AK252146" s="251"/>
    </row>
    <row r="252261" spans="25:37" x14ac:dyDescent="0.2">
      <c r="Y252261" s="5"/>
      <c r="AB252261" s="5"/>
      <c r="AE252261" s="5"/>
      <c r="AH252261" s="5"/>
      <c r="AK252261" s="5"/>
    </row>
    <row r="252271" spans="25:37" x14ac:dyDescent="0.2">
      <c r="Y252271" s="251"/>
      <c r="AB252271" s="251"/>
      <c r="AE252271" s="251"/>
      <c r="AH252271" s="251"/>
      <c r="AK252271" s="251"/>
    </row>
    <row r="252386" spans="25:37" x14ac:dyDescent="0.2">
      <c r="Y252386" s="5"/>
      <c r="AB252386" s="5"/>
      <c r="AE252386" s="5"/>
      <c r="AH252386" s="5"/>
      <c r="AK252386" s="5"/>
    </row>
    <row r="252396" spans="25:37" x14ac:dyDescent="0.2">
      <c r="Y252396" s="251"/>
      <c r="AB252396" s="251"/>
      <c r="AE252396" s="251"/>
      <c r="AH252396" s="251"/>
      <c r="AK252396" s="251"/>
    </row>
    <row r="252511" spans="25:37" x14ac:dyDescent="0.2">
      <c r="Y252511" s="5"/>
      <c r="AB252511" s="5"/>
      <c r="AE252511" s="5"/>
      <c r="AH252511" s="5"/>
      <c r="AK252511" s="5"/>
    </row>
    <row r="252521" spans="25:37" x14ac:dyDescent="0.2">
      <c r="Y252521" s="251"/>
      <c r="AB252521" s="251"/>
      <c r="AE252521" s="251"/>
      <c r="AH252521" s="251"/>
      <c r="AK252521" s="251"/>
    </row>
    <row r="252636" spans="25:37" x14ac:dyDescent="0.2">
      <c r="Y252636" s="5"/>
      <c r="AB252636" s="5"/>
      <c r="AE252636" s="5"/>
      <c r="AH252636" s="5"/>
      <c r="AK252636" s="5"/>
    </row>
    <row r="252646" spans="25:37" x14ac:dyDescent="0.2">
      <c r="Y252646" s="251"/>
      <c r="AB252646" s="251"/>
      <c r="AE252646" s="251"/>
      <c r="AH252646" s="251"/>
      <c r="AK252646" s="251"/>
    </row>
    <row r="252761" spans="25:37" x14ac:dyDescent="0.2">
      <c r="Y252761" s="5"/>
      <c r="AB252761" s="5"/>
      <c r="AE252761" s="5"/>
      <c r="AH252761" s="5"/>
      <c r="AK252761" s="5"/>
    </row>
    <row r="252771" spans="25:37" x14ac:dyDescent="0.2">
      <c r="Y252771" s="251"/>
      <c r="AB252771" s="251"/>
      <c r="AE252771" s="251"/>
      <c r="AH252771" s="251"/>
      <c r="AK252771" s="251"/>
    </row>
    <row r="252886" spans="25:37" x14ac:dyDescent="0.2">
      <c r="Y252886" s="5"/>
      <c r="AB252886" s="5"/>
      <c r="AE252886" s="5"/>
      <c r="AH252886" s="5"/>
      <c r="AK252886" s="5"/>
    </row>
    <row r="252896" spans="25:37" x14ac:dyDescent="0.2">
      <c r="Y252896" s="251"/>
      <c r="AB252896" s="251"/>
      <c r="AE252896" s="251"/>
      <c r="AH252896" s="251"/>
      <c r="AK252896" s="251"/>
    </row>
    <row r="253011" spans="25:37" x14ac:dyDescent="0.2">
      <c r="Y253011" s="5"/>
      <c r="AB253011" s="5"/>
      <c r="AE253011" s="5"/>
      <c r="AH253011" s="5"/>
      <c r="AK253011" s="5"/>
    </row>
    <row r="253021" spans="25:37" x14ac:dyDescent="0.2">
      <c r="Y253021" s="251"/>
      <c r="AB253021" s="251"/>
      <c r="AE253021" s="251"/>
      <c r="AH253021" s="251"/>
      <c r="AK253021" s="251"/>
    </row>
    <row r="253136" spans="25:37" x14ac:dyDescent="0.2">
      <c r="Y253136" s="5"/>
      <c r="AB253136" s="5"/>
      <c r="AE253136" s="5"/>
      <c r="AH253136" s="5"/>
      <c r="AK253136" s="5"/>
    </row>
    <row r="253146" spans="25:37" x14ac:dyDescent="0.2">
      <c r="Y253146" s="251"/>
      <c r="AB253146" s="251"/>
      <c r="AE253146" s="251"/>
      <c r="AH253146" s="251"/>
      <c r="AK253146" s="251"/>
    </row>
    <row r="253261" spans="25:37" x14ac:dyDescent="0.2">
      <c r="Y253261" s="5"/>
      <c r="AB253261" s="5"/>
      <c r="AE253261" s="5"/>
      <c r="AH253261" s="5"/>
      <c r="AK253261" s="5"/>
    </row>
    <row r="253271" spans="25:37" x14ac:dyDescent="0.2">
      <c r="Y253271" s="251"/>
      <c r="AB253271" s="251"/>
      <c r="AE253271" s="251"/>
      <c r="AH253271" s="251"/>
      <c r="AK253271" s="251"/>
    </row>
    <row r="253386" spans="25:37" x14ac:dyDescent="0.2">
      <c r="Y253386" s="5"/>
      <c r="AB253386" s="5"/>
      <c r="AE253386" s="5"/>
      <c r="AH253386" s="5"/>
      <c r="AK253386" s="5"/>
    </row>
    <row r="253396" spans="25:37" x14ac:dyDescent="0.2">
      <c r="Y253396" s="251"/>
      <c r="AB253396" s="251"/>
      <c r="AE253396" s="251"/>
      <c r="AH253396" s="251"/>
      <c r="AK253396" s="251"/>
    </row>
    <row r="253511" spans="25:37" x14ac:dyDescent="0.2">
      <c r="Y253511" s="5"/>
      <c r="AB253511" s="5"/>
      <c r="AE253511" s="5"/>
      <c r="AH253511" s="5"/>
      <c r="AK253511" s="5"/>
    </row>
    <row r="253521" spans="25:37" x14ac:dyDescent="0.2">
      <c r="Y253521" s="251"/>
      <c r="AB253521" s="251"/>
      <c r="AE253521" s="251"/>
      <c r="AH253521" s="251"/>
      <c r="AK253521" s="251"/>
    </row>
    <row r="253636" spans="25:37" x14ac:dyDescent="0.2">
      <c r="Y253636" s="5"/>
      <c r="AB253636" s="5"/>
      <c r="AE253636" s="5"/>
      <c r="AH253636" s="5"/>
      <c r="AK253636" s="5"/>
    </row>
    <row r="253646" spans="25:37" x14ac:dyDescent="0.2">
      <c r="Y253646" s="251"/>
      <c r="AB253646" s="251"/>
      <c r="AE253646" s="251"/>
      <c r="AH253646" s="251"/>
      <c r="AK253646" s="251"/>
    </row>
    <row r="253761" spans="25:37" x14ac:dyDescent="0.2">
      <c r="Y253761" s="5"/>
      <c r="AB253761" s="5"/>
      <c r="AE253761" s="5"/>
      <c r="AH253761" s="5"/>
      <c r="AK253761" s="5"/>
    </row>
    <row r="253771" spans="25:37" x14ac:dyDescent="0.2">
      <c r="Y253771" s="251"/>
      <c r="AB253771" s="251"/>
      <c r="AE253771" s="251"/>
      <c r="AH253771" s="251"/>
      <c r="AK253771" s="251"/>
    </row>
    <row r="253886" spans="25:37" x14ac:dyDescent="0.2">
      <c r="Y253886" s="5"/>
      <c r="AB253886" s="5"/>
      <c r="AE253886" s="5"/>
      <c r="AH253886" s="5"/>
      <c r="AK253886" s="5"/>
    </row>
    <row r="253896" spans="25:37" x14ac:dyDescent="0.2">
      <c r="Y253896" s="251"/>
      <c r="AB253896" s="251"/>
      <c r="AE253896" s="251"/>
      <c r="AH253896" s="251"/>
      <c r="AK253896" s="251"/>
    </row>
    <row r="254011" spans="25:37" x14ac:dyDescent="0.2">
      <c r="Y254011" s="5"/>
      <c r="AB254011" s="5"/>
      <c r="AE254011" s="5"/>
      <c r="AH254011" s="5"/>
      <c r="AK254011" s="5"/>
    </row>
    <row r="254021" spans="25:37" x14ac:dyDescent="0.2">
      <c r="Y254021" s="251"/>
      <c r="AB254021" s="251"/>
      <c r="AE254021" s="251"/>
      <c r="AH254021" s="251"/>
      <c r="AK254021" s="251"/>
    </row>
    <row r="254136" spans="25:37" x14ac:dyDescent="0.2">
      <c r="Y254136" s="5"/>
      <c r="AB254136" s="5"/>
      <c r="AE254136" s="5"/>
      <c r="AH254136" s="5"/>
      <c r="AK254136" s="5"/>
    </row>
    <row r="254146" spans="25:37" x14ac:dyDescent="0.2">
      <c r="Y254146" s="251"/>
      <c r="AB254146" s="251"/>
      <c r="AE254146" s="251"/>
      <c r="AH254146" s="251"/>
      <c r="AK254146" s="251"/>
    </row>
    <row r="254261" spans="25:37" x14ac:dyDescent="0.2">
      <c r="Y254261" s="5"/>
      <c r="AB254261" s="5"/>
      <c r="AE254261" s="5"/>
      <c r="AH254261" s="5"/>
      <c r="AK254261" s="5"/>
    </row>
    <row r="254271" spans="25:37" x14ac:dyDescent="0.2">
      <c r="Y254271" s="251"/>
      <c r="AB254271" s="251"/>
      <c r="AE254271" s="251"/>
      <c r="AH254271" s="251"/>
      <c r="AK254271" s="251"/>
    </row>
    <row r="254386" spans="25:37" x14ac:dyDescent="0.2">
      <c r="Y254386" s="5"/>
      <c r="AB254386" s="5"/>
      <c r="AE254386" s="5"/>
      <c r="AH254386" s="5"/>
      <c r="AK254386" s="5"/>
    </row>
    <row r="254396" spans="25:37" x14ac:dyDescent="0.2">
      <c r="Y254396" s="251"/>
      <c r="AB254396" s="251"/>
      <c r="AE254396" s="251"/>
      <c r="AH254396" s="251"/>
      <c r="AK254396" s="251"/>
    </row>
    <row r="254511" spans="25:37" x14ac:dyDescent="0.2">
      <c r="Y254511" s="5"/>
      <c r="AB254511" s="5"/>
      <c r="AE254511" s="5"/>
      <c r="AH254511" s="5"/>
      <c r="AK254511" s="5"/>
    </row>
    <row r="254521" spans="25:37" x14ac:dyDescent="0.2">
      <c r="Y254521" s="251"/>
      <c r="AB254521" s="251"/>
      <c r="AE254521" s="251"/>
      <c r="AH254521" s="251"/>
      <c r="AK254521" s="251"/>
    </row>
    <row r="254636" spans="25:37" x14ac:dyDescent="0.2">
      <c r="Y254636" s="5"/>
      <c r="AB254636" s="5"/>
      <c r="AE254636" s="5"/>
      <c r="AH254636" s="5"/>
      <c r="AK254636" s="5"/>
    </row>
    <row r="254646" spans="25:37" x14ac:dyDescent="0.2">
      <c r="Y254646" s="251"/>
      <c r="AB254646" s="251"/>
      <c r="AE254646" s="251"/>
      <c r="AH254646" s="251"/>
      <c r="AK254646" s="251"/>
    </row>
    <row r="254761" spans="25:37" x14ac:dyDescent="0.2">
      <c r="Y254761" s="5"/>
      <c r="AB254761" s="5"/>
      <c r="AE254761" s="5"/>
      <c r="AH254761" s="5"/>
      <c r="AK254761" s="5"/>
    </row>
    <row r="254771" spans="25:37" x14ac:dyDescent="0.2">
      <c r="Y254771" s="251"/>
      <c r="AB254771" s="251"/>
      <c r="AE254771" s="251"/>
      <c r="AH254771" s="251"/>
      <c r="AK254771" s="251"/>
    </row>
    <row r="254886" spans="25:37" x14ac:dyDescent="0.2">
      <c r="Y254886" s="5"/>
      <c r="AB254886" s="5"/>
      <c r="AE254886" s="5"/>
      <c r="AH254886" s="5"/>
      <c r="AK254886" s="5"/>
    </row>
    <row r="254896" spans="25:37" x14ac:dyDescent="0.2">
      <c r="Y254896" s="251"/>
      <c r="AB254896" s="251"/>
      <c r="AE254896" s="251"/>
      <c r="AH254896" s="251"/>
      <c r="AK254896" s="251"/>
    </row>
    <row r="255011" spans="25:37" x14ac:dyDescent="0.2">
      <c r="Y255011" s="5"/>
      <c r="AB255011" s="5"/>
      <c r="AE255011" s="5"/>
      <c r="AH255011" s="5"/>
      <c r="AK255011" s="5"/>
    </row>
    <row r="255021" spans="25:37" x14ac:dyDescent="0.2">
      <c r="Y255021" s="251"/>
      <c r="AB255021" s="251"/>
      <c r="AE255021" s="251"/>
      <c r="AH255021" s="251"/>
      <c r="AK255021" s="251"/>
    </row>
    <row r="255136" spans="25:37" x14ac:dyDescent="0.2">
      <c r="Y255136" s="5"/>
      <c r="AB255136" s="5"/>
      <c r="AE255136" s="5"/>
      <c r="AH255136" s="5"/>
      <c r="AK255136" s="5"/>
    </row>
    <row r="255146" spans="25:37" x14ac:dyDescent="0.2">
      <c r="Y255146" s="251"/>
      <c r="AB255146" s="251"/>
      <c r="AE255146" s="251"/>
      <c r="AH255146" s="251"/>
      <c r="AK255146" s="251"/>
    </row>
    <row r="255261" spans="25:37" x14ac:dyDescent="0.2">
      <c r="Y255261" s="5"/>
      <c r="AB255261" s="5"/>
      <c r="AE255261" s="5"/>
      <c r="AH255261" s="5"/>
      <c r="AK255261" s="5"/>
    </row>
    <row r="255271" spans="25:37" x14ac:dyDescent="0.2">
      <c r="Y255271" s="251"/>
      <c r="AB255271" s="251"/>
      <c r="AE255271" s="251"/>
      <c r="AH255271" s="251"/>
      <c r="AK255271" s="251"/>
    </row>
    <row r="255386" spans="25:37" x14ac:dyDescent="0.2">
      <c r="Y255386" s="5"/>
      <c r="AB255386" s="5"/>
      <c r="AE255386" s="5"/>
      <c r="AH255386" s="5"/>
      <c r="AK255386" s="5"/>
    </row>
    <row r="255396" spans="25:37" x14ac:dyDescent="0.2">
      <c r="Y255396" s="251"/>
      <c r="AB255396" s="251"/>
      <c r="AE255396" s="251"/>
      <c r="AH255396" s="251"/>
      <c r="AK255396" s="251"/>
    </row>
    <row r="255511" spans="25:37" x14ac:dyDescent="0.2">
      <c r="Y255511" s="5"/>
      <c r="AB255511" s="5"/>
      <c r="AE255511" s="5"/>
      <c r="AH255511" s="5"/>
      <c r="AK255511" s="5"/>
    </row>
    <row r="255521" spans="25:37" x14ac:dyDescent="0.2">
      <c r="Y255521" s="251"/>
      <c r="AB255521" s="251"/>
      <c r="AE255521" s="251"/>
      <c r="AH255521" s="251"/>
      <c r="AK255521" s="251"/>
    </row>
    <row r="255636" spans="25:37" x14ac:dyDescent="0.2">
      <c r="Y255636" s="5"/>
      <c r="AB255636" s="5"/>
      <c r="AE255636" s="5"/>
      <c r="AH255636" s="5"/>
      <c r="AK255636" s="5"/>
    </row>
    <row r="255646" spans="25:37" x14ac:dyDescent="0.2">
      <c r="Y255646" s="251"/>
      <c r="AB255646" s="251"/>
      <c r="AE255646" s="251"/>
      <c r="AH255646" s="251"/>
      <c r="AK255646" s="251"/>
    </row>
    <row r="255761" spans="25:37" x14ac:dyDescent="0.2">
      <c r="Y255761" s="5"/>
      <c r="AB255761" s="5"/>
      <c r="AE255761" s="5"/>
      <c r="AH255761" s="5"/>
      <c r="AK255761" s="5"/>
    </row>
    <row r="255771" spans="25:37" x14ac:dyDescent="0.2">
      <c r="Y255771" s="251"/>
      <c r="AB255771" s="251"/>
      <c r="AE255771" s="251"/>
      <c r="AH255771" s="251"/>
      <c r="AK255771" s="251"/>
    </row>
    <row r="255886" spans="25:37" x14ac:dyDescent="0.2">
      <c r="Y255886" s="5"/>
      <c r="AB255886" s="5"/>
      <c r="AE255886" s="5"/>
      <c r="AH255886" s="5"/>
      <c r="AK255886" s="5"/>
    </row>
    <row r="255896" spans="25:37" x14ac:dyDescent="0.2">
      <c r="Y255896" s="251"/>
      <c r="AB255896" s="251"/>
      <c r="AE255896" s="251"/>
      <c r="AH255896" s="251"/>
      <c r="AK255896" s="251"/>
    </row>
    <row r="256011" spans="25:37" x14ac:dyDescent="0.2">
      <c r="Y256011" s="5"/>
      <c r="AB256011" s="5"/>
      <c r="AE256011" s="5"/>
      <c r="AH256011" s="5"/>
      <c r="AK256011" s="5"/>
    </row>
    <row r="256021" spans="25:37" x14ac:dyDescent="0.2">
      <c r="Y256021" s="251"/>
      <c r="AB256021" s="251"/>
      <c r="AE256021" s="251"/>
      <c r="AH256021" s="251"/>
      <c r="AK256021" s="251"/>
    </row>
    <row r="256136" spans="25:37" x14ac:dyDescent="0.2">
      <c r="Y256136" s="5"/>
      <c r="AB256136" s="5"/>
      <c r="AE256136" s="5"/>
      <c r="AH256136" s="5"/>
      <c r="AK256136" s="5"/>
    </row>
    <row r="256146" spans="25:37" x14ac:dyDescent="0.2">
      <c r="Y256146" s="251"/>
      <c r="AB256146" s="251"/>
      <c r="AE256146" s="251"/>
      <c r="AH256146" s="251"/>
      <c r="AK256146" s="251"/>
    </row>
    <row r="256261" spans="25:37" x14ac:dyDescent="0.2">
      <c r="Y256261" s="5"/>
      <c r="AB256261" s="5"/>
      <c r="AE256261" s="5"/>
      <c r="AH256261" s="5"/>
      <c r="AK256261" s="5"/>
    </row>
    <row r="256271" spans="25:37" x14ac:dyDescent="0.2">
      <c r="Y256271" s="251"/>
      <c r="AB256271" s="251"/>
      <c r="AE256271" s="251"/>
      <c r="AH256271" s="251"/>
      <c r="AK256271" s="251"/>
    </row>
    <row r="256386" spans="25:37" x14ac:dyDescent="0.2">
      <c r="Y256386" s="5"/>
      <c r="AB256386" s="5"/>
      <c r="AE256386" s="5"/>
      <c r="AH256386" s="5"/>
      <c r="AK256386" s="5"/>
    </row>
    <row r="256396" spans="25:37" x14ac:dyDescent="0.2">
      <c r="Y256396" s="251"/>
      <c r="AB256396" s="251"/>
      <c r="AE256396" s="251"/>
      <c r="AH256396" s="251"/>
      <c r="AK256396" s="251"/>
    </row>
    <row r="256511" spans="25:37" x14ac:dyDescent="0.2">
      <c r="Y256511" s="5"/>
      <c r="AB256511" s="5"/>
      <c r="AE256511" s="5"/>
      <c r="AH256511" s="5"/>
      <c r="AK256511" s="5"/>
    </row>
    <row r="256521" spans="25:37" x14ac:dyDescent="0.2">
      <c r="Y256521" s="251"/>
      <c r="AB256521" s="251"/>
      <c r="AE256521" s="251"/>
      <c r="AH256521" s="251"/>
      <c r="AK256521" s="251"/>
    </row>
    <row r="256636" spans="25:37" x14ac:dyDescent="0.2">
      <c r="Y256636" s="5"/>
      <c r="AB256636" s="5"/>
      <c r="AE256636" s="5"/>
      <c r="AH256636" s="5"/>
      <c r="AK256636" s="5"/>
    </row>
    <row r="256646" spans="25:37" x14ac:dyDescent="0.2">
      <c r="Y256646" s="251"/>
      <c r="AB256646" s="251"/>
      <c r="AE256646" s="251"/>
      <c r="AH256646" s="251"/>
      <c r="AK256646" s="251"/>
    </row>
    <row r="256761" spans="25:37" x14ac:dyDescent="0.2">
      <c r="Y256761" s="5"/>
      <c r="AB256761" s="5"/>
      <c r="AE256761" s="5"/>
      <c r="AH256761" s="5"/>
      <c r="AK256761" s="5"/>
    </row>
    <row r="256771" spans="25:37" x14ac:dyDescent="0.2">
      <c r="Y256771" s="251"/>
      <c r="AB256771" s="251"/>
      <c r="AE256771" s="251"/>
      <c r="AH256771" s="251"/>
      <c r="AK256771" s="251"/>
    </row>
    <row r="256886" spans="25:37" x14ac:dyDescent="0.2">
      <c r="Y256886" s="5"/>
      <c r="AB256886" s="5"/>
      <c r="AE256886" s="5"/>
      <c r="AH256886" s="5"/>
      <c r="AK256886" s="5"/>
    </row>
    <row r="256896" spans="25:37" x14ac:dyDescent="0.2">
      <c r="Y256896" s="251"/>
      <c r="AB256896" s="251"/>
      <c r="AE256896" s="251"/>
      <c r="AH256896" s="251"/>
      <c r="AK256896" s="251"/>
    </row>
    <row r="257011" spans="25:37" x14ac:dyDescent="0.2">
      <c r="Y257011" s="5"/>
      <c r="AB257011" s="5"/>
      <c r="AE257011" s="5"/>
      <c r="AH257011" s="5"/>
      <c r="AK257011" s="5"/>
    </row>
    <row r="257021" spans="25:37" x14ac:dyDescent="0.2">
      <c r="Y257021" s="251"/>
      <c r="AB257021" s="251"/>
      <c r="AE257021" s="251"/>
      <c r="AH257021" s="251"/>
      <c r="AK257021" s="251"/>
    </row>
    <row r="257136" spans="25:37" x14ac:dyDescent="0.2">
      <c r="Y257136" s="5"/>
      <c r="AB257136" s="5"/>
      <c r="AE257136" s="5"/>
      <c r="AH257136" s="5"/>
      <c r="AK257136" s="5"/>
    </row>
    <row r="257146" spans="25:37" x14ac:dyDescent="0.2">
      <c r="Y257146" s="251"/>
      <c r="AB257146" s="251"/>
      <c r="AE257146" s="251"/>
      <c r="AH257146" s="251"/>
      <c r="AK257146" s="251"/>
    </row>
    <row r="257261" spans="25:37" x14ac:dyDescent="0.2">
      <c r="Y257261" s="5"/>
      <c r="AB257261" s="5"/>
      <c r="AE257261" s="5"/>
      <c r="AH257261" s="5"/>
      <c r="AK257261" s="5"/>
    </row>
    <row r="257271" spans="25:37" x14ac:dyDescent="0.2">
      <c r="Y257271" s="251"/>
      <c r="AB257271" s="251"/>
      <c r="AE257271" s="251"/>
      <c r="AH257271" s="251"/>
      <c r="AK257271" s="251"/>
    </row>
    <row r="257386" spans="25:37" x14ac:dyDescent="0.2">
      <c r="Y257386" s="5"/>
      <c r="AB257386" s="5"/>
      <c r="AE257386" s="5"/>
      <c r="AH257386" s="5"/>
      <c r="AK257386" s="5"/>
    </row>
    <row r="257396" spans="25:37" x14ac:dyDescent="0.2">
      <c r="Y257396" s="251"/>
      <c r="AB257396" s="251"/>
      <c r="AE257396" s="251"/>
      <c r="AH257396" s="251"/>
      <c r="AK257396" s="251"/>
    </row>
    <row r="257511" spans="25:37" x14ac:dyDescent="0.2">
      <c r="Y257511" s="5"/>
      <c r="AB257511" s="5"/>
      <c r="AE257511" s="5"/>
      <c r="AH257511" s="5"/>
      <c r="AK257511" s="5"/>
    </row>
    <row r="257521" spans="25:37" x14ac:dyDescent="0.2">
      <c r="Y257521" s="251"/>
      <c r="AB257521" s="251"/>
      <c r="AE257521" s="251"/>
      <c r="AH257521" s="251"/>
      <c r="AK257521" s="251"/>
    </row>
    <row r="257636" spans="25:37" x14ac:dyDescent="0.2">
      <c r="Y257636" s="5"/>
      <c r="AB257636" s="5"/>
      <c r="AE257636" s="5"/>
      <c r="AH257636" s="5"/>
      <c r="AK257636" s="5"/>
    </row>
    <row r="257646" spans="25:37" x14ac:dyDescent="0.2">
      <c r="Y257646" s="251"/>
      <c r="AB257646" s="251"/>
      <c r="AE257646" s="251"/>
      <c r="AH257646" s="251"/>
      <c r="AK257646" s="251"/>
    </row>
    <row r="257761" spans="25:37" x14ac:dyDescent="0.2">
      <c r="Y257761" s="5"/>
      <c r="AB257761" s="5"/>
      <c r="AE257761" s="5"/>
      <c r="AH257761" s="5"/>
      <c r="AK257761" s="5"/>
    </row>
    <row r="257771" spans="25:37" x14ac:dyDescent="0.2">
      <c r="Y257771" s="251"/>
      <c r="AB257771" s="251"/>
      <c r="AE257771" s="251"/>
      <c r="AH257771" s="251"/>
      <c r="AK257771" s="251"/>
    </row>
    <row r="257886" spans="25:37" x14ac:dyDescent="0.2">
      <c r="Y257886" s="5"/>
      <c r="AB257886" s="5"/>
      <c r="AE257886" s="5"/>
      <c r="AH257886" s="5"/>
      <c r="AK257886" s="5"/>
    </row>
    <row r="257896" spans="25:37" x14ac:dyDescent="0.2">
      <c r="Y257896" s="251"/>
      <c r="AB257896" s="251"/>
      <c r="AE257896" s="251"/>
      <c r="AH257896" s="251"/>
      <c r="AK257896" s="251"/>
    </row>
    <row r="258011" spans="25:37" x14ac:dyDescent="0.2">
      <c r="Y258011" s="5"/>
      <c r="AB258011" s="5"/>
      <c r="AE258011" s="5"/>
      <c r="AH258011" s="5"/>
      <c r="AK258011" s="5"/>
    </row>
    <row r="258021" spans="25:37" x14ac:dyDescent="0.2">
      <c r="Y258021" s="251"/>
      <c r="AB258021" s="251"/>
      <c r="AE258021" s="251"/>
      <c r="AH258021" s="251"/>
      <c r="AK258021" s="251"/>
    </row>
    <row r="258136" spans="25:37" x14ac:dyDescent="0.2">
      <c r="Y258136" s="5"/>
      <c r="AB258136" s="5"/>
      <c r="AE258136" s="5"/>
      <c r="AH258136" s="5"/>
      <c r="AK258136" s="5"/>
    </row>
    <row r="258146" spans="25:37" x14ac:dyDescent="0.2">
      <c r="Y258146" s="251"/>
      <c r="AB258146" s="251"/>
      <c r="AE258146" s="251"/>
      <c r="AH258146" s="251"/>
      <c r="AK258146" s="251"/>
    </row>
    <row r="258261" spans="25:37" x14ac:dyDescent="0.2">
      <c r="Y258261" s="5"/>
      <c r="AB258261" s="5"/>
      <c r="AE258261" s="5"/>
      <c r="AH258261" s="5"/>
      <c r="AK258261" s="5"/>
    </row>
    <row r="258271" spans="25:37" x14ac:dyDescent="0.2">
      <c r="Y258271" s="251"/>
      <c r="AB258271" s="251"/>
      <c r="AE258271" s="251"/>
      <c r="AH258271" s="251"/>
      <c r="AK258271" s="251"/>
    </row>
    <row r="258386" spans="25:37" x14ac:dyDescent="0.2">
      <c r="Y258386" s="5"/>
      <c r="AB258386" s="5"/>
      <c r="AE258386" s="5"/>
      <c r="AH258386" s="5"/>
      <c r="AK258386" s="5"/>
    </row>
    <row r="258396" spans="25:37" x14ac:dyDescent="0.2">
      <c r="Y258396" s="251"/>
      <c r="AB258396" s="251"/>
      <c r="AE258396" s="251"/>
      <c r="AH258396" s="251"/>
      <c r="AK258396" s="251"/>
    </row>
    <row r="258511" spans="25:37" x14ac:dyDescent="0.2">
      <c r="Y258511" s="5"/>
      <c r="AB258511" s="5"/>
      <c r="AE258511" s="5"/>
      <c r="AH258511" s="5"/>
      <c r="AK258511" s="5"/>
    </row>
    <row r="258521" spans="25:37" x14ac:dyDescent="0.2">
      <c r="Y258521" s="251"/>
      <c r="AB258521" s="251"/>
      <c r="AE258521" s="251"/>
      <c r="AH258521" s="251"/>
      <c r="AK258521" s="251"/>
    </row>
    <row r="258636" spans="25:37" x14ac:dyDescent="0.2">
      <c r="Y258636" s="5"/>
      <c r="AB258636" s="5"/>
      <c r="AE258636" s="5"/>
      <c r="AH258636" s="5"/>
      <c r="AK258636" s="5"/>
    </row>
    <row r="258646" spans="25:37" x14ac:dyDescent="0.2">
      <c r="Y258646" s="251"/>
      <c r="AB258646" s="251"/>
      <c r="AE258646" s="251"/>
      <c r="AH258646" s="251"/>
      <c r="AK258646" s="251"/>
    </row>
    <row r="258761" spans="25:37" x14ac:dyDescent="0.2">
      <c r="Y258761" s="5"/>
      <c r="AB258761" s="5"/>
      <c r="AE258761" s="5"/>
      <c r="AH258761" s="5"/>
      <c r="AK258761" s="5"/>
    </row>
    <row r="258771" spans="25:37" x14ac:dyDescent="0.2">
      <c r="Y258771" s="251"/>
      <c r="AB258771" s="251"/>
      <c r="AE258771" s="251"/>
      <c r="AH258771" s="251"/>
      <c r="AK258771" s="251"/>
    </row>
    <row r="258886" spans="25:37" x14ac:dyDescent="0.2">
      <c r="Y258886" s="5"/>
      <c r="AB258886" s="5"/>
      <c r="AE258886" s="5"/>
      <c r="AH258886" s="5"/>
      <c r="AK258886" s="5"/>
    </row>
    <row r="258896" spans="25:37" x14ac:dyDescent="0.2">
      <c r="Y258896" s="251"/>
      <c r="AB258896" s="251"/>
      <c r="AE258896" s="251"/>
      <c r="AH258896" s="251"/>
      <c r="AK258896" s="251"/>
    </row>
    <row r="259011" spans="25:37" x14ac:dyDescent="0.2">
      <c r="Y259011" s="5"/>
      <c r="AB259011" s="5"/>
      <c r="AE259011" s="5"/>
      <c r="AH259011" s="5"/>
      <c r="AK259011" s="5"/>
    </row>
    <row r="259021" spans="25:37" x14ac:dyDescent="0.2">
      <c r="Y259021" s="251"/>
      <c r="AB259021" s="251"/>
      <c r="AE259021" s="251"/>
      <c r="AH259021" s="251"/>
      <c r="AK259021" s="251"/>
    </row>
    <row r="259136" spans="25:37" x14ac:dyDescent="0.2">
      <c r="Y259136" s="5"/>
      <c r="AB259136" s="5"/>
      <c r="AE259136" s="5"/>
      <c r="AH259136" s="5"/>
      <c r="AK259136" s="5"/>
    </row>
    <row r="259146" spans="25:37" x14ac:dyDescent="0.2">
      <c r="Y259146" s="251"/>
      <c r="AB259146" s="251"/>
      <c r="AE259146" s="251"/>
      <c r="AH259146" s="251"/>
      <c r="AK259146" s="251"/>
    </row>
    <row r="259261" spans="25:37" x14ac:dyDescent="0.2">
      <c r="Y259261" s="5"/>
      <c r="AB259261" s="5"/>
      <c r="AE259261" s="5"/>
      <c r="AH259261" s="5"/>
      <c r="AK259261" s="5"/>
    </row>
    <row r="259271" spans="25:37" x14ac:dyDescent="0.2">
      <c r="Y259271" s="251"/>
      <c r="AB259271" s="251"/>
      <c r="AE259271" s="251"/>
      <c r="AH259271" s="251"/>
      <c r="AK259271" s="251"/>
    </row>
    <row r="259386" spans="25:37" x14ac:dyDescent="0.2">
      <c r="Y259386" s="5"/>
      <c r="AB259386" s="5"/>
      <c r="AE259386" s="5"/>
      <c r="AH259386" s="5"/>
      <c r="AK259386" s="5"/>
    </row>
    <row r="259396" spans="25:37" x14ac:dyDescent="0.2">
      <c r="Y259396" s="251"/>
      <c r="AB259396" s="251"/>
      <c r="AE259396" s="251"/>
      <c r="AH259396" s="251"/>
      <c r="AK259396" s="251"/>
    </row>
    <row r="259511" spans="25:37" x14ac:dyDescent="0.2">
      <c r="Y259511" s="5"/>
      <c r="AB259511" s="5"/>
      <c r="AE259511" s="5"/>
      <c r="AH259511" s="5"/>
      <c r="AK259511" s="5"/>
    </row>
    <row r="259521" spans="25:37" x14ac:dyDescent="0.2">
      <c r="Y259521" s="251"/>
      <c r="AB259521" s="251"/>
      <c r="AE259521" s="251"/>
      <c r="AH259521" s="251"/>
      <c r="AK259521" s="251"/>
    </row>
    <row r="259636" spans="25:37" x14ac:dyDescent="0.2">
      <c r="Y259636" s="5"/>
      <c r="AB259636" s="5"/>
      <c r="AE259636" s="5"/>
      <c r="AH259636" s="5"/>
      <c r="AK259636" s="5"/>
    </row>
    <row r="259646" spans="25:37" x14ac:dyDescent="0.2">
      <c r="Y259646" s="251"/>
      <c r="AB259646" s="251"/>
      <c r="AE259646" s="251"/>
      <c r="AH259646" s="251"/>
      <c r="AK259646" s="251"/>
    </row>
    <row r="259761" spans="25:37" x14ac:dyDescent="0.2">
      <c r="Y259761" s="5"/>
      <c r="AB259761" s="5"/>
      <c r="AE259761" s="5"/>
      <c r="AH259761" s="5"/>
      <c r="AK259761" s="5"/>
    </row>
    <row r="259771" spans="25:37" x14ac:dyDescent="0.2">
      <c r="Y259771" s="251"/>
      <c r="AB259771" s="251"/>
      <c r="AE259771" s="251"/>
      <c r="AH259771" s="251"/>
      <c r="AK259771" s="251"/>
    </row>
    <row r="259886" spans="25:37" x14ac:dyDescent="0.2">
      <c r="Y259886" s="5"/>
      <c r="AB259886" s="5"/>
      <c r="AE259886" s="5"/>
      <c r="AH259886" s="5"/>
      <c r="AK259886" s="5"/>
    </row>
    <row r="259896" spans="25:37" x14ac:dyDescent="0.2">
      <c r="Y259896" s="251"/>
      <c r="AB259896" s="251"/>
      <c r="AE259896" s="251"/>
      <c r="AH259896" s="251"/>
      <c r="AK259896" s="251"/>
    </row>
    <row r="260011" spans="25:37" x14ac:dyDescent="0.2">
      <c r="Y260011" s="5"/>
      <c r="AB260011" s="5"/>
      <c r="AE260011" s="5"/>
      <c r="AH260011" s="5"/>
      <c r="AK260011" s="5"/>
    </row>
    <row r="260021" spans="25:37" x14ac:dyDescent="0.2">
      <c r="Y260021" s="251"/>
      <c r="AB260021" s="251"/>
      <c r="AE260021" s="251"/>
      <c r="AH260021" s="251"/>
      <c r="AK260021" s="251"/>
    </row>
    <row r="260136" spans="25:37" x14ac:dyDescent="0.2">
      <c r="Y260136" s="5"/>
      <c r="AB260136" s="5"/>
      <c r="AE260136" s="5"/>
      <c r="AH260136" s="5"/>
      <c r="AK260136" s="5"/>
    </row>
    <row r="260146" spans="25:37" x14ac:dyDescent="0.2">
      <c r="Y260146" s="251"/>
      <c r="AB260146" s="251"/>
      <c r="AE260146" s="251"/>
      <c r="AH260146" s="251"/>
      <c r="AK260146" s="251"/>
    </row>
    <row r="260261" spans="25:37" x14ac:dyDescent="0.2">
      <c r="Y260261" s="5"/>
      <c r="AB260261" s="5"/>
      <c r="AE260261" s="5"/>
      <c r="AH260261" s="5"/>
      <c r="AK260261" s="5"/>
    </row>
    <row r="260271" spans="25:37" x14ac:dyDescent="0.2">
      <c r="Y260271" s="251"/>
      <c r="AB260271" s="251"/>
      <c r="AE260271" s="251"/>
      <c r="AH260271" s="251"/>
      <c r="AK260271" s="251"/>
    </row>
    <row r="260386" spans="25:37" x14ac:dyDescent="0.2">
      <c r="Y260386" s="5"/>
      <c r="AB260386" s="5"/>
      <c r="AE260386" s="5"/>
      <c r="AH260386" s="5"/>
      <c r="AK260386" s="5"/>
    </row>
    <row r="260396" spans="25:37" x14ac:dyDescent="0.2">
      <c r="Y260396" s="251"/>
      <c r="AB260396" s="251"/>
      <c r="AE260396" s="251"/>
      <c r="AH260396" s="251"/>
      <c r="AK260396" s="251"/>
    </row>
    <row r="260511" spans="25:37" x14ac:dyDescent="0.2">
      <c r="Y260511" s="5"/>
      <c r="AB260511" s="5"/>
      <c r="AE260511" s="5"/>
      <c r="AH260511" s="5"/>
      <c r="AK260511" s="5"/>
    </row>
    <row r="260521" spans="25:37" x14ac:dyDescent="0.2">
      <c r="Y260521" s="251"/>
      <c r="AB260521" s="251"/>
      <c r="AE260521" s="251"/>
      <c r="AH260521" s="251"/>
      <c r="AK260521" s="251"/>
    </row>
    <row r="260636" spans="25:37" x14ac:dyDescent="0.2">
      <c r="Y260636" s="5"/>
      <c r="AB260636" s="5"/>
      <c r="AE260636" s="5"/>
      <c r="AH260636" s="5"/>
      <c r="AK260636" s="5"/>
    </row>
    <row r="260646" spans="25:37" x14ac:dyDescent="0.2">
      <c r="Y260646" s="251"/>
      <c r="AB260646" s="251"/>
      <c r="AE260646" s="251"/>
      <c r="AH260646" s="251"/>
      <c r="AK260646" s="251"/>
    </row>
    <row r="260761" spans="25:37" x14ac:dyDescent="0.2">
      <c r="Y260761" s="5"/>
      <c r="AB260761" s="5"/>
      <c r="AE260761" s="5"/>
      <c r="AH260761" s="5"/>
      <c r="AK260761" s="5"/>
    </row>
    <row r="260771" spans="25:37" x14ac:dyDescent="0.2">
      <c r="Y260771" s="251"/>
      <c r="AB260771" s="251"/>
      <c r="AE260771" s="251"/>
      <c r="AH260771" s="251"/>
      <c r="AK260771" s="251"/>
    </row>
    <row r="260886" spans="25:37" x14ac:dyDescent="0.2">
      <c r="Y260886" s="5"/>
      <c r="AB260886" s="5"/>
      <c r="AE260886" s="5"/>
      <c r="AH260886" s="5"/>
      <c r="AK260886" s="5"/>
    </row>
    <row r="260896" spans="25:37" x14ac:dyDescent="0.2">
      <c r="Y260896" s="251"/>
      <c r="AB260896" s="251"/>
      <c r="AE260896" s="251"/>
      <c r="AH260896" s="251"/>
      <c r="AK260896" s="251"/>
    </row>
    <row r="261011" spans="25:37" x14ac:dyDescent="0.2">
      <c r="Y261011" s="5"/>
      <c r="AB261011" s="5"/>
      <c r="AE261011" s="5"/>
      <c r="AH261011" s="5"/>
      <c r="AK261011" s="5"/>
    </row>
    <row r="261021" spans="25:37" x14ac:dyDescent="0.2">
      <c r="Y261021" s="251"/>
      <c r="AB261021" s="251"/>
      <c r="AE261021" s="251"/>
      <c r="AH261021" s="251"/>
      <c r="AK261021" s="251"/>
    </row>
    <row r="261136" spans="25:37" x14ac:dyDescent="0.2">
      <c r="Y261136" s="5"/>
      <c r="AB261136" s="5"/>
      <c r="AE261136" s="5"/>
      <c r="AH261136" s="5"/>
      <c r="AK261136" s="5"/>
    </row>
    <row r="261146" spans="25:37" x14ac:dyDescent="0.2">
      <c r="Y261146" s="251"/>
      <c r="AB261146" s="251"/>
      <c r="AE261146" s="251"/>
      <c r="AH261146" s="251"/>
      <c r="AK261146" s="251"/>
    </row>
    <row r="261261" spans="25:37" x14ac:dyDescent="0.2">
      <c r="Y261261" s="5"/>
      <c r="AB261261" s="5"/>
      <c r="AE261261" s="5"/>
      <c r="AH261261" s="5"/>
      <c r="AK261261" s="5"/>
    </row>
    <row r="261271" spans="25:37" x14ac:dyDescent="0.2">
      <c r="Y261271" s="251"/>
      <c r="AB261271" s="251"/>
      <c r="AE261271" s="251"/>
      <c r="AH261271" s="251"/>
      <c r="AK261271" s="251"/>
    </row>
    <row r="261386" spans="25:37" x14ac:dyDescent="0.2">
      <c r="Y261386" s="5"/>
      <c r="AB261386" s="5"/>
      <c r="AE261386" s="5"/>
      <c r="AH261386" s="5"/>
      <c r="AK261386" s="5"/>
    </row>
    <row r="261396" spans="25:37" x14ac:dyDescent="0.2">
      <c r="Y261396" s="251"/>
      <c r="AB261396" s="251"/>
      <c r="AE261396" s="251"/>
      <c r="AH261396" s="251"/>
      <c r="AK261396" s="251"/>
    </row>
    <row r="261511" spans="25:37" x14ac:dyDescent="0.2">
      <c r="Y261511" s="5"/>
      <c r="AB261511" s="5"/>
      <c r="AE261511" s="5"/>
      <c r="AH261511" s="5"/>
      <c r="AK261511" s="5"/>
    </row>
    <row r="261521" spans="25:37" x14ac:dyDescent="0.2">
      <c r="Y261521" s="251"/>
      <c r="AB261521" s="251"/>
      <c r="AE261521" s="251"/>
      <c r="AH261521" s="251"/>
      <c r="AK261521" s="251"/>
    </row>
    <row r="261636" spans="25:37" x14ac:dyDescent="0.2">
      <c r="Y261636" s="5"/>
      <c r="AB261636" s="5"/>
      <c r="AE261636" s="5"/>
      <c r="AH261636" s="5"/>
      <c r="AK261636" s="5"/>
    </row>
    <row r="261646" spans="25:37" x14ac:dyDescent="0.2">
      <c r="Y261646" s="251"/>
      <c r="AB261646" s="251"/>
      <c r="AE261646" s="251"/>
      <c r="AH261646" s="251"/>
      <c r="AK261646" s="251"/>
    </row>
    <row r="261761" spans="25:37" x14ac:dyDescent="0.2">
      <c r="Y261761" s="5"/>
      <c r="AB261761" s="5"/>
      <c r="AE261761" s="5"/>
      <c r="AH261761" s="5"/>
      <c r="AK261761" s="5"/>
    </row>
    <row r="261771" spans="25:37" x14ac:dyDescent="0.2">
      <c r="Y261771" s="251"/>
      <c r="AB261771" s="251"/>
      <c r="AE261771" s="251"/>
      <c r="AH261771" s="251"/>
      <c r="AK261771" s="251"/>
    </row>
    <row r="261886" spans="25:37" x14ac:dyDescent="0.2">
      <c r="Y261886" s="5"/>
      <c r="AB261886" s="5"/>
      <c r="AE261886" s="5"/>
      <c r="AH261886" s="5"/>
      <c r="AK261886" s="5"/>
    </row>
    <row r="261896" spans="25:37" x14ac:dyDescent="0.2">
      <c r="Y261896" s="251"/>
      <c r="AB261896" s="251"/>
      <c r="AE261896" s="251"/>
      <c r="AH261896" s="251"/>
      <c r="AK261896" s="251"/>
    </row>
    <row r="262011" spans="25:37" x14ac:dyDescent="0.2">
      <c r="Y262011" s="5"/>
      <c r="AB262011" s="5"/>
      <c r="AE262011" s="5"/>
      <c r="AH262011" s="5"/>
      <c r="AK262011" s="5"/>
    </row>
    <row r="262021" spans="25:37" x14ac:dyDescent="0.2">
      <c r="Y262021" s="251"/>
      <c r="AB262021" s="251"/>
      <c r="AE262021" s="251"/>
      <c r="AH262021" s="251"/>
      <c r="AK262021" s="251"/>
    </row>
    <row r="262136" spans="25:37" x14ac:dyDescent="0.2">
      <c r="Y262136" s="5"/>
      <c r="AB262136" s="5"/>
      <c r="AE262136" s="5"/>
      <c r="AH262136" s="5"/>
      <c r="AK262136" s="5"/>
    </row>
    <row r="262146" spans="25:37" x14ac:dyDescent="0.2">
      <c r="Y262146" s="251"/>
      <c r="AB262146" s="251"/>
      <c r="AE262146" s="251"/>
      <c r="AH262146" s="251"/>
      <c r="AK262146" s="251"/>
    </row>
    <row r="262261" spans="25:37" x14ac:dyDescent="0.2">
      <c r="Y262261" s="5"/>
      <c r="AB262261" s="5"/>
      <c r="AE262261" s="5"/>
      <c r="AH262261" s="5"/>
      <c r="AK262261" s="5"/>
    </row>
    <row r="262271" spans="25:37" x14ac:dyDescent="0.2">
      <c r="Y262271" s="251"/>
      <c r="AB262271" s="251"/>
      <c r="AE262271" s="251"/>
      <c r="AH262271" s="251"/>
      <c r="AK262271" s="251"/>
    </row>
    <row r="262386" spans="25:37" x14ac:dyDescent="0.2">
      <c r="Y262386" s="5"/>
      <c r="AB262386" s="5"/>
      <c r="AE262386" s="5"/>
      <c r="AH262386" s="5"/>
      <c r="AK262386" s="5"/>
    </row>
    <row r="262396" spans="25:37" x14ac:dyDescent="0.2">
      <c r="Y262396" s="251"/>
      <c r="AB262396" s="251"/>
      <c r="AE262396" s="251"/>
      <c r="AH262396" s="251"/>
      <c r="AK262396" s="251"/>
    </row>
    <row r="262511" spans="25:37" x14ac:dyDescent="0.2">
      <c r="Y262511" s="5"/>
      <c r="AB262511" s="5"/>
      <c r="AE262511" s="5"/>
      <c r="AH262511" s="5"/>
      <c r="AK262511" s="5"/>
    </row>
    <row r="262521" spans="25:37" x14ac:dyDescent="0.2">
      <c r="Y262521" s="251"/>
      <c r="AB262521" s="251"/>
      <c r="AE262521" s="251"/>
      <c r="AH262521" s="251"/>
      <c r="AK262521" s="251"/>
    </row>
    <row r="262636" spans="25:37" x14ac:dyDescent="0.2">
      <c r="Y262636" s="5"/>
      <c r="AB262636" s="5"/>
      <c r="AE262636" s="5"/>
      <c r="AH262636" s="5"/>
      <c r="AK262636" s="5"/>
    </row>
    <row r="262646" spans="25:37" x14ac:dyDescent="0.2">
      <c r="Y262646" s="251"/>
      <c r="AB262646" s="251"/>
      <c r="AE262646" s="251"/>
      <c r="AH262646" s="251"/>
      <c r="AK262646" s="251"/>
    </row>
    <row r="262761" spans="25:37" x14ac:dyDescent="0.2">
      <c r="Y262761" s="5"/>
      <c r="AB262761" s="5"/>
      <c r="AE262761" s="5"/>
      <c r="AH262761" s="5"/>
      <c r="AK262761" s="5"/>
    </row>
    <row r="262771" spans="25:37" x14ac:dyDescent="0.2">
      <c r="Y262771" s="251"/>
      <c r="AB262771" s="251"/>
      <c r="AE262771" s="251"/>
      <c r="AH262771" s="251"/>
      <c r="AK262771" s="251"/>
    </row>
    <row r="262886" spans="25:37" x14ac:dyDescent="0.2">
      <c r="Y262886" s="5"/>
      <c r="AB262886" s="5"/>
      <c r="AE262886" s="5"/>
      <c r="AH262886" s="5"/>
      <c r="AK262886" s="5"/>
    </row>
    <row r="262896" spans="25:37" x14ac:dyDescent="0.2">
      <c r="Y262896" s="251"/>
      <c r="AB262896" s="251"/>
      <c r="AE262896" s="251"/>
      <c r="AH262896" s="251"/>
      <c r="AK262896" s="251"/>
    </row>
    <row r="263011" spans="25:37" x14ac:dyDescent="0.2">
      <c r="Y263011" s="5"/>
      <c r="AB263011" s="5"/>
      <c r="AE263011" s="5"/>
      <c r="AH263011" s="5"/>
      <c r="AK263011" s="5"/>
    </row>
    <row r="263021" spans="25:37" x14ac:dyDescent="0.2">
      <c r="Y263021" s="251"/>
      <c r="AB263021" s="251"/>
      <c r="AE263021" s="251"/>
      <c r="AH263021" s="251"/>
      <c r="AK263021" s="251"/>
    </row>
    <row r="263136" spans="25:37" x14ac:dyDescent="0.2">
      <c r="Y263136" s="5"/>
      <c r="AB263136" s="5"/>
      <c r="AE263136" s="5"/>
      <c r="AH263136" s="5"/>
      <c r="AK263136" s="5"/>
    </row>
    <row r="263146" spans="25:37" x14ac:dyDescent="0.2">
      <c r="Y263146" s="251"/>
      <c r="AB263146" s="251"/>
      <c r="AE263146" s="251"/>
      <c r="AH263146" s="251"/>
      <c r="AK263146" s="251"/>
    </row>
    <row r="263261" spans="25:37" x14ac:dyDescent="0.2">
      <c r="Y263261" s="5"/>
      <c r="AB263261" s="5"/>
      <c r="AE263261" s="5"/>
      <c r="AH263261" s="5"/>
      <c r="AK263261" s="5"/>
    </row>
    <row r="263271" spans="25:37" x14ac:dyDescent="0.2">
      <c r="Y263271" s="251"/>
      <c r="AB263271" s="251"/>
      <c r="AE263271" s="251"/>
      <c r="AH263271" s="251"/>
      <c r="AK263271" s="251"/>
    </row>
    <row r="263386" spans="25:37" x14ac:dyDescent="0.2">
      <c r="Y263386" s="5"/>
      <c r="AB263386" s="5"/>
      <c r="AE263386" s="5"/>
      <c r="AH263386" s="5"/>
      <c r="AK263386" s="5"/>
    </row>
    <row r="263396" spans="25:37" x14ac:dyDescent="0.2">
      <c r="Y263396" s="251"/>
      <c r="AB263396" s="251"/>
      <c r="AE263396" s="251"/>
      <c r="AH263396" s="251"/>
      <c r="AK263396" s="251"/>
    </row>
    <row r="263511" spans="25:37" x14ac:dyDescent="0.2">
      <c r="Y263511" s="5"/>
      <c r="AB263511" s="5"/>
      <c r="AE263511" s="5"/>
      <c r="AH263511" s="5"/>
      <c r="AK263511" s="5"/>
    </row>
    <row r="263521" spans="25:37" x14ac:dyDescent="0.2">
      <c r="Y263521" s="251"/>
      <c r="AB263521" s="251"/>
      <c r="AE263521" s="251"/>
      <c r="AH263521" s="251"/>
      <c r="AK263521" s="251"/>
    </row>
    <row r="263636" spans="25:37" x14ac:dyDescent="0.2">
      <c r="Y263636" s="5"/>
      <c r="AB263636" s="5"/>
      <c r="AE263636" s="5"/>
      <c r="AH263636" s="5"/>
      <c r="AK263636" s="5"/>
    </row>
    <row r="263646" spans="25:37" x14ac:dyDescent="0.2">
      <c r="Y263646" s="251"/>
      <c r="AB263646" s="251"/>
      <c r="AE263646" s="251"/>
      <c r="AH263646" s="251"/>
      <c r="AK263646" s="251"/>
    </row>
    <row r="263761" spans="25:37" x14ac:dyDescent="0.2">
      <c r="Y263761" s="5"/>
      <c r="AB263761" s="5"/>
      <c r="AE263761" s="5"/>
      <c r="AH263761" s="5"/>
      <c r="AK263761" s="5"/>
    </row>
    <row r="263771" spans="25:37" x14ac:dyDescent="0.2">
      <c r="Y263771" s="251"/>
      <c r="AB263771" s="251"/>
      <c r="AE263771" s="251"/>
      <c r="AH263771" s="251"/>
      <c r="AK263771" s="251"/>
    </row>
    <row r="263886" spans="25:37" x14ac:dyDescent="0.2">
      <c r="Y263886" s="5"/>
      <c r="AB263886" s="5"/>
      <c r="AE263886" s="5"/>
      <c r="AH263886" s="5"/>
      <c r="AK263886" s="5"/>
    </row>
    <row r="263896" spans="25:37" x14ac:dyDescent="0.2">
      <c r="Y263896" s="251"/>
      <c r="AB263896" s="251"/>
      <c r="AE263896" s="251"/>
      <c r="AH263896" s="251"/>
      <c r="AK263896" s="251"/>
    </row>
    <row r="264011" spans="25:37" x14ac:dyDescent="0.2">
      <c r="Y264011" s="5"/>
      <c r="AB264011" s="5"/>
      <c r="AE264011" s="5"/>
      <c r="AH264011" s="5"/>
      <c r="AK264011" s="5"/>
    </row>
    <row r="264021" spans="25:37" x14ac:dyDescent="0.2">
      <c r="Y264021" s="251"/>
      <c r="AB264021" s="251"/>
      <c r="AE264021" s="251"/>
      <c r="AH264021" s="251"/>
      <c r="AK264021" s="251"/>
    </row>
    <row r="264136" spans="25:37" x14ac:dyDescent="0.2">
      <c r="Y264136" s="5"/>
      <c r="AB264136" s="5"/>
      <c r="AE264136" s="5"/>
      <c r="AH264136" s="5"/>
      <c r="AK264136" s="5"/>
    </row>
    <row r="264146" spans="25:37" x14ac:dyDescent="0.2">
      <c r="Y264146" s="251"/>
      <c r="AB264146" s="251"/>
      <c r="AE264146" s="251"/>
      <c r="AH264146" s="251"/>
      <c r="AK264146" s="251"/>
    </row>
    <row r="264261" spans="25:37" x14ac:dyDescent="0.2">
      <c r="Y264261" s="5"/>
      <c r="AB264261" s="5"/>
      <c r="AE264261" s="5"/>
      <c r="AH264261" s="5"/>
      <c r="AK264261" s="5"/>
    </row>
    <row r="264271" spans="25:37" x14ac:dyDescent="0.2">
      <c r="Y264271" s="251"/>
      <c r="AB264271" s="251"/>
      <c r="AE264271" s="251"/>
      <c r="AH264271" s="251"/>
      <c r="AK264271" s="251"/>
    </row>
    <row r="264386" spans="25:37" x14ac:dyDescent="0.2">
      <c r="Y264386" s="5"/>
      <c r="AB264386" s="5"/>
      <c r="AE264386" s="5"/>
      <c r="AH264386" s="5"/>
      <c r="AK264386" s="5"/>
    </row>
    <row r="264396" spans="25:37" x14ac:dyDescent="0.2">
      <c r="Y264396" s="251"/>
      <c r="AB264396" s="251"/>
      <c r="AE264396" s="251"/>
      <c r="AH264396" s="251"/>
      <c r="AK264396" s="251"/>
    </row>
    <row r="264511" spans="25:37" x14ac:dyDescent="0.2">
      <c r="Y264511" s="5"/>
      <c r="AB264511" s="5"/>
      <c r="AE264511" s="5"/>
      <c r="AH264511" s="5"/>
      <c r="AK264511" s="5"/>
    </row>
    <row r="264521" spans="25:37" x14ac:dyDescent="0.2">
      <c r="Y264521" s="251"/>
      <c r="AB264521" s="251"/>
      <c r="AE264521" s="251"/>
      <c r="AH264521" s="251"/>
      <c r="AK264521" s="251"/>
    </row>
    <row r="264636" spans="25:37" x14ac:dyDescent="0.2">
      <c r="Y264636" s="5"/>
      <c r="AB264636" s="5"/>
      <c r="AE264636" s="5"/>
      <c r="AH264636" s="5"/>
      <c r="AK264636" s="5"/>
    </row>
    <row r="264646" spans="25:37" x14ac:dyDescent="0.2">
      <c r="Y264646" s="251"/>
      <c r="AB264646" s="251"/>
      <c r="AE264646" s="251"/>
      <c r="AH264646" s="251"/>
      <c r="AK264646" s="251"/>
    </row>
    <row r="264761" spans="25:37" x14ac:dyDescent="0.2">
      <c r="Y264761" s="5"/>
      <c r="AB264761" s="5"/>
      <c r="AE264761" s="5"/>
      <c r="AH264761" s="5"/>
      <c r="AK264761" s="5"/>
    </row>
    <row r="264771" spans="25:37" x14ac:dyDescent="0.2">
      <c r="Y264771" s="251"/>
      <c r="AB264771" s="251"/>
      <c r="AE264771" s="251"/>
      <c r="AH264771" s="251"/>
      <c r="AK264771" s="251"/>
    </row>
    <row r="264886" spans="25:37" x14ac:dyDescent="0.2">
      <c r="Y264886" s="5"/>
      <c r="AB264886" s="5"/>
      <c r="AE264886" s="5"/>
      <c r="AH264886" s="5"/>
      <c r="AK264886" s="5"/>
    </row>
    <row r="264896" spans="25:37" x14ac:dyDescent="0.2">
      <c r="Y264896" s="251"/>
      <c r="AB264896" s="251"/>
      <c r="AE264896" s="251"/>
      <c r="AH264896" s="251"/>
      <c r="AK264896" s="251"/>
    </row>
    <row r="265011" spans="25:37" x14ac:dyDescent="0.2">
      <c r="Y265011" s="5"/>
      <c r="AB265011" s="5"/>
      <c r="AE265011" s="5"/>
      <c r="AH265011" s="5"/>
      <c r="AK265011" s="5"/>
    </row>
    <row r="265021" spans="25:37" x14ac:dyDescent="0.2">
      <c r="Y265021" s="251"/>
      <c r="AB265021" s="251"/>
      <c r="AE265021" s="251"/>
      <c r="AH265021" s="251"/>
      <c r="AK265021" s="251"/>
    </row>
    <row r="265136" spans="25:37" x14ac:dyDescent="0.2">
      <c r="Y265136" s="5"/>
      <c r="AB265136" s="5"/>
      <c r="AE265136" s="5"/>
      <c r="AH265136" s="5"/>
      <c r="AK265136" s="5"/>
    </row>
    <row r="265146" spans="25:37" x14ac:dyDescent="0.2">
      <c r="Y265146" s="251"/>
      <c r="AB265146" s="251"/>
      <c r="AE265146" s="251"/>
      <c r="AH265146" s="251"/>
      <c r="AK265146" s="251"/>
    </row>
    <row r="265261" spans="25:37" x14ac:dyDescent="0.2">
      <c r="Y265261" s="5"/>
      <c r="AB265261" s="5"/>
      <c r="AE265261" s="5"/>
      <c r="AH265261" s="5"/>
      <c r="AK265261" s="5"/>
    </row>
    <row r="265271" spans="25:37" x14ac:dyDescent="0.2">
      <c r="Y265271" s="251"/>
      <c r="AB265271" s="251"/>
      <c r="AE265271" s="251"/>
      <c r="AH265271" s="251"/>
      <c r="AK265271" s="251"/>
    </row>
    <row r="265386" spans="25:37" x14ac:dyDescent="0.2">
      <c r="Y265386" s="5"/>
      <c r="AB265386" s="5"/>
      <c r="AE265386" s="5"/>
      <c r="AH265386" s="5"/>
      <c r="AK265386" s="5"/>
    </row>
    <row r="265396" spans="25:37" x14ac:dyDescent="0.2">
      <c r="Y265396" s="251"/>
      <c r="AB265396" s="251"/>
      <c r="AE265396" s="251"/>
      <c r="AH265396" s="251"/>
      <c r="AK265396" s="251"/>
    </row>
    <row r="265511" spans="25:37" x14ac:dyDescent="0.2">
      <c r="Y265511" s="5"/>
      <c r="AB265511" s="5"/>
      <c r="AE265511" s="5"/>
      <c r="AH265511" s="5"/>
      <c r="AK265511" s="5"/>
    </row>
    <row r="265521" spans="25:37" x14ac:dyDescent="0.2">
      <c r="Y265521" s="251"/>
      <c r="AB265521" s="251"/>
      <c r="AE265521" s="251"/>
      <c r="AH265521" s="251"/>
      <c r="AK265521" s="251"/>
    </row>
    <row r="265636" spans="25:37" x14ac:dyDescent="0.2">
      <c r="Y265636" s="5"/>
      <c r="AB265636" s="5"/>
      <c r="AE265636" s="5"/>
      <c r="AH265636" s="5"/>
      <c r="AK265636" s="5"/>
    </row>
    <row r="265646" spans="25:37" x14ac:dyDescent="0.2">
      <c r="Y265646" s="251"/>
      <c r="AB265646" s="251"/>
      <c r="AE265646" s="251"/>
      <c r="AH265646" s="251"/>
      <c r="AK265646" s="251"/>
    </row>
    <row r="265761" spans="25:37" x14ac:dyDescent="0.2">
      <c r="Y265761" s="5"/>
      <c r="AB265761" s="5"/>
      <c r="AE265761" s="5"/>
      <c r="AH265761" s="5"/>
      <c r="AK265761" s="5"/>
    </row>
    <row r="265771" spans="25:37" x14ac:dyDescent="0.2">
      <c r="Y265771" s="251"/>
      <c r="AB265771" s="251"/>
      <c r="AE265771" s="251"/>
      <c r="AH265771" s="251"/>
      <c r="AK265771" s="251"/>
    </row>
    <row r="265886" spans="25:37" x14ac:dyDescent="0.2">
      <c r="Y265886" s="5"/>
      <c r="AB265886" s="5"/>
      <c r="AE265886" s="5"/>
      <c r="AH265886" s="5"/>
      <c r="AK265886" s="5"/>
    </row>
    <row r="265896" spans="25:37" x14ac:dyDescent="0.2">
      <c r="Y265896" s="251"/>
      <c r="AB265896" s="251"/>
      <c r="AE265896" s="251"/>
      <c r="AH265896" s="251"/>
      <c r="AK265896" s="251"/>
    </row>
    <row r="266011" spans="25:37" x14ac:dyDescent="0.2">
      <c r="Y266011" s="5"/>
      <c r="AB266011" s="5"/>
      <c r="AE266011" s="5"/>
      <c r="AH266011" s="5"/>
      <c r="AK266011" s="5"/>
    </row>
    <row r="266021" spans="25:37" x14ac:dyDescent="0.2">
      <c r="Y266021" s="251"/>
      <c r="AB266021" s="251"/>
      <c r="AE266021" s="251"/>
      <c r="AH266021" s="251"/>
      <c r="AK266021" s="251"/>
    </row>
    <row r="266136" spans="25:37" x14ac:dyDescent="0.2">
      <c r="Y266136" s="5"/>
      <c r="AB266136" s="5"/>
      <c r="AE266136" s="5"/>
      <c r="AH266136" s="5"/>
      <c r="AK266136" s="5"/>
    </row>
    <row r="266146" spans="25:37" x14ac:dyDescent="0.2">
      <c r="Y266146" s="251"/>
      <c r="AB266146" s="251"/>
      <c r="AE266146" s="251"/>
      <c r="AH266146" s="251"/>
      <c r="AK266146" s="251"/>
    </row>
    <row r="266261" spans="25:37" x14ac:dyDescent="0.2">
      <c r="Y266261" s="5"/>
      <c r="AB266261" s="5"/>
      <c r="AE266261" s="5"/>
      <c r="AH266261" s="5"/>
      <c r="AK266261" s="5"/>
    </row>
    <row r="266271" spans="25:37" x14ac:dyDescent="0.2">
      <c r="Y266271" s="251"/>
      <c r="AB266271" s="251"/>
      <c r="AE266271" s="251"/>
      <c r="AH266271" s="251"/>
      <c r="AK266271" s="251"/>
    </row>
    <row r="266386" spans="25:37" x14ac:dyDescent="0.2">
      <c r="Y266386" s="5"/>
      <c r="AB266386" s="5"/>
      <c r="AE266386" s="5"/>
      <c r="AH266386" s="5"/>
      <c r="AK266386" s="5"/>
    </row>
    <row r="266396" spans="25:37" x14ac:dyDescent="0.2">
      <c r="Y266396" s="251"/>
      <c r="AB266396" s="251"/>
      <c r="AE266396" s="251"/>
      <c r="AH266396" s="251"/>
      <c r="AK266396" s="251"/>
    </row>
    <row r="266511" spans="25:37" x14ac:dyDescent="0.2">
      <c r="Y266511" s="5"/>
      <c r="AB266511" s="5"/>
      <c r="AE266511" s="5"/>
      <c r="AH266511" s="5"/>
      <c r="AK266511" s="5"/>
    </row>
    <row r="266521" spans="25:37" x14ac:dyDescent="0.2">
      <c r="Y266521" s="251"/>
      <c r="AB266521" s="251"/>
      <c r="AE266521" s="251"/>
      <c r="AH266521" s="251"/>
      <c r="AK266521" s="251"/>
    </row>
    <row r="266636" spans="25:37" x14ac:dyDescent="0.2">
      <c r="Y266636" s="5"/>
      <c r="AB266636" s="5"/>
      <c r="AE266636" s="5"/>
      <c r="AH266636" s="5"/>
      <c r="AK266636" s="5"/>
    </row>
    <row r="266646" spans="25:37" x14ac:dyDescent="0.2">
      <c r="Y266646" s="251"/>
      <c r="AB266646" s="251"/>
      <c r="AE266646" s="251"/>
      <c r="AH266646" s="251"/>
      <c r="AK266646" s="251"/>
    </row>
    <row r="266761" spans="25:37" x14ac:dyDescent="0.2">
      <c r="Y266761" s="5"/>
      <c r="AB266761" s="5"/>
      <c r="AE266761" s="5"/>
      <c r="AH266761" s="5"/>
      <c r="AK266761" s="5"/>
    </row>
    <row r="266771" spans="25:37" x14ac:dyDescent="0.2">
      <c r="Y266771" s="251"/>
      <c r="AB266771" s="251"/>
      <c r="AE266771" s="251"/>
      <c r="AH266771" s="251"/>
      <c r="AK266771" s="251"/>
    </row>
    <row r="266886" spans="25:37" x14ac:dyDescent="0.2">
      <c r="Y266886" s="5"/>
      <c r="AB266886" s="5"/>
      <c r="AE266886" s="5"/>
      <c r="AH266886" s="5"/>
      <c r="AK266886" s="5"/>
    </row>
    <row r="266896" spans="25:37" x14ac:dyDescent="0.2">
      <c r="Y266896" s="251"/>
      <c r="AB266896" s="251"/>
      <c r="AE266896" s="251"/>
      <c r="AH266896" s="251"/>
      <c r="AK266896" s="251"/>
    </row>
    <row r="267011" spans="25:37" x14ac:dyDescent="0.2">
      <c r="Y267011" s="5"/>
      <c r="AB267011" s="5"/>
      <c r="AE267011" s="5"/>
      <c r="AH267011" s="5"/>
      <c r="AK267011" s="5"/>
    </row>
    <row r="267021" spans="25:37" x14ac:dyDescent="0.2">
      <c r="Y267021" s="251"/>
      <c r="AB267021" s="251"/>
      <c r="AE267021" s="251"/>
      <c r="AH267021" s="251"/>
      <c r="AK267021" s="251"/>
    </row>
    <row r="267136" spans="25:37" x14ac:dyDescent="0.2">
      <c r="Y267136" s="5"/>
      <c r="AB267136" s="5"/>
      <c r="AE267136" s="5"/>
      <c r="AH267136" s="5"/>
      <c r="AK267136" s="5"/>
    </row>
    <row r="267146" spans="25:37" x14ac:dyDescent="0.2">
      <c r="Y267146" s="251"/>
      <c r="AB267146" s="251"/>
      <c r="AE267146" s="251"/>
      <c r="AH267146" s="251"/>
      <c r="AK267146" s="251"/>
    </row>
    <row r="267261" spans="25:37" x14ac:dyDescent="0.2">
      <c r="Y267261" s="5"/>
      <c r="AB267261" s="5"/>
      <c r="AE267261" s="5"/>
      <c r="AH267261" s="5"/>
      <c r="AK267261" s="5"/>
    </row>
    <row r="267271" spans="25:37" x14ac:dyDescent="0.2">
      <c r="Y267271" s="251"/>
      <c r="AB267271" s="251"/>
      <c r="AE267271" s="251"/>
      <c r="AH267271" s="251"/>
      <c r="AK267271" s="251"/>
    </row>
    <row r="267386" spans="25:37" x14ac:dyDescent="0.2">
      <c r="Y267386" s="5"/>
      <c r="AB267386" s="5"/>
      <c r="AE267386" s="5"/>
      <c r="AH267386" s="5"/>
      <c r="AK267386" s="5"/>
    </row>
    <row r="267396" spans="25:37" x14ac:dyDescent="0.2">
      <c r="Y267396" s="251"/>
      <c r="AB267396" s="251"/>
      <c r="AE267396" s="251"/>
      <c r="AH267396" s="251"/>
      <c r="AK267396" s="251"/>
    </row>
    <row r="267511" spans="25:37" x14ac:dyDescent="0.2">
      <c r="Y267511" s="5"/>
      <c r="AB267511" s="5"/>
      <c r="AE267511" s="5"/>
      <c r="AH267511" s="5"/>
      <c r="AK267511" s="5"/>
    </row>
    <row r="267521" spans="25:37" x14ac:dyDescent="0.2">
      <c r="Y267521" s="251"/>
      <c r="AB267521" s="251"/>
      <c r="AE267521" s="251"/>
      <c r="AH267521" s="251"/>
      <c r="AK267521" s="251"/>
    </row>
    <row r="267636" spans="25:37" x14ac:dyDescent="0.2">
      <c r="Y267636" s="5"/>
      <c r="AB267636" s="5"/>
      <c r="AE267636" s="5"/>
      <c r="AH267636" s="5"/>
      <c r="AK267636" s="5"/>
    </row>
    <row r="267646" spans="25:37" x14ac:dyDescent="0.2">
      <c r="Y267646" s="251"/>
      <c r="AB267646" s="251"/>
      <c r="AE267646" s="251"/>
      <c r="AH267646" s="251"/>
      <c r="AK267646" s="251"/>
    </row>
    <row r="267761" spans="25:37" x14ac:dyDescent="0.2">
      <c r="Y267761" s="5"/>
      <c r="AB267761" s="5"/>
      <c r="AE267761" s="5"/>
      <c r="AH267761" s="5"/>
      <c r="AK267761" s="5"/>
    </row>
    <row r="267771" spans="25:37" x14ac:dyDescent="0.2">
      <c r="Y267771" s="251"/>
      <c r="AB267771" s="251"/>
      <c r="AE267771" s="251"/>
      <c r="AH267771" s="251"/>
      <c r="AK267771" s="251"/>
    </row>
    <row r="267886" spans="25:37" x14ac:dyDescent="0.2">
      <c r="Y267886" s="5"/>
      <c r="AB267886" s="5"/>
      <c r="AE267886" s="5"/>
      <c r="AH267886" s="5"/>
      <c r="AK267886" s="5"/>
    </row>
    <row r="267896" spans="25:37" x14ac:dyDescent="0.2">
      <c r="Y267896" s="251"/>
      <c r="AB267896" s="251"/>
      <c r="AE267896" s="251"/>
      <c r="AH267896" s="251"/>
      <c r="AK267896" s="251"/>
    </row>
    <row r="268011" spans="25:37" x14ac:dyDescent="0.2">
      <c r="Y268011" s="5"/>
      <c r="AB268011" s="5"/>
      <c r="AE268011" s="5"/>
      <c r="AH268011" s="5"/>
      <c r="AK268011" s="5"/>
    </row>
    <row r="268021" spans="25:37" x14ac:dyDescent="0.2">
      <c r="Y268021" s="251"/>
      <c r="AB268021" s="251"/>
      <c r="AE268021" s="251"/>
      <c r="AH268021" s="251"/>
      <c r="AK268021" s="251"/>
    </row>
    <row r="268136" spans="25:37" x14ac:dyDescent="0.2">
      <c r="Y268136" s="5"/>
      <c r="AB268136" s="5"/>
      <c r="AE268136" s="5"/>
      <c r="AH268136" s="5"/>
      <c r="AK268136" s="5"/>
    </row>
    <row r="268146" spans="25:37" x14ac:dyDescent="0.2">
      <c r="Y268146" s="251"/>
      <c r="AB268146" s="251"/>
      <c r="AE268146" s="251"/>
      <c r="AH268146" s="251"/>
      <c r="AK268146" s="251"/>
    </row>
    <row r="268261" spans="25:37" x14ac:dyDescent="0.2">
      <c r="Y268261" s="5"/>
      <c r="AB268261" s="5"/>
      <c r="AE268261" s="5"/>
      <c r="AH268261" s="5"/>
      <c r="AK268261" s="5"/>
    </row>
    <row r="268271" spans="25:37" x14ac:dyDescent="0.2">
      <c r="Y268271" s="251"/>
      <c r="AB268271" s="251"/>
      <c r="AE268271" s="251"/>
      <c r="AH268271" s="251"/>
      <c r="AK268271" s="251"/>
    </row>
    <row r="268386" spans="25:37" x14ac:dyDescent="0.2">
      <c r="Y268386" s="5"/>
      <c r="AB268386" s="5"/>
      <c r="AE268386" s="5"/>
      <c r="AH268386" s="5"/>
      <c r="AK268386" s="5"/>
    </row>
    <row r="268396" spans="25:37" x14ac:dyDescent="0.2">
      <c r="Y268396" s="251"/>
      <c r="AB268396" s="251"/>
      <c r="AE268396" s="251"/>
      <c r="AH268396" s="251"/>
      <c r="AK268396" s="251"/>
    </row>
    <row r="268511" spans="25:37" x14ac:dyDescent="0.2">
      <c r="Y268511" s="5"/>
      <c r="AB268511" s="5"/>
      <c r="AE268511" s="5"/>
      <c r="AH268511" s="5"/>
      <c r="AK268511" s="5"/>
    </row>
    <row r="268521" spans="25:37" x14ac:dyDescent="0.2">
      <c r="Y268521" s="251"/>
      <c r="AB268521" s="251"/>
      <c r="AE268521" s="251"/>
      <c r="AH268521" s="251"/>
      <c r="AK268521" s="251"/>
    </row>
    <row r="268636" spans="25:37" x14ac:dyDescent="0.2">
      <c r="Y268636" s="5"/>
      <c r="AB268636" s="5"/>
      <c r="AE268636" s="5"/>
      <c r="AH268636" s="5"/>
      <c r="AK268636" s="5"/>
    </row>
    <row r="268646" spans="25:37" x14ac:dyDescent="0.2">
      <c r="Y268646" s="251"/>
      <c r="AB268646" s="251"/>
      <c r="AE268646" s="251"/>
      <c r="AH268646" s="251"/>
      <c r="AK268646" s="251"/>
    </row>
    <row r="268761" spans="25:37" x14ac:dyDescent="0.2">
      <c r="Y268761" s="5"/>
      <c r="AB268761" s="5"/>
      <c r="AE268761" s="5"/>
      <c r="AH268761" s="5"/>
      <c r="AK268761" s="5"/>
    </row>
    <row r="268771" spans="25:37" x14ac:dyDescent="0.2">
      <c r="Y268771" s="251"/>
      <c r="AB268771" s="251"/>
      <c r="AE268771" s="251"/>
      <c r="AH268771" s="251"/>
      <c r="AK268771" s="251"/>
    </row>
    <row r="268886" spans="25:37" x14ac:dyDescent="0.2">
      <c r="Y268886" s="5"/>
      <c r="AB268886" s="5"/>
      <c r="AE268886" s="5"/>
      <c r="AH268886" s="5"/>
      <c r="AK268886" s="5"/>
    </row>
    <row r="268896" spans="25:37" x14ac:dyDescent="0.2">
      <c r="Y268896" s="251"/>
      <c r="AB268896" s="251"/>
      <c r="AE268896" s="251"/>
      <c r="AH268896" s="251"/>
      <c r="AK268896" s="251"/>
    </row>
    <row r="269011" spans="25:37" x14ac:dyDescent="0.2">
      <c r="Y269011" s="5"/>
      <c r="AB269011" s="5"/>
      <c r="AE269011" s="5"/>
      <c r="AH269011" s="5"/>
      <c r="AK269011" s="5"/>
    </row>
    <row r="269021" spans="25:37" x14ac:dyDescent="0.2">
      <c r="Y269021" s="251"/>
      <c r="AB269021" s="251"/>
      <c r="AE269021" s="251"/>
      <c r="AH269021" s="251"/>
      <c r="AK269021" s="251"/>
    </row>
    <row r="269136" spans="25:37" x14ac:dyDescent="0.2">
      <c r="Y269136" s="5"/>
      <c r="AB269136" s="5"/>
      <c r="AE269136" s="5"/>
      <c r="AH269136" s="5"/>
      <c r="AK269136" s="5"/>
    </row>
    <row r="269146" spans="25:37" x14ac:dyDescent="0.2">
      <c r="Y269146" s="251"/>
      <c r="AB269146" s="251"/>
      <c r="AE269146" s="251"/>
      <c r="AH269146" s="251"/>
      <c r="AK269146" s="251"/>
    </row>
    <row r="269261" spans="25:37" x14ac:dyDescent="0.2">
      <c r="Y269261" s="5"/>
      <c r="AB269261" s="5"/>
      <c r="AE269261" s="5"/>
      <c r="AH269261" s="5"/>
      <c r="AK269261" s="5"/>
    </row>
    <row r="269271" spans="25:37" x14ac:dyDescent="0.2">
      <c r="Y269271" s="251"/>
      <c r="AB269271" s="251"/>
      <c r="AE269271" s="251"/>
      <c r="AH269271" s="251"/>
      <c r="AK269271" s="251"/>
    </row>
    <row r="269386" spans="25:37" x14ac:dyDescent="0.2">
      <c r="Y269386" s="5"/>
      <c r="AB269386" s="5"/>
      <c r="AE269386" s="5"/>
      <c r="AH269386" s="5"/>
      <c r="AK269386" s="5"/>
    </row>
    <row r="269396" spans="25:37" x14ac:dyDescent="0.2">
      <c r="Y269396" s="251"/>
      <c r="AB269396" s="251"/>
      <c r="AE269396" s="251"/>
      <c r="AH269396" s="251"/>
      <c r="AK269396" s="251"/>
    </row>
    <row r="269511" spans="25:37" x14ac:dyDescent="0.2">
      <c r="Y269511" s="5"/>
      <c r="AB269511" s="5"/>
      <c r="AE269511" s="5"/>
      <c r="AH269511" s="5"/>
      <c r="AK269511" s="5"/>
    </row>
    <row r="269521" spans="25:37" x14ac:dyDescent="0.2">
      <c r="Y269521" s="251"/>
      <c r="AB269521" s="251"/>
      <c r="AE269521" s="251"/>
      <c r="AH269521" s="251"/>
      <c r="AK269521" s="251"/>
    </row>
    <row r="269636" spans="25:37" x14ac:dyDescent="0.2">
      <c r="Y269636" s="5"/>
      <c r="AB269636" s="5"/>
      <c r="AE269636" s="5"/>
      <c r="AH269636" s="5"/>
      <c r="AK269636" s="5"/>
    </row>
    <row r="269646" spans="25:37" x14ac:dyDescent="0.2">
      <c r="Y269646" s="251"/>
      <c r="AB269646" s="251"/>
      <c r="AE269646" s="251"/>
      <c r="AH269646" s="251"/>
      <c r="AK269646" s="251"/>
    </row>
    <row r="269761" spans="25:37" x14ac:dyDescent="0.2">
      <c r="Y269761" s="5"/>
      <c r="AB269761" s="5"/>
      <c r="AE269761" s="5"/>
      <c r="AH269761" s="5"/>
      <c r="AK269761" s="5"/>
    </row>
    <row r="269771" spans="25:37" x14ac:dyDescent="0.2">
      <c r="Y269771" s="251"/>
      <c r="AB269771" s="251"/>
      <c r="AE269771" s="251"/>
      <c r="AH269771" s="251"/>
      <c r="AK269771" s="251"/>
    </row>
    <row r="269886" spans="25:37" x14ac:dyDescent="0.2">
      <c r="Y269886" s="5"/>
      <c r="AB269886" s="5"/>
      <c r="AE269886" s="5"/>
      <c r="AH269886" s="5"/>
      <c r="AK269886" s="5"/>
    </row>
    <row r="269896" spans="25:37" x14ac:dyDescent="0.2">
      <c r="Y269896" s="251"/>
      <c r="AB269896" s="251"/>
      <c r="AE269896" s="251"/>
      <c r="AH269896" s="251"/>
      <c r="AK269896" s="251"/>
    </row>
    <row r="270011" spans="25:37" x14ac:dyDescent="0.2">
      <c r="Y270011" s="5"/>
      <c r="AB270011" s="5"/>
      <c r="AE270011" s="5"/>
      <c r="AH270011" s="5"/>
      <c r="AK270011" s="5"/>
    </row>
    <row r="270021" spans="25:37" x14ac:dyDescent="0.2">
      <c r="Y270021" s="251"/>
      <c r="AB270021" s="251"/>
      <c r="AE270021" s="251"/>
      <c r="AH270021" s="251"/>
      <c r="AK270021" s="251"/>
    </row>
    <row r="270136" spans="25:37" x14ac:dyDescent="0.2">
      <c r="Y270136" s="5"/>
      <c r="AB270136" s="5"/>
      <c r="AE270136" s="5"/>
      <c r="AH270136" s="5"/>
      <c r="AK270136" s="5"/>
    </row>
    <row r="270146" spans="25:37" x14ac:dyDescent="0.2">
      <c r="Y270146" s="251"/>
      <c r="AB270146" s="251"/>
      <c r="AE270146" s="251"/>
      <c r="AH270146" s="251"/>
      <c r="AK270146" s="251"/>
    </row>
    <row r="270261" spans="25:37" x14ac:dyDescent="0.2">
      <c r="Y270261" s="5"/>
      <c r="AB270261" s="5"/>
      <c r="AE270261" s="5"/>
      <c r="AH270261" s="5"/>
      <c r="AK270261" s="5"/>
    </row>
    <row r="270271" spans="25:37" x14ac:dyDescent="0.2">
      <c r="Y270271" s="251"/>
      <c r="AB270271" s="251"/>
      <c r="AE270271" s="251"/>
      <c r="AH270271" s="251"/>
      <c r="AK270271" s="251"/>
    </row>
    <row r="270386" spans="25:37" x14ac:dyDescent="0.2">
      <c r="Y270386" s="5"/>
      <c r="AB270386" s="5"/>
      <c r="AE270386" s="5"/>
      <c r="AH270386" s="5"/>
      <c r="AK270386" s="5"/>
    </row>
    <row r="270396" spans="25:37" x14ac:dyDescent="0.2">
      <c r="Y270396" s="251"/>
      <c r="AB270396" s="251"/>
      <c r="AE270396" s="251"/>
      <c r="AH270396" s="251"/>
      <c r="AK270396" s="251"/>
    </row>
    <row r="270511" spans="25:37" x14ac:dyDescent="0.2">
      <c r="Y270511" s="5"/>
      <c r="AB270511" s="5"/>
      <c r="AE270511" s="5"/>
      <c r="AH270511" s="5"/>
      <c r="AK270511" s="5"/>
    </row>
    <row r="270521" spans="25:37" x14ac:dyDescent="0.2">
      <c r="Y270521" s="251"/>
      <c r="AB270521" s="251"/>
      <c r="AE270521" s="251"/>
      <c r="AH270521" s="251"/>
      <c r="AK270521" s="251"/>
    </row>
    <row r="270636" spans="25:37" x14ac:dyDescent="0.2">
      <c r="Y270636" s="5"/>
      <c r="AB270636" s="5"/>
      <c r="AE270636" s="5"/>
      <c r="AH270636" s="5"/>
      <c r="AK270636" s="5"/>
    </row>
    <row r="270646" spans="25:37" x14ac:dyDescent="0.2">
      <c r="Y270646" s="251"/>
      <c r="AB270646" s="251"/>
      <c r="AE270646" s="251"/>
      <c r="AH270646" s="251"/>
      <c r="AK270646" s="251"/>
    </row>
    <row r="270761" spans="25:37" x14ac:dyDescent="0.2">
      <c r="Y270761" s="5"/>
      <c r="AB270761" s="5"/>
      <c r="AE270761" s="5"/>
      <c r="AH270761" s="5"/>
      <c r="AK270761" s="5"/>
    </row>
    <row r="270771" spans="25:37" x14ac:dyDescent="0.2">
      <c r="Y270771" s="251"/>
      <c r="AB270771" s="251"/>
      <c r="AE270771" s="251"/>
      <c r="AH270771" s="251"/>
      <c r="AK270771" s="251"/>
    </row>
    <row r="270886" spans="25:37" x14ac:dyDescent="0.2">
      <c r="Y270886" s="5"/>
      <c r="AB270886" s="5"/>
      <c r="AE270886" s="5"/>
      <c r="AH270886" s="5"/>
      <c r="AK270886" s="5"/>
    </row>
    <row r="270896" spans="25:37" x14ac:dyDescent="0.2">
      <c r="Y270896" s="251"/>
      <c r="AB270896" s="251"/>
      <c r="AE270896" s="251"/>
      <c r="AH270896" s="251"/>
      <c r="AK270896" s="251"/>
    </row>
    <row r="271011" spans="25:37" x14ac:dyDescent="0.2">
      <c r="Y271011" s="5"/>
      <c r="AB271011" s="5"/>
      <c r="AE271011" s="5"/>
      <c r="AH271011" s="5"/>
      <c r="AK271011" s="5"/>
    </row>
    <row r="271021" spans="25:37" x14ac:dyDescent="0.2">
      <c r="Y271021" s="251"/>
      <c r="AB271021" s="251"/>
      <c r="AE271021" s="251"/>
      <c r="AH271021" s="251"/>
      <c r="AK271021" s="251"/>
    </row>
    <row r="271136" spans="25:37" x14ac:dyDescent="0.2">
      <c r="Y271136" s="5"/>
      <c r="AB271136" s="5"/>
      <c r="AE271136" s="5"/>
      <c r="AH271136" s="5"/>
      <c r="AK271136" s="5"/>
    </row>
    <row r="271146" spans="25:37" x14ac:dyDescent="0.2">
      <c r="Y271146" s="251"/>
      <c r="AB271146" s="251"/>
      <c r="AE271146" s="251"/>
      <c r="AH271146" s="251"/>
      <c r="AK271146" s="251"/>
    </row>
    <row r="271261" spans="25:37" x14ac:dyDescent="0.2">
      <c r="Y271261" s="5"/>
      <c r="AB271261" s="5"/>
      <c r="AE271261" s="5"/>
      <c r="AH271261" s="5"/>
      <c r="AK271261" s="5"/>
    </row>
    <row r="271271" spans="25:37" x14ac:dyDescent="0.2">
      <c r="Y271271" s="251"/>
      <c r="AB271271" s="251"/>
      <c r="AE271271" s="251"/>
      <c r="AH271271" s="251"/>
      <c r="AK271271" s="251"/>
    </row>
    <row r="271386" spans="25:37" x14ac:dyDescent="0.2">
      <c r="Y271386" s="5"/>
      <c r="AB271386" s="5"/>
      <c r="AE271386" s="5"/>
      <c r="AH271386" s="5"/>
      <c r="AK271386" s="5"/>
    </row>
    <row r="271396" spans="25:37" x14ac:dyDescent="0.2">
      <c r="Y271396" s="251"/>
      <c r="AB271396" s="251"/>
      <c r="AE271396" s="251"/>
      <c r="AH271396" s="251"/>
      <c r="AK271396" s="251"/>
    </row>
    <row r="271511" spans="25:37" x14ac:dyDescent="0.2">
      <c r="Y271511" s="5"/>
      <c r="AB271511" s="5"/>
      <c r="AE271511" s="5"/>
      <c r="AH271511" s="5"/>
      <c r="AK271511" s="5"/>
    </row>
    <row r="271521" spans="25:37" x14ac:dyDescent="0.2">
      <c r="Y271521" s="251"/>
      <c r="AB271521" s="251"/>
      <c r="AE271521" s="251"/>
      <c r="AH271521" s="251"/>
      <c r="AK271521" s="251"/>
    </row>
    <row r="271636" spans="25:37" x14ac:dyDescent="0.2">
      <c r="Y271636" s="5"/>
      <c r="AB271636" s="5"/>
      <c r="AE271636" s="5"/>
      <c r="AH271636" s="5"/>
      <c r="AK271636" s="5"/>
    </row>
    <row r="271646" spans="25:37" x14ac:dyDescent="0.2">
      <c r="Y271646" s="251"/>
      <c r="AB271646" s="251"/>
      <c r="AE271646" s="251"/>
      <c r="AH271646" s="251"/>
      <c r="AK271646" s="251"/>
    </row>
    <row r="271761" spans="25:37" x14ac:dyDescent="0.2">
      <c r="Y271761" s="5"/>
      <c r="AB271761" s="5"/>
      <c r="AE271761" s="5"/>
      <c r="AH271761" s="5"/>
      <c r="AK271761" s="5"/>
    </row>
    <row r="271771" spans="25:37" x14ac:dyDescent="0.2">
      <c r="Y271771" s="251"/>
      <c r="AB271771" s="251"/>
      <c r="AE271771" s="251"/>
      <c r="AH271771" s="251"/>
      <c r="AK271771" s="251"/>
    </row>
    <row r="271886" spans="25:37" x14ac:dyDescent="0.2">
      <c r="Y271886" s="5"/>
      <c r="AB271886" s="5"/>
      <c r="AE271886" s="5"/>
      <c r="AH271886" s="5"/>
      <c r="AK271886" s="5"/>
    </row>
    <row r="271896" spans="25:37" x14ac:dyDescent="0.2">
      <c r="Y271896" s="251"/>
      <c r="AB271896" s="251"/>
      <c r="AE271896" s="251"/>
      <c r="AH271896" s="251"/>
      <c r="AK271896" s="251"/>
    </row>
    <row r="272011" spans="25:37" x14ac:dyDescent="0.2">
      <c r="Y272011" s="5"/>
      <c r="AB272011" s="5"/>
      <c r="AE272011" s="5"/>
      <c r="AH272011" s="5"/>
      <c r="AK272011" s="5"/>
    </row>
    <row r="272021" spans="25:37" x14ac:dyDescent="0.2">
      <c r="Y272021" s="251"/>
      <c r="AB272021" s="251"/>
      <c r="AE272021" s="251"/>
      <c r="AH272021" s="251"/>
      <c r="AK272021" s="251"/>
    </row>
    <row r="272136" spans="25:37" x14ac:dyDescent="0.2">
      <c r="Y272136" s="5"/>
      <c r="AB272136" s="5"/>
      <c r="AE272136" s="5"/>
      <c r="AH272136" s="5"/>
      <c r="AK272136" s="5"/>
    </row>
    <row r="272146" spans="25:37" x14ac:dyDescent="0.2">
      <c r="Y272146" s="251"/>
      <c r="AB272146" s="251"/>
      <c r="AE272146" s="251"/>
      <c r="AH272146" s="251"/>
      <c r="AK272146" s="251"/>
    </row>
    <row r="272261" spans="25:37" x14ac:dyDescent="0.2">
      <c r="Y272261" s="5"/>
      <c r="AB272261" s="5"/>
      <c r="AE272261" s="5"/>
      <c r="AH272261" s="5"/>
      <c r="AK272261" s="5"/>
    </row>
    <row r="272271" spans="25:37" x14ac:dyDescent="0.2">
      <c r="Y272271" s="251"/>
      <c r="AB272271" s="251"/>
      <c r="AE272271" s="251"/>
      <c r="AH272271" s="251"/>
      <c r="AK272271" s="251"/>
    </row>
    <row r="272386" spans="25:37" x14ac:dyDescent="0.2">
      <c r="Y272386" s="5"/>
      <c r="AB272386" s="5"/>
      <c r="AE272386" s="5"/>
      <c r="AH272386" s="5"/>
      <c r="AK272386" s="5"/>
    </row>
    <row r="272396" spans="25:37" x14ac:dyDescent="0.2">
      <c r="Y272396" s="251"/>
      <c r="AB272396" s="251"/>
      <c r="AE272396" s="251"/>
      <c r="AH272396" s="251"/>
      <c r="AK272396" s="251"/>
    </row>
    <row r="272511" spans="25:37" x14ac:dyDescent="0.2">
      <c r="Y272511" s="5"/>
      <c r="AB272511" s="5"/>
      <c r="AE272511" s="5"/>
      <c r="AH272511" s="5"/>
      <c r="AK272511" s="5"/>
    </row>
    <row r="272521" spans="25:37" x14ac:dyDescent="0.2">
      <c r="Y272521" s="251"/>
      <c r="AB272521" s="251"/>
      <c r="AE272521" s="251"/>
      <c r="AH272521" s="251"/>
      <c r="AK272521" s="251"/>
    </row>
    <row r="272636" spans="25:37" x14ac:dyDescent="0.2">
      <c r="Y272636" s="5"/>
      <c r="AB272636" s="5"/>
      <c r="AE272636" s="5"/>
      <c r="AH272636" s="5"/>
      <c r="AK272636" s="5"/>
    </row>
    <row r="272646" spans="25:37" x14ac:dyDescent="0.2">
      <c r="Y272646" s="251"/>
      <c r="AB272646" s="251"/>
      <c r="AE272646" s="251"/>
      <c r="AH272646" s="251"/>
      <c r="AK272646" s="251"/>
    </row>
    <row r="272761" spans="25:37" x14ac:dyDescent="0.2">
      <c r="Y272761" s="5"/>
      <c r="AB272761" s="5"/>
      <c r="AE272761" s="5"/>
      <c r="AH272761" s="5"/>
      <c r="AK272761" s="5"/>
    </row>
    <row r="272771" spans="25:37" x14ac:dyDescent="0.2">
      <c r="Y272771" s="251"/>
      <c r="AB272771" s="251"/>
      <c r="AE272771" s="251"/>
      <c r="AH272771" s="251"/>
      <c r="AK272771" s="251"/>
    </row>
    <row r="272886" spans="25:37" x14ac:dyDescent="0.2">
      <c r="Y272886" s="5"/>
      <c r="AB272886" s="5"/>
      <c r="AE272886" s="5"/>
      <c r="AH272886" s="5"/>
      <c r="AK272886" s="5"/>
    </row>
    <row r="272896" spans="25:37" x14ac:dyDescent="0.2">
      <c r="Y272896" s="251"/>
      <c r="AB272896" s="251"/>
      <c r="AE272896" s="251"/>
      <c r="AH272896" s="251"/>
      <c r="AK272896" s="251"/>
    </row>
    <row r="273011" spans="25:37" x14ac:dyDescent="0.2">
      <c r="Y273011" s="5"/>
      <c r="AB273011" s="5"/>
      <c r="AE273011" s="5"/>
      <c r="AH273011" s="5"/>
      <c r="AK273011" s="5"/>
    </row>
    <row r="273021" spans="25:37" x14ac:dyDescent="0.2">
      <c r="Y273021" s="251"/>
      <c r="AB273021" s="251"/>
      <c r="AE273021" s="251"/>
      <c r="AH273021" s="251"/>
      <c r="AK273021" s="251"/>
    </row>
    <row r="273136" spans="25:37" x14ac:dyDescent="0.2">
      <c r="Y273136" s="5"/>
      <c r="AB273136" s="5"/>
      <c r="AE273136" s="5"/>
      <c r="AH273136" s="5"/>
      <c r="AK273136" s="5"/>
    </row>
    <row r="273146" spans="25:37" x14ac:dyDescent="0.2">
      <c r="Y273146" s="251"/>
      <c r="AB273146" s="251"/>
      <c r="AE273146" s="251"/>
      <c r="AH273146" s="251"/>
      <c r="AK273146" s="251"/>
    </row>
    <row r="273261" spans="25:37" x14ac:dyDescent="0.2">
      <c r="Y273261" s="5"/>
      <c r="AB273261" s="5"/>
      <c r="AE273261" s="5"/>
      <c r="AH273261" s="5"/>
      <c r="AK273261" s="5"/>
    </row>
    <row r="273271" spans="25:37" x14ac:dyDescent="0.2">
      <c r="Y273271" s="251"/>
      <c r="AB273271" s="251"/>
      <c r="AE273271" s="251"/>
      <c r="AH273271" s="251"/>
      <c r="AK273271" s="251"/>
    </row>
    <row r="273386" spans="25:37" x14ac:dyDescent="0.2">
      <c r="Y273386" s="5"/>
      <c r="AB273386" s="5"/>
      <c r="AE273386" s="5"/>
      <c r="AH273386" s="5"/>
      <c r="AK273386" s="5"/>
    </row>
    <row r="273396" spans="25:37" x14ac:dyDescent="0.2">
      <c r="Y273396" s="251"/>
      <c r="AB273396" s="251"/>
      <c r="AE273396" s="251"/>
      <c r="AH273396" s="251"/>
      <c r="AK273396" s="251"/>
    </row>
    <row r="273511" spans="25:37" x14ac:dyDescent="0.2">
      <c r="Y273511" s="5"/>
      <c r="AB273511" s="5"/>
      <c r="AE273511" s="5"/>
      <c r="AH273511" s="5"/>
      <c r="AK273511" s="5"/>
    </row>
    <row r="273521" spans="25:37" x14ac:dyDescent="0.2">
      <c r="Y273521" s="251"/>
      <c r="AB273521" s="251"/>
      <c r="AE273521" s="251"/>
      <c r="AH273521" s="251"/>
      <c r="AK273521" s="251"/>
    </row>
    <row r="273636" spans="25:37" x14ac:dyDescent="0.2">
      <c r="Y273636" s="5"/>
      <c r="AB273636" s="5"/>
      <c r="AE273636" s="5"/>
      <c r="AH273636" s="5"/>
      <c r="AK273636" s="5"/>
    </row>
    <row r="273646" spans="25:37" x14ac:dyDescent="0.2">
      <c r="Y273646" s="251"/>
      <c r="AB273646" s="251"/>
      <c r="AE273646" s="251"/>
      <c r="AH273646" s="251"/>
      <c r="AK273646" s="251"/>
    </row>
    <row r="273761" spans="25:37" x14ac:dyDescent="0.2">
      <c r="Y273761" s="5"/>
      <c r="AB273761" s="5"/>
      <c r="AE273761" s="5"/>
      <c r="AH273761" s="5"/>
      <c r="AK273761" s="5"/>
    </row>
    <row r="273771" spans="25:37" x14ac:dyDescent="0.2">
      <c r="Y273771" s="251"/>
      <c r="AB273771" s="251"/>
      <c r="AE273771" s="251"/>
      <c r="AH273771" s="251"/>
      <c r="AK273771" s="251"/>
    </row>
    <row r="273886" spans="25:37" x14ac:dyDescent="0.2">
      <c r="Y273886" s="5"/>
      <c r="AB273886" s="5"/>
      <c r="AE273886" s="5"/>
      <c r="AH273886" s="5"/>
      <c r="AK273886" s="5"/>
    </row>
    <row r="273896" spans="25:37" x14ac:dyDescent="0.2">
      <c r="Y273896" s="251"/>
      <c r="AB273896" s="251"/>
      <c r="AE273896" s="251"/>
      <c r="AH273896" s="251"/>
      <c r="AK273896" s="251"/>
    </row>
    <row r="274011" spans="25:37" x14ac:dyDescent="0.2">
      <c r="Y274011" s="5"/>
      <c r="AB274011" s="5"/>
      <c r="AE274011" s="5"/>
      <c r="AH274011" s="5"/>
      <c r="AK274011" s="5"/>
    </row>
    <row r="274021" spans="25:37" x14ac:dyDescent="0.2">
      <c r="Y274021" s="251"/>
      <c r="AB274021" s="251"/>
      <c r="AE274021" s="251"/>
      <c r="AH274021" s="251"/>
      <c r="AK274021" s="251"/>
    </row>
    <row r="274136" spans="25:37" x14ac:dyDescent="0.2">
      <c r="Y274136" s="5"/>
      <c r="AB274136" s="5"/>
      <c r="AE274136" s="5"/>
      <c r="AH274136" s="5"/>
      <c r="AK274136" s="5"/>
    </row>
    <row r="274146" spans="25:37" x14ac:dyDescent="0.2">
      <c r="Y274146" s="251"/>
      <c r="AB274146" s="251"/>
      <c r="AE274146" s="251"/>
      <c r="AH274146" s="251"/>
      <c r="AK274146" s="251"/>
    </row>
    <row r="274261" spans="25:37" x14ac:dyDescent="0.2">
      <c r="Y274261" s="5"/>
      <c r="AB274261" s="5"/>
      <c r="AE274261" s="5"/>
      <c r="AH274261" s="5"/>
      <c r="AK274261" s="5"/>
    </row>
    <row r="274271" spans="25:37" x14ac:dyDescent="0.2">
      <c r="Y274271" s="251"/>
      <c r="AB274271" s="251"/>
      <c r="AE274271" s="251"/>
      <c r="AH274271" s="251"/>
      <c r="AK274271" s="251"/>
    </row>
    <row r="274386" spans="25:37" x14ac:dyDescent="0.2">
      <c r="Y274386" s="5"/>
      <c r="AB274386" s="5"/>
      <c r="AE274386" s="5"/>
      <c r="AH274386" s="5"/>
      <c r="AK274386" s="5"/>
    </row>
    <row r="274396" spans="25:37" x14ac:dyDescent="0.2">
      <c r="Y274396" s="251"/>
      <c r="AB274396" s="251"/>
      <c r="AE274396" s="251"/>
      <c r="AH274396" s="251"/>
      <c r="AK274396" s="251"/>
    </row>
    <row r="274511" spans="25:37" x14ac:dyDescent="0.2">
      <c r="Y274511" s="5"/>
      <c r="AB274511" s="5"/>
      <c r="AE274511" s="5"/>
      <c r="AH274511" s="5"/>
      <c r="AK274511" s="5"/>
    </row>
    <row r="274521" spans="25:37" x14ac:dyDescent="0.2">
      <c r="Y274521" s="251"/>
      <c r="AB274521" s="251"/>
      <c r="AE274521" s="251"/>
      <c r="AH274521" s="251"/>
      <c r="AK274521" s="251"/>
    </row>
    <row r="274636" spans="25:37" x14ac:dyDescent="0.2">
      <c r="Y274636" s="5"/>
      <c r="AB274636" s="5"/>
      <c r="AE274636" s="5"/>
      <c r="AH274636" s="5"/>
      <c r="AK274636" s="5"/>
    </row>
    <row r="274646" spans="25:37" x14ac:dyDescent="0.2">
      <c r="Y274646" s="251"/>
      <c r="AB274646" s="251"/>
      <c r="AE274646" s="251"/>
      <c r="AH274646" s="251"/>
      <c r="AK274646" s="251"/>
    </row>
    <row r="274761" spans="25:37" x14ac:dyDescent="0.2">
      <c r="Y274761" s="5"/>
      <c r="AB274761" s="5"/>
      <c r="AE274761" s="5"/>
      <c r="AH274761" s="5"/>
      <c r="AK274761" s="5"/>
    </row>
    <row r="274771" spans="25:37" x14ac:dyDescent="0.2">
      <c r="Y274771" s="251"/>
      <c r="AB274771" s="251"/>
      <c r="AE274771" s="251"/>
      <c r="AH274771" s="251"/>
      <c r="AK274771" s="251"/>
    </row>
    <row r="274886" spans="25:37" x14ac:dyDescent="0.2">
      <c r="Y274886" s="5"/>
      <c r="AB274886" s="5"/>
      <c r="AE274886" s="5"/>
      <c r="AH274886" s="5"/>
      <c r="AK274886" s="5"/>
    </row>
    <row r="274896" spans="25:37" x14ac:dyDescent="0.2">
      <c r="Y274896" s="251"/>
      <c r="AB274896" s="251"/>
      <c r="AE274896" s="251"/>
      <c r="AH274896" s="251"/>
      <c r="AK274896" s="251"/>
    </row>
    <row r="275011" spans="25:37" x14ac:dyDescent="0.2">
      <c r="Y275011" s="5"/>
      <c r="AB275011" s="5"/>
      <c r="AE275011" s="5"/>
      <c r="AH275011" s="5"/>
      <c r="AK275011" s="5"/>
    </row>
    <row r="275021" spans="25:37" x14ac:dyDescent="0.2">
      <c r="Y275021" s="251"/>
      <c r="AB275021" s="251"/>
      <c r="AE275021" s="251"/>
      <c r="AH275021" s="251"/>
      <c r="AK275021" s="251"/>
    </row>
    <row r="275136" spans="25:37" x14ac:dyDescent="0.2">
      <c r="Y275136" s="5"/>
      <c r="AB275136" s="5"/>
      <c r="AE275136" s="5"/>
      <c r="AH275136" s="5"/>
      <c r="AK275136" s="5"/>
    </row>
    <row r="275146" spans="25:37" x14ac:dyDescent="0.2">
      <c r="Y275146" s="251"/>
      <c r="AB275146" s="251"/>
      <c r="AE275146" s="251"/>
      <c r="AH275146" s="251"/>
      <c r="AK275146" s="251"/>
    </row>
    <row r="275261" spans="25:37" x14ac:dyDescent="0.2">
      <c r="Y275261" s="5"/>
      <c r="AB275261" s="5"/>
      <c r="AE275261" s="5"/>
      <c r="AH275261" s="5"/>
      <c r="AK275261" s="5"/>
    </row>
    <row r="275271" spans="25:37" x14ac:dyDescent="0.2">
      <c r="Y275271" s="251"/>
      <c r="AB275271" s="251"/>
      <c r="AE275271" s="251"/>
      <c r="AH275271" s="251"/>
      <c r="AK275271" s="251"/>
    </row>
    <row r="275386" spans="25:37" x14ac:dyDescent="0.2">
      <c r="Y275386" s="5"/>
      <c r="AB275386" s="5"/>
      <c r="AE275386" s="5"/>
      <c r="AH275386" s="5"/>
      <c r="AK275386" s="5"/>
    </row>
    <row r="275396" spans="25:37" x14ac:dyDescent="0.2">
      <c r="Y275396" s="251"/>
      <c r="AB275396" s="251"/>
      <c r="AE275396" s="251"/>
      <c r="AH275396" s="251"/>
      <c r="AK275396" s="251"/>
    </row>
    <row r="275511" spans="25:37" x14ac:dyDescent="0.2">
      <c r="Y275511" s="5"/>
      <c r="AB275511" s="5"/>
      <c r="AE275511" s="5"/>
      <c r="AH275511" s="5"/>
      <c r="AK275511" s="5"/>
    </row>
    <row r="275521" spans="25:37" x14ac:dyDescent="0.2">
      <c r="Y275521" s="251"/>
      <c r="AB275521" s="251"/>
      <c r="AE275521" s="251"/>
      <c r="AH275521" s="251"/>
      <c r="AK275521" s="251"/>
    </row>
    <row r="275636" spans="25:37" x14ac:dyDescent="0.2">
      <c r="Y275636" s="5"/>
      <c r="AB275636" s="5"/>
      <c r="AE275636" s="5"/>
      <c r="AH275636" s="5"/>
      <c r="AK275636" s="5"/>
    </row>
    <row r="275646" spans="25:37" x14ac:dyDescent="0.2">
      <c r="Y275646" s="251"/>
      <c r="AB275646" s="251"/>
      <c r="AE275646" s="251"/>
      <c r="AH275646" s="251"/>
      <c r="AK275646" s="251"/>
    </row>
    <row r="275761" spans="25:37" x14ac:dyDescent="0.2">
      <c r="Y275761" s="5"/>
      <c r="AB275761" s="5"/>
      <c r="AE275761" s="5"/>
      <c r="AH275761" s="5"/>
      <c r="AK275761" s="5"/>
    </row>
    <row r="275771" spans="25:37" x14ac:dyDescent="0.2">
      <c r="Y275771" s="251"/>
      <c r="AB275771" s="251"/>
      <c r="AE275771" s="251"/>
      <c r="AH275771" s="251"/>
      <c r="AK275771" s="251"/>
    </row>
    <row r="275886" spans="25:37" x14ac:dyDescent="0.2">
      <c r="Y275886" s="5"/>
      <c r="AB275886" s="5"/>
      <c r="AE275886" s="5"/>
      <c r="AH275886" s="5"/>
      <c r="AK275886" s="5"/>
    </row>
    <row r="275896" spans="25:37" x14ac:dyDescent="0.2">
      <c r="Y275896" s="251"/>
      <c r="AB275896" s="251"/>
      <c r="AE275896" s="251"/>
      <c r="AH275896" s="251"/>
      <c r="AK275896" s="251"/>
    </row>
    <row r="276011" spans="25:37" x14ac:dyDescent="0.2">
      <c r="Y276011" s="5"/>
      <c r="AB276011" s="5"/>
      <c r="AE276011" s="5"/>
      <c r="AH276011" s="5"/>
      <c r="AK276011" s="5"/>
    </row>
    <row r="276021" spans="25:37" x14ac:dyDescent="0.2">
      <c r="Y276021" s="251"/>
      <c r="AB276021" s="251"/>
      <c r="AE276021" s="251"/>
      <c r="AH276021" s="251"/>
      <c r="AK276021" s="251"/>
    </row>
    <row r="276136" spans="25:37" x14ac:dyDescent="0.2">
      <c r="Y276136" s="5"/>
      <c r="AB276136" s="5"/>
      <c r="AE276136" s="5"/>
      <c r="AH276136" s="5"/>
      <c r="AK276136" s="5"/>
    </row>
    <row r="276146" spans="25:37" x14ac:dyDescent="0.2">
      <c r="Y276146" s="251"/>
      <c r="AB276146" s="251"/>
      <c r="AE276146" s="251"/>
      <c r="AH276146" s="251"/>
      <c r="AK276146" s="251"/>
    </row>
    <row r="276261" spans="25:37" x14ac:dyDescent="0.2">
      <c r="Y276261" s="5"/>
      <c r="AB276261" s="5"/>
      <c r="AE276261" s="5"/>
      <c r="AH276261" s="5"/>
      <c r="AK276261" s="5"/>
    </row>
    <row r="276271" spans="25:37" x14ac:dyDescent="0.2">
      <c r="Y276271" s="251"/>
      <c r="AB276271" s="251"/>
      <c r="AE276271" s="251"/>
      <c r="AH276271" s="251"/>
      <c r="AK276271" s="251"/>
    </row>
    <row r="276386" spans="25:37" x14ac:dyDescent="0.2">
      <c r="Y276386" s="5"/>
      <c r="AB276386" s="5"/>
      <c r="AE276386" s="5"/>
      <c r="AH276386" s="5"/>
      <c r="AK276386" s="5"/>
    </row>
    <row r="276396" spans="25:37" x14ac:dyDescent="0.2">
      <c r="Y276396" s="251"/>
      <c r="AB276396" s="251"/>
      <c r="AE276396" s="251"/>
      <c r="AH276396" s="251"/>
      <c r="AK276396" s="251"/>
    </row>
    <row r="276511" spans="25:37" x14ac:dyDescent="0.2">
      <c r="Y276511" s="5"/>
      <c r="AB276511" s="5"/>
      <c r="AE276511" s="5"/>
      <c r="AH276511" s="5"/>
      <c r="AK276511" s="5"/>
    </row>
    <row r="276521" spans="25:37" x14ac:dyDescent="0.2">
      <c r="Y276521" s="251"/>
      <c r="AB276521" s="251"/>
      <c r="AE276521" s="251"/>
      <c r="AH276521" s="251"/>
      <c r="AK276521" s="251"/>
    </row>
    <row r="276636" spans="25:37" x14ac:dyDescent="0.2">
      <c r="Y276636" s="5"/>
      <c r="AB276636" s="5"/>
      <c r="AE276636" s="5"/>
      <c r="AH276636" s="5"/>
      <c r="AK276636" s="5"/>
    </row>
    <row r="276646" spans="25:37" x14ac:dyDescent="0.2">
      <c r="Y276646" s="251"/>
      <c r="AB276646" s="251"/>
      <c r="AE276646" s="251"/>
      <c r="AH276646" s="251"/>
      <c r="AK276646" s="251"/>
    </row>
    <row r="276761" spans="25:37" x14ac:dyDescent="0.2">
      <c r="Y276761" s="5"/>
      <c r="AB276761" s="5"/>
      <c r="AE276761" s="5"/>
      <c r="AH276761" s="5"/>
      <c r="AK276761" s="5"/>
    </row>
    <row r="276771" spans="25:37" x14ac:dyDescent="0.2">
      <c r="Y276771" s="251"/>
      <c r="AB276771" s="251"/>
      <c r="AE276771" s="251"/>
      <c r="AH276771" s="251"/>
      <c r="AK276771" s="251"/>
    </row>
    <row r="276886" spans="25:37" x14ac:dyDescent="0.2">
      <c r="Y276886" s="5"/>
      <c r="AB276886" s="5"/>
      <c r="AE276886" s="5"/>
      <c r="AH276886" s="5"/>
      <c r="AK276886" s="5"/>
    </row>
    <row r="276896" spans="25:37" x14ac:dyDescent="0.2">
      <c r="Y276896" s="251"/>
      <c r="AB276896" s="251"/>
      <c r="AE276896" s="251"/>
      <c r="AH276896" s="251"/>
      <c r="AK276896" s="251"/>
    </row>
    <row r="277011" spans="25:37" x14ac:dyDescent="0.2">
      <c r="Y277011" s="5"/>
      <c r="AB277011" s="5"/>
      <c r="AE277011" s="5"/>
      <c r="AH277011" s="5"/>
      <c r="AK277011" s="5"/>
    </row>
    <row r="277021" spans="25:37" x14ac:dyDescent="0.2">
      <c r="Y277021" s="251"/>
      <c r="AB277021" s="251"/>
      <c r="AE277021" s="251"/>
      <c r="AH277021" s="251"/>
      <c r="AK277021" s="251"/>
    </row>
    <row r="277136" spans="25:37" x14ac:dyDescent="0.2">
      <c r="Y277136" s="5"/>
      <c r="AB277136" s="5"/>
      <c r="AE277136" s="5"/>
      <c r="AH277136" s="5"/>
      <c r="AK277136" s="5"/>
    </row>
    <row r="277146" spans="25:37" x14ac:dyDescent="0.2">
      <c r="Y277146" s="251"/>
      <c r="AB277146" s="251"/>
      <c r="AE277146" s="251"/>
      <c r="AH277146" s="251"/>
      <c r="AK277146" s="251"/>
    </row>
    <row r="277261" spans="25:37" x14ac:dyDescent="0.2">
      <c r="Y277261" s="5"/>
      <c r="AB277261" s="5"/>
      <c r="AE277261" s="5"/>
      <c r="AH277261" s="5"/>
      <c r="AK277261" s="5"/>
    </row>
    <row r="277271" spans="25:37" x14ac:dyDescent="0.2">
      <c r="Y277271" s="251"/>
      <c r="AB277271" s="251"/>
      <c r="AE277271" s="251"/>
      <c r="AH277271" s="251"/>
      <c r="AK277271" s="251"/>
    </row>
    <row r="277386" spans="25:37" x14ac:dyDescent="0.2">
      <c r="Y277386" s="5"/>
      <c r="AB277386" s="5"/>
      <c r="AE277386" s="5"/>
      <c r="AH277386" s="5"/>
      <c r="AK277386" s="5"/>
    </row>
    <row r="277396" spans="25:37" x14ac:dyDescent="0.2">
      <c r="Y277396" s="251"/>
      <c r="AB277396" s="251"/>
      <c r="AE277396" s="251"/>
      <c r="AH277396" s="251"/>
      <c r="AK277396" s="251"/>
    </row>
    <row r="277511" spans="25:37" x14ac:dyDescent="0.2">
      <c r="Y277511" s="5"/>
      <c r="AB277511" s="5"/>
      <c r="AE277511" s="5"/>
      <c r="AH277511" s="5"/>
      <c r="AK277511" s="5"/>
    </row>
    <row r="277521" spans="25:37" x14ac:dyDescent="0.2">
      <c r="Y277521" s="251"/>
      <c r="AB277521" s="251"/>
      <c r="AE277521" s="251"/>
      <c r="AH277521" s="251"/>
      <c r="AK277521" s="251"/>
    </row>
    <row r="277636" spans="25:37" x14ac:dyDescent="0.2">
      <c r="Y277636" s="5"/>
      <c r="AB277636" s="5"/>
      <c r="AE277636" s="5"/>
      <c r="AH277636" s="5"/>
      <c r="AK277636" s="5"/>
    </row>
    <row r="277646" spans="25:37" x14ac:dyDescent="0.2">
      <c r="Y277646" s="251"/>
      <c r="AB277646" s="251"/>
      <c r="AE277646" s="251"/>
      <c r="AH277646" s="251"/>
      <c r="AK277646" s="251"/>
    </row>
    <row r="277761" spans="25:37" x14ac:dyDescent="0.2">
      <c r="Y277761" s="5"/>
      <c r="AB277761" s="5"/>
      <c r="AE277761" s="5"/>
      <c r="AH277761" s="5"/>
      <c r="AK277761" s="5"/>
    </row>
    <row r="277771" spans="25:37" x14ac:dyDescent="0.2">
      <c r="Y277771" s="251"/>
      <c r="AB277771" s="251"/>
      <c r="AE277771" s="251"/>
      <c r="AH277771" s="251"/>
      <c r="AK277771" s="251"/>
    </row>
    <row r="277886" spans="25:37" x14ac:dyDescent="0.2">
      <c r="Y277886" s="5"/>
      <c r="AB277886" s="5"/>
      <c r="AE277886" s="5"/>
      <c r="AH277886" s="5"/>
      <c r="AK277886" s="5"/>
    </row>
    <row r="277896" spans="25:37" x14ac:dyDescent="0.2">
      <c r="Y277896" s="251"/>
      <c r="AB277896" s="251"/>
      <c r="AE277896" s="251"/>
      <c r="AH277896" s="251"/>
      <c r="AK277896" s="251"/>
    </row>
    <row r="278011" spans="25:37" x14ac:dyDescent="0.2">
      <c r="Y278011" s="5"/>
      <c r="AB278011" s="5"/>
      <c r="AE278011" s="5"/>
      <c r="AH278011" s="5"/>
      <c r="AK278011" s="5"/>
    </row>
    <row r="278021" spans="25:37" x14ac:dyDescent="0.2">
      <c r="Y278021" s="251"/>
      <c r="AB278021" s="251"/>
      <c r="AE278021" s="251"/>
      <c r="AH278021" s="251"/>
      <c r="AK278021" s="251"/>
    </row>
    <row r="278136" spans="25:37" x14ac:dyDescent="0.2">
      <c r="Y278136" s="5"/>
      <c r="AB278136" s="5"/>
      <c r="AE278136" s="5"/>
      <c r="AH278136" s="5"/>
      <c r="AK278136" s="5"/>
    </row>
    <row r="278146" spans="25:37" x14ac:dyDescent="0.2">
      <c r="Y278146" s="251"/>
      <c r="AB278146" s="251"/>
      <c r="AE278146" s="251"/>
      <c r="AH278146" s="251"/>
      <c r="AK278146" s="251"/>
    </row>
    <row r="278261" spans="25:37" x14ac:dyDescent="0.2">
      <c r="Y278261" s="5"/>
      <c r="AB278261" s="5"/>
      <c r="AE278261" s="5"/>
      <c r="AH278261" s="5"/>
      <c r="AK278261" s="5"/>
    </row>
    <row r="278271" spans="25:37" x14ac:dyDescent="0.2">
      <c r="Y278271" s="251"/>
      <c r="AB278271" s="251"/>
      <c r="AE278271" s="251"/>
      <c r="AH278271" s="251"/>
      <c r="AK278271" s="251"/>
    </row>
    <row r="278386" spans="25:37" x14ac:dyDescent="0.2">
      <c r="Y278386" s="5"/>
      <c r="AB278386" s="5"/>
      <c r="AE278386" s="5"/>
      <c r="AH278386" s="5"/>
      <c r="AK278386" s="5"/>
    </row>
    <row r="278396" spans="25:37" x14ac:dyDescent="0.2">
      <c r="Y278396" s="251"/>
      <c r="AB278396" s="251"/>
      <c r="AE278396" s="251"/>
      <c r="AH278396" s="251"/>
      <c r="AK278396" s="251"/>
    </row>
    <row r="278511" spans="25:37" x14ac:dyDescent="0.2">
      <c r="Y278511" s="5"/>
      <c r="AB278511" s="5"/>
      <c r="AE278511" s="5"/>
      <c r="AH278511" s="5"/>
      <c r="AK278511" s="5"/>
    </row>
    <row r="278521" spans="25:37" x14ac:dyDescent="0.2">
      <c r="Y278521" s="251"/>
      <c r="AB278521" s="251"/>
      <c r="AE278521" s="251"/>
      <c r="AH278521" s="251"/>
      <c r="AK278521" s="251"/>
    </row>
    <row r="278636" spans="25:37" x14ac:dyDescent="0.2">
      <c r="Y278636" s="5"/>
      <c r="AB278636" s="5"/>
      <c r="AE278636" s="5"/>
      <c r="AH278636" s="5"/>
      <c r="AK278636" s="5"/>
    </row>
    <row r="278646" spans="25:37" x14ac:dyDescent="0.2">
      <c r="Y278646" s="251"/>
      <c r="AB278646" s="251"/>
      <c r="AE278646" s="251"/>
      <c r="AH278646" s="251"/>
      <c r="AK278646" s="251"/>
    </row>
    <row r="278761" spans="25:37" x14ac:dyDescent="0.2">
      <c r="Y278761" s="5"/>
      <c r="AB278761" s="5"/>
      <c r="AE278761" s="5"/>
      <c r="AH278761" s="5"/>
      <c r="AK278761" s="5"/>
    </row>
    <row r="278771" spans="25:37" x14ac:dyDescent="0.2">
      <c r="Y278771" s="251"/>
      <c r="AB278771" s="251"/>
      <c r="AE278771" s="251"/>
      <c r="AH278771" s="251"/>
      <c r="AK278771" s="251"/>
    </row>
    <row r="278886" spans="25:37" x14ac:dyDescent="0.2">
      <c r="Y278886" s="5"/>
      <c r="AB278886" s="5"/>
      <c r="AE278886" s="5"/>
      <c r="AH278886" s="5"/>
      <c r="AK278886" s="5"/>
    </row>
    <row r="278896" spans="25:37" x14ac:dyDescent="0.2">
      <c r="Y278896" s="251"/>
      <c r="AB278896" s="251"/>
      <c r="AE278896" s="251"/>
      <c r="AH278896" s="251"/>
      <c r="AK278896" s="251"/>
    </row>
    <row r="279011" spans="25:37" x14ac:dyDescent="0.2">
      <c r="Y279011" s="5"/>
      <c r="AB279011" s="5"/>
      <c r="AE279011" s="5"/>
      <c r="AH279011" s="5"/>
      <c r="AK279011" s="5"/>
    </row>
    <row r="279021" spans="25:37" x14ac:dyDescent="0.2">
      <c r="Y279021" s="251"/>
      <c r="AB279021" s="251"/>
      <c r="AE279021" s="251"/>
      <c r="AH279021" s="251"/>
      <c r="AK279021" s="251"/>
    </row>
    <row r="279136" spans="25:37" x14ac:dyDescent="0.2">
      <c r="Y279136" s="5"/>
      <c r="AB279136" s="5"/>
      <c r="AE279136" s="5"/>
      <c r="AH279136" s="5"/>
      <c r="AK279136" s="5"/>
    </row>
    <row r="279146" spans="25:37" x14ac:dyDescent="0.2">
      <c r="Y279146" s="251"/>
      <c r="AB279146" s="251"/>
      <c r="AE279146" s="251"/>
      <c r="AH279146" s="251"/>
      <c r="AK279146" s="251"/>
    </row>
    <row r="279261" spans="25:37" x14ac:dyDescent="0.2">
      <c r="Y279261" s="5"/>
      <c r="AB279261" s="5"/>
      <c r="AE279261" s="5"/>
      <c r="AH279261" s="5"/>
      <c r="AK279261" s="5"/>
    </row>
    <row r="279271" spans="25:37" x14ac:dyDescent="0.2">
      <c r="Y279271" s="251"/>
      <c r="AB279271" s="251"/>
      <c r="AE279271" s="251"/>
      <c r="AH279271" s="251"/>
      <c r="AK279271" s="251"/>
    </row>
    <row r="279386" spans="25:37" x14ac:dyDescent="0.2">
      <c r="Y279386" s="5"/>
      <c r="AB279386" s="5"/>
      <c r="AE279386" s="5"/>
      <c r="AH279386" s="5"/>
      <c r="AK279386" s="5"/>
    </row>
    <row r="279396" spans="25:37" x14ac:dyDescent="0.2">
      <c r="Y279396" s="251"/>
      <c r="AB279396" s="251"/>
      <c r="AE279396" s="251"/>
      <c r="AH279396" s="251"/>
      <c r="AK279396" s="251"/>
    </row>
    <row r="279511" spans="25:37" x14ac:dyDescent="0.2">
      <c r="Y279511" s="5"/>
      <c r="AB279511" s="5"/>
      <c r="AE279511" s="5"/>
      <c r="AH279511" s="5"/>
      <c r="AK279511" s="5"/>
    </row>
    <row r="279521" spans="25:37" x14ac:dyDescent="0.2">
      <c r="Y279521" s="251"/>
      <c r="AB279521" s="251"/>
      <c r="AE279521" s="251"/>
      <c r="AH279521" s="251"/>
      <c r="AK279521" s="251"/>
    </row>
    <row r="279636" spans="25:37" x14ac:dyDescent="0.2">
      <c r="Y279636" s="5"/>
      <c r="AB279636" s="5"/>
      <c r="AE279636" s="5"/>
      <c r="AH279636" s="5"/>
      <c r="AK279636" s="5"/>
    </row>
    <row r="279646" spans="25:37" x14ac:dyDescent="0.2">
      <c r="Y279646" s="251"/>
      <c r="AB279646" s="251"/>
      <c r="AE279646" s="251"/>
      <c r="AH279646" s="251"/>
      <c r="AK279646" s="251"/>
    </row>
    <row r="279761" spans="25:37" x14ac:dyDescent="0.2">
      <c r="Y279761" s="5"/>
      <c r="AB279761" s="5"/>
      <c r="AE279761" s="5"/>
      <c r="AH279761" s="5"/>
      <c r="AK279761" s="5"/>
    </row>
    <row r="279771" spans="25:37" x14ac:dyDescent="0.2">
      <c r="Y279771" s="251"/>
      <c r="AB279771" s="251"/>
      <c r="AE279771" s="251"/>
      <c r="AH279771" s="251"/>
      <c r="AK279771" s="251"/>
    </row>
    <row r="279886" spans="25:37" x14ac:dyDescent="0.2">
      <c r="Y279886" s="5"/>
      <c r="AB279886" s="5"/>
      <c r="AE279886" s="5"/>
      <c r="AH279886" s="5"/>
      <c r="AK279886" s="5"/>
    </row>
    <row r="279896" spans="25:37" x14ac:dyDescent="0.2">
      <c r="Y279896" s="251"/>
      <c r="AB279896" s="251"/>
      <c r="AE279896" s="251"/>
      <c r="AH279896" s="251"/>
      <c r="AK279896" s="251"/>
    </row>
    <row r="280011" spans="25:37" x14ac:dyDescent="0.2">
      <c r="Y280011" s="5"/>
      <c r="AB280011" s="5"/>
      <c r="AE280011" s="5"/>
      <c r="AH280011" s="5"/>
      <c r="AK280011" s="5"/>
    </row>
    <row r="280021" spans="25:37" x14ac:dyDescent="0.2">
      <c r="Y280021" s="251"/>
      <c r="AB280021" s="251"/>
      <c r="AE280021" s="251"/>
      <c r="AH280021" s="251"/>
      <c r="AK280021" s="251"/>
    </row>
    <row r="280136" spans="25:37" x14ac:dyDescent="0.2">
      <c r="Y280136" s="5"/>
      <c r="AB280136" s="5"/>
      <c r="AE280136" s="5"/>
      <c r="AH280136" s="5"/>
      <c r="AK280136" s="5"/>
    </row>
    <row r="280146" spans="25:37" x14ac:dyDescent="0.2">
      <c r="Y280146" s="251"/>
      <c r="AB280146" s="251"/>
      <c r="AE280146" s="251"/>
      <c r="AH280146" s="251"/>
      <c r="AK280146" s="251"/>
    </row>
    <row r="280261" spans="25:37" x14ac:dyDescent="0.2">
      <c r="Y280261" s="5"/>
      <c r="AB280261" s="5"/>
      <c r="AE280261" s="5"/>
      <c r="AH280261" s="5"/>
      <c r="AK280261" s="5"/>
    </row>
    <row r="280271" spans="25:37" x14ac:dyDescent="0.2">
      <c r="Y280271" s="251"/>
      <c r="AB280271" s="251"/>
      <c r="AE280271" s="251"/>
      <c r="AH280271" s="251"/>
      <c r="AK280271" s="251"/>
    </row>
    <row r="280386" spans="25:37" x14ac:dyDescent="0.2">
      <c r="Y280386" s="5"/>
      <c r="AB280386" s="5"/>
      <c r="AE280386" s="5"/>
      <c r="AH280386" s="5"/>
      <c r="AK280386" s="5"/>
    </row>
    <row r="280396" spans="25:37" x14ac:dyDescent="0.2">
      <c r="Y280396" s="251"/>
      <c r="AB280396" s="251"/>
      <c r="AE280396" s="251"/>
      <c r="AH280396" s="251"/>
      <c r="AK280396" s="251"/>
    </row>
    <row r="280511" spans="25:37" x14ac:dyDescent="0.2">
      <c r="Y280511" s="5"/>
      <c r="AB280511" s="5"/>
      <c r="AE280511" s="5"/>
      <c r="AH280511" s="5"/>
      <c r="AK280511" s="5"/>
    </row>
    <row r="280521" spans="25:37" x14ac:dyDescent="0.2">
      <c r="Y280521" s="251"/>
      <c r="AB280521" s="251"/>
      <c r="AE280521" s="251"/>
      <c r="AH280521" s="251"/>
      <c r="AK280521" s="251"/>
    </row>
    <row r="280636" spans="25:37" x14ac:dyDescent="0.2">
      <c r="Y280636" s="5"/>
      <c r="AB280636" s="5"/>
      <c r="AE280636" s="5"/>
      <c r="AH280636" s="5"/>
      <c r="AK280636" s="5"/>
    </row>
    <row r="280646" spans="25:37" x14ac:dyDescent="0.2">
      <c r="Y280646" s="251"/>
      <c r="AB280646" s="251"/>
      <c r="AE280646" s="251"/>
      <c r="AH280646" s="251"/>
      <c r="AK280646" s="251"/>
    </row>
    <row r="280761" spans="25:37" x14ac:dyDescent="0.2">
      <c r="Y280761" s="5"/>
      <c r="AB280761" s="5"/>
      <c r="AE280761" s="5"/>
      <c r="AH280761" s="5"/>
      <c r="AK280761" s="5"/>
    </row>
    <row r="280771" spans="25:37" x14ac:dyDescent="0.2">
      <c r="Y280771" s="251"/>
      <c r="AB280771" s="251"/>
      <c r="AE280771" s="251"/>
      <c r="AH280771" s="251"/>
      <c r="AK280771" s="251"/>
    </row>
    <row r="280886" spans="25:37" x14ac:dyDescent="0.2">
      <c r="Y280886" s="5"/>
      <c r="AB280886" s="5"/>
      <c r="AE280886" s="5"/>
      <c r="AH280886" s="5"/>
      <c r="AK280886" s="5"/>
    </row>
    <row r="280896" spans="25:37" x14ac:dyDescent="0.2">
      <c r="Y280896" s="251"/>
      <c r="AB280896" s="251"/>
      <c r="AE280896" s="251"/>
      <c r="AH280896" s="251"/>
      <c r="AK280896" s="251"/>
    </row>
    <row r="281011" spans="25:37" x14ac:dyDescent="0.2">
      <c r="Y281011" s="5"/>
      <c r="AB281011" s="5"/>
      <c r="AE281011" s="5"/>
      <c r="AH281011" s="5"/>
      <c r="AK281011" s="5"/>
    </row>
    <row r="281021" spans="25:37" x14ac:dyDescent="0.2">
      <c r="Y281021" s="251"/>
      <c r="AB281021" s="251"/>
      <c r="AE281021" s="251"/>
      <c r="AH281021" s="251"/>
      <c r="AK281021" s="251"/>
    </row>
    <row r="281136" spans="25:37" x14ac:dyDescent="0.2">
      <c r="Y281136" s="5"/>
      <c r="AB281136" s="5"/>
      <c r="AE281136" s="5"/>
      <c r="AH281136" s="5"/>
      <c r="AK281136" s="5"/>
    </row>
    <row r="281146" spans="25:37" x14ac:dyDescent="0.2">
      <c r="Y281146" s="251"/>
      <c r="AB281146" s="251"/>
      <c r="AE281146" s="251"/>
      <c r="AH281146" s="251"/>
      <c r="AK281146" s="251"/>
    </row>
    <row r="281261" spans="25:37" x14ac:dyDescent="0.2">
      <c r="Y281261" s="5"/>
      <c r="AB281261" s="5"/>
      <c r="AE281261" s="5"/>
      <c r="AH281261" s="5"/>
      <c r="AK281261" s="5"/>
    </row>
    <row r="281271" spans="25:37" x14ac:dyDescent="0.2">
      <c r="Y281271" s="251"/>
      <c r="AB281271" s="251"/>
      <c r="AE281271" s="251"/>
      <c r="AH281271" s="251"/>
      <c r="AK281271" s="251"/>
    </row>
    <row r="281386" spans="25:37" x14ac:dyDescent="0.2">
      <c r="Y281386" s="5"/>
      <c r="AB281386" s="5"/>
      <c r="AE281386" s="5"/>
      <c r="AH281386" s="5"/>
      <c r="AK281386" s="5"/>
    </row>
    <row r="281396" spans="25:37" x14ac:dyDescent="0.2">
      <c r="Y281396" s="251"/>
      <c r="AB281396" s="251"/>
      <c r="AE281396" s="251"/>
      <c r="AH281396" s="251"/>
      <c r="AK281396" s="251"/>
    </row>
    <row r="281511" spans="25:37" x14ac:dyDescent="0.2">
      <c r="Y281511" s="5"/>
      <c r="AB281511" s="5"/>
      <c r="AE281511" s="5"/>
      <c r="AH281511" s="5"/>
      <c r="AK281511" s="5"/>
    </row>
    <row r="281521" spans="25:37" x14ac:dyDescent="0.2">
      <c r="Y281521" s="251"/>
      <c r="AB281521" s="251"/>
      <c r="AE281521" s="251"/>
      <c r="AH281521" s="251"/>
      <c r="AK281521" s="251"/>
    </row>
    <row r="281636" spans="25:37" x14ac:dyDescent="0.2">
      <c r="Y281636" s="5"/>
      <c r="AB281636" s="5"/>
      <c r="AE281636" s="5"/>
      <c r="AH281636" s="5"/>
      <c r="AK281636" s="5"/>
    </row>
    <row r="281646" spans="25:37" x14ac:dyDescent="0.2">
      <c r="Y281646" s="251"/>
      <c r="AB281646" s="251"/>
      <c r="AE281646" s="251"/>
      <c r="AH281646" s="251"/>
      <c r="AK281646" s="251"/>
    </row>
    <row r="281761" spans="25:37" x14ac:dyDescent="0.2">
      <c r="Y281761" s="5"/>
      <c r="AB281761" s="5"/>
      <c r="AE281761" s="5"/>
      <c r="AH281761" s="5"/>
      <c r="AK281761" s="5"/>
    </row>
    <row r="281771" spans="25:37" x14ac:dyDescent="0.2">
      <c r="Y281771" s="251"/>
      <c r="AB281771" s="251"/>
      <c r="AE281771" s="251"/>
      <c r="AH281771" s="251"/>
      <c r="AK281771" s="251"/>
    </row>
    <row r="281886" spans="25:37" x14ac:dyDescent="0.2">
      <c r="Y281886" s="5"/>
      <c r="AB281886" s="5"/>
      <c r="AE281886" s="5"/>
      <c r="AH281886" s="5"/>
      <c r="AK281886" s="5"/>
    </row>
    <row r="281896" spans="25:37" x14ac:dyDescent="0.2">
      <c r="Y281896" s="251"/>
      <c r="AB281896" s="251"/>
      <c r="AE281896" s="251"/>
      <c r="AH281896" s="251"/>
      <c r="AK281896" s="251"/>
    </row>
    <row r="282011" spans="25:37" x14ac:dyDescent="0.2">
      <c r="Y282011" s="5"/>
      <c r="AB282011" s="5"/>
      <c r="AE282011" s="5"/>
      <c r="AH282011" s="5"/>
      <c r="AK282011" s="5"/>
    </row>
    <row r="282021" spans="25:37" x14ac:dyDescent="0.2">
      <c r="Y282021" s="251"/>
      <c r="AB282021" s="251"/>
      <c r="AE282021" s="251"/>
      <c r="AH282021" s="251"/>
      <c r="AK282021" s="251"/>
    </row>
    <row r="282136" spans="25:37" x14ac:dyDescent="0.2">
      <c r="Y282136" s="5"/>
      <c r="AB282136" s="5"/>
      <c r="AE282136" s="5"/>
      <c r="AH282136" s="5"/>
      <c r="AK282136" s="5"/>
    </row>
    <row r="282146" spans="25:37" x14ac:dyDescent="0.2">
      <c r="Y282146" s="251"/>
      <c r="AB282146" s="251"/>
      <c r="AE282146" s="251"/>
      <c r="AH282146" s="251"/>
      <c r="AK282146" s="251"/>
    </row>
    <row r="282261" spans="25:37" x14ac:dyDescent="0.2">
      <c r="Y282261" s="5"/>
      <c r="AB282261" s="5"/>
      <c r="AE282261" s="5"/>
      <c r="AH282261" s="5"/>
      <c r="AK282261" s="5"/>
    </row>
    <row r="282271" spans="25:37" x14ac:dyDescent="0.2">
      <c r="Y282271" s="251"/>
      <c r="AB282271" s="251"/>
      <c r="AE282271" s="251"/>
      <c r="AH282271" s="251"/>
      <c r="AK282271" s="251"/>
    </row>
    <row r="282386" spans="25:37" x14ac:dyDescent="0.2">
      <c r="Y282386" s="5"/>
      <c r="AB282386" s="5"/>
      <c r="AE282386" s="5"/>
      <c r="AH282386" s="5"/>
      <c r="AK282386" s="5"/>
    </row>
    <row r="282396" spans="25:37" x14ac:dyDescent="0.2">
      <c r="Y282396" s="251"/>
      <c r="AB282396" s="251"/>
      <c r="AE282396" s="251"/>
      <c r="AH282396" s="251"/>
      <c r="AK282396" s="251"/>
    </row>
    <row r="282511" spans="25:37" x14ac:dyDescent="0.2">
      <c r="Y282511" s="5"/>
      <c r="AB282511" s="5"/>
      <c r="AE282511" s="5"/>
      <c r="AH282511" s="5"/>
      <c r="AK282511" s="5"/>
    </row>
    <row r="282521" spans="25:37" x14ac:dyDescent="0.2">
      <c r="Y282521" s="251"/>
      <c r="AB282521" s="251"/>
      <c r="AE282521" s="251"/>
      <c r="AH282521" s="251"/>
      <c r="AK282521" s="251"/>
    </row>
    <row r="282636" spans="25:37" x14ac:dyDescent="0.2">
      <c r="Y282636" s="5"/>
      <c r="AB282636" s="5"/>
      <c r="AE282636" s="5"/>
      <c r="AH282636" s="5"/>
      <c r="AK282636" s="5"/>
    </row>
    <row r="282646" spans="25:37" x14ac:dyDescent="0.2">
      <c r="Y282646" s="251"/>
      <c r="AB282646" s="251"/>
      <c r="AE282646" s="251"/>
      <c r="AH282646" s="251"/>
      <c r="AK282646" s="251"/>
    </row>
    <row r="282761" spans="25:37" x14ac:dyDescent="0.2">
      <c r="Y282761" s="5"/>
      <c r="AB282761" s="5"/>
      <c r="AE282761" s="5"/>
      <c r="AH282761" s="5"/>
      <c r="AK282761" s="5"/>
    </row>
    <row r="282771" spans="25:37" x14ac:dyDescent="0.2">
      <c r="Y282771" s="251"/>
      <c r="AB282771" s="251"/>
      <c r="AE282771" s="251"/>
      <c r="AH282771" s="251"/>
      <c r="AK282771" s="251"/>
    </row>
    <row r="282886" spans="25:37" x14ac:dyDescent="0.2">
      <c r="Y282886" s="5"/>
      <c r="AB282886" s="5"/>
      <c r="AE282886" s="5"/>
      <c r="AH282886" s="5"/>
      <c r="AK282886" s="5"/>
    </row>
    <row r="282896" spans="25:37" x14ac:dyDescent="0.2">
      <c r="Y282896" s="251"/>
      <c r="AB282896" s="251"/>
      <c r="AE282896" s="251"/>
      <c r="AH282896" s="251"/>
      <c r="AK282896" s="251"/>
    </row>
    <row r="283011" spans="25:37" x14ac:dyDescent="0.2">
      <c r="Y283011" s="5"/>
      <c r="AB283011" s="5"/>
      <c r="AE283011" s="5"/>
      <c r="AH283011" s="5"/>
      <c r="AK283011" s="5"/>
    </row>
    <row r="283021" spans="25:37" x14ac:dyDescent="0.2">
      <c r="Y283021" s="251"/>
      <c r="AB283021" s="251"/>
      <c r="AE283021" s="251"/>
      <c r="AH283021" s="251"/>
      <c r="AK283021" s="251"/>
    </row>
    <row r="283136" spans="25:37" x14ac:dyDescent="0.2">
      <c r="Y283136" s="5"/>
      <c r="AB283136" s="5"/>
      <c r="AE283136" s="5"/>
      <c r="AH283136" s="5"/>
      <c r="AK283136" s="5"/>
    </row>
    <row r="283146" spans="25:37" x14ac:dyDescent="0.2">
      <c r="Y283146" s="251"/>
      <c r="AB283146" s="251"/>
      <c r="AE283146" s="251"/>
      <c r="AH283146" s="251"/>
      <c r="AK283146" s="251"/>
    </row>
    <row r="283261" spans="25:37" x14ac:dyDescent="0.2">
      <c r="Y283261" s="5"/>
      <c r="AB283261" s="5"/>
      <c r="AE283261" s="5"/>
      <c r="AH283261" s="5"/>
      <c r="AK283261" s="5"/>
    </row>
    <row r="283271" spans="25:37" x14ac:dyDescent="0.2">
      <c r="Y283271" s="251"/>
      <c r="AB283271" s="251"/>
      <c r="AE283271" s="251"/>
      <c r="AH283271" s="251"/>
      <c r="AK283271" s="251"/>
    </row>
    <row r="283386" spans="25:37" x14ac:dyDescent="0.2">
      <c r="Y283386" s="5"/>
      <c r="AB283386" s="5"/>
      <c r="AE283386" s="5"/>
      <c r="AH283386" s="5"/>
      <c r="AK283386" s="5"/>
    </row>
    <row r="283396" spans="25:37" x14ac:dyDescent="0.2">
      <c r="Y283396" s="251"/>
      <c r="AB283396" s="251"/>
      <c r="AE283396" s="251"/>
      <c r="AH283396" s="251"/>
      <c r="AK283396" s="251"/>
    </row>
    <row r="283511" spans="25:37" x14ac:dyDescent="0.2">
      <c r="Y283511" s="5"/>
      <c r="AB283511" s="5"/>
      <c r="AE283511" s="5"/>
      <c r="AH283511" s="5"/>
      <c r="AK283511" s="5"/>
    </row>
    <row r="283521" spans="25:37" x14ac:dyDescent="0.2">
      <c r="Y283521" s="251"/>
      <c r="AB283521" s="251"/>
      <c r="AE283521" s="251"/>
      <c r="AH283521" s="251"/>
      <c r="AK283521" s="251"/>
    </row>
    <row r="283636" spans="25:37" x14ac:dyDescent="0.2">
      <c r="Y283636" s="5"/>
      <c r="AB283636" s="5"/>
      <c r="AE283636" s="5"/>
      <c r="AH283636" s="5"/>
      <c r="AK283636" s="5"/>
    </row>
    <row r="283646" spans="25:37" x14ac:dyDescent="0.2">
      <c r="Y283646" s="251"/>
      <c r="AB283646" s="251"/>
      <c r="AE283646" s="251"/>
      <c r="AH283646" s="251"/>
      <c r="AK283646" s="251"/>
    </row>
    <row r="283761" spans="25:37" x14ac:dyDescent="0.2">
      <c r="Y283761" s="5"/>
      <c r="AB283761" s="5"/>
      <c r="AE283761" s="5"/>
      <c r="AH283761" s="5"/>
      <c r="AK283761" s="5"/>
    </row>
    <row r="283771" spans="25:37" x14ac:dyDescent="0.2">
      <c r="Y283771" s="251"/>
      <c r="AB283771" s="251"/>
      <c r="AE283771" s="251"/>
      <c r="AH283771" s="251"/>
      <c r="AK283771" s="251"/>
    </row>
    <row r="283886" spans="25:37" x14ac:dyDescent="0.2">
      <c r="Y283886" s="5"/>
      <c r="AB283886" s="5"/>
      <c r="AE283886" s="5"/>
      <c r="AH283886" s="5"/>
      <c r="AK283886" s="5"/>
    </row>
    <row r="283896" spans="25:37" x14ac:dyDescent="0.2">
      <c r="Y283896" s="251"/>
      <c r="AB283896" s="251"/>
      <c r="AE283896" s="251"/>
      <c r="AH283896" s="251"/>
      <c r="AK283896" s="251"/>
    </row>
    <row r="284011" spans="25:37" x14ac:dyDescent="0.2">
      <c r="Y284011" s="5"/>
      <c r="AB284011" s="5"/>
      <c r="AE284011" s="5"/>
      <c r="AH284011" s="5"/>
      <c r="AK284011" s="5"/>
    </row>
    <row r="284021" spans="25:37" x14ac:dyDescent="0.2">
      <c r="Y284021" s="251"/>
      <c r="AB284021" s="251"/>
      <c r="AE284021" s="251"/>
      <c r="AH284021" s="251"/>
      <c r="AK284021" s="251"/>
    </row>
    <row r="284136" spans="25:37" x14ac:dyDescent="0.2">
      <c r="Y284136" s="5"/>
      <c r="AB284136" s="5"/>
      <c r="AE284136" s="5"/>
      <c r="AH284136" s="5"/>
      <c r="AK284136" s="5"/>
    </row>
    <row r="284146" spans="25:37" x14ac:dyDescent="0.2">
      <c r="Y284146" s="251"/>
      <c r="AB284146" s="251"/>
      <c r="AE284146" s="251"/>
      <c r="AH284146" s="251"/>
      <c r="AK284146" s="251"/>
    </row>
    <row r="284261" spans="25:37" x14ac:dyDescent="0.2">
      <c r="Y284261" s="5"/>
      <c r="AB284261" s="5"/>
      <c r="AE284261" s="5"/>
      <c r="AH284261" s="5"/>
      <c r="AK284261" s="5"/>
    </row>
    <row r="284271" spans="25:37" x14ac:dyDescent="0.2">
      <c r="Y284271" s="251"/>
      <c r="AB284271" s="251"/>
      <c r="AE284271" s="251"/>
      <c r="AH284271" s="251"/>
      <c r="AK284271" s="251"/>
    </row>
    <row r="284386" spans="25:37" x14ac:dyDescent="0.2">
      <c r="Y284386" s="5"/>
      <c r="AB284386" s="5"/>
      <c r="AE284386" s="5"/>
      <c r="AH284386" s="5"/>
      <c r="AK284386" s="5"/>
    </row>
    <row r="284396" spans="25:37" x14ac:dyDescent="0.2">
      <c r="Y284396" s="251"/>
      <c r="AB284396" s="251"/>
      <c r="AE284396" s="251"/>
      <c r="AH284396" s="251"/>
      <c r="AK284396" s="251"/>
    </row>
    <row r="284511" spans="25:37" x14ac:dyDescent="0.2">
      <c r="Y284511" s="5"/>
      <c r="AB284511" s="5"/>
      <c r="AE284511" s="5"/>
      <c r="AH284511" s="5"/>
      <c r="AK284511" s="5"/>
    </row>
    <row r="284521" spans="25:37" x14ac:dyDescent="0.2">
      <c r="Y284521" s="251"/>
      <c r="AB284521" s="251"/>
      <c r="AE284521" s="251"/>
      <c r="AH284521" s="251"/>
      <c r="AK284521" s="251"/>
    </row>
    <row r="284636" spans="25:37" x14ac:dyDescent="0.2">
      <c r="Y284636" s="5"/>
      <c r="AB284636" s="5"/>
      <c r="AE284636" s="5"/>
      <c r="AH284636" s="5"/>
      <c r="AK284636" s="5"/>
    </row>
    <row r="284646" spans="25:37" x14ac:dyDescent="0.2">
      <c r="Y284646" s="251"/>
      <c r="AB284646" s="251"/>
      <c r="AE284646" s="251"/>
      <c r="AH284646" s="251"/>
      <c r="AK284646" s="251"/>
    </row>
    <row r="284761" spans="25:37" x14ac:dyDescent="0.2">
      <c r="Y284761" s="5"/>
      <c r="AB284761" s="5"/>
      <c r="AE284761" s="5"/>
      <c r="AH284761" s="5"/>
      <c r="AK284761" s="5"/>
    </row>
    <row r="284771" spans="25:37" x14ac:dyDescent="0.2">
      <c r="Y284771" s="251"/>
      <c r="AB284771" s="251"/>
      <c r="AE284771" s="251"/>
      <c r="AH284771" s="251"/>
      <c r="AK284771" s="251"/>
    </row>
    <row r="284886" spans="25:37" x14ac:dyDescent="0.2">
      <c r="Y284886" s="5"/>
      <c r="AB284886" s="5"/>
      <c r="AE284886" s="5"/>
      <c r="AH284886" s="5"/>
      <c r="AK284886" s="5"/>
    </row>
    <row r="284896" spans="25:37" x14ac:dyDescent="0.2">
      <c r="Y284896" s="251"/>
      <c r="AB284896" s="251"/>
      <c r="AE284896" s="251"/>
      <c r="AH284896" s="251"/>
      <c r="AK284896" s="251"/>
    </row>
    <row r="285011" spans="25:37" x14ac:dyDescent="0.2">
      <c r="Y285011" s="5"/>
      <c r="AB285011" s="5"/>
      <c r="AE285011" s="5"/>
      <c r="AH285011" s="5"/>
      <c r="AK285011" s="5"/>
    </row>
    <row r="285021" spans="25:37" x14ac:dyDescent="0.2">
      <c r="Y285021" s="251"/>
      <c r="AB285021" s="251"/>
      <c r="AE285021" s="251"/>
      <c r="AH285021" s="251"/>
      <c r="AK285021" s="251"/>
    </row>
    <row r="285136" spans="25:37" x14ac:dyDescent="0.2">
      <c r="Y285136" s="5"/>
      <c r="AB285136" s="5"/>
      <c r="AE285136" s="5"/>
      <c r="AH285136" s="5"/>
      <c r="AK285136" s="5"/>
    </row>
    <row r="285146" spans="25:37" x14ac:dyDescent="0.2">
      <c r="Y285146" s="251"/>
      <c r="AB285146" s="251"/>
      <c r="AE285146" s="251"/>
      <c r="AH285146" s="251"/>
      <c r="AK285146" s="251"/>
    </row>
    <row r="285261" spans="25:37" x14ac:dyDescent="0.2">
      <c r="Y285261" s="5"/>
      <c r="AB285261" s="5"/>
      <c r="AE285261" s="5"/>
      <c r="AH285261" s="5"/>
      <c r="AK285261" s="5"/>
    </row>
    <row r="285271" spans="25:37" x14ac:dyDescent="0.2">
      <c r="Y285271" s="251"/>
      <c r="AB285271" s="251"/>
      <c r="AE285271" s="251"/>
      <c r="AH285271" s="251"/>
      <c r="AK285271" s="251"/>
    </row>
    <row r="285386" spans="25:37" x14ac:dyDescent="0.2">
      <c r="Y285386" s="5"/>
      <c r="AB285386" s="5"/>
      <c r="AE285386" s="5"/>
      <c r="AH285386" s="5"/>
      <c r="AK285386" s="5"/>
    </row>
    <row r="285396" spans="25:37" x14ac:dyDescent="0.2">
      <c r="Y285396" s="251"/>
      <c r="AB285396" s="251"/>
      <c r="AE285396" s="251"/>
      <c r="AH285396" s="251"/>
      <c r="AK285396" s="251"/>
    </row>
    <row r="285511" spans="25:37" x14ac:dyDescent="0.2">
      <c r="Y285511" s="5"/>
      <c r="AB285511" s="5"/>
      <c r="AE285511" s="5"/>
      <c r="AH285511" s="5"/>
      <c r="AK285511" s="5"/>
    </row>
    <row r="285521" spans="25:37" x14ac:dyDescent="0.2">
      <c r="Y285521" s="251"/>
      <c r="AB285521" s="251"/>
      <c r="AE285521" s="251"/>
      <c r="AH285521" s="251"/>
      <c r="AK285521" s="251"/>
    </row>
    <row r="285636" spans="25:37" x14ac:dyDescent="0.2">
      <c r="Y285636" s="5"/>
      <c r="AB285636" s="5"/>
      <c r="AE285636" s="5"/>
      <c r="AH285636" s="5"/>
      <c r="AK285636" s="5"/>
    </row>
    <row r="285646" spans="25:37" x14ac:dyDescent="0.2">
      <c r="Y285646" s="251"/>
      <c r="AB285646" s="251"/>
      <c r="AE285646" s="251"/>
      <c r="AH285646" s="251"/>
      <c r="AK285646" s="251"/>
    </row>
    <row r="285761" spans="25:37" x14ac:dyDescent="0.2">
      <c r="Y285761" s="5"/>
      <c r="AB285761" s="5"/>
      <c r="AE285761" s="5"/>
      <c r="AH285761" s="5"/>
      <c r="AK285761" s="5"/>
    </row>
    <row r="285771" spans="25:37" x14ac:dyDescent="0.2">
      <c r="Y285771" s="251"/>
      <c r="AB285771" s="251"/>
      <c r="AE285771" s="251"/>
      <c r="AH285771" s="251"/>
      <c r="AK285771" s="251"/>
    </row>
    <row r="285886" spans="25:37" x14ac:dyDescent="0.2">
      <c r="Y285886" s="5"/>
      <c r="AB285886" s="5"/>
      <c r="AE285886" s="5"/>
      <c r="AH285886" s="5"/>
      <c r="AK285886" s="5"/>
    </row>
    <row r="285896" spans="25:37" x14ac:dyDescent="0.2">
      <c r="Y285896" s="251"/>
      <c r="AB285896" s="251"/>
      <c r="AE285896" s="251"/>
      <c r="AH285896" s="251"/>
      <c r="AK285896" s="251"/>
    </row>
    <row r="286011" spans="25:37" x14ac:dyDescent="0.2">
      <c r="Y286011" s="5"/>
      <c r="AB286011" s="5"/>
      <c r="AE286011" s="5"/>
      <c r="AH286011" s="5"/>
      <c r="AK286011" s="5"/>
    </row>
    <row r="286021" spans="25:37" x14ac:dyDescent="0.2">
      <c r="Y286021" s="251"/>
      <c r="AB286021" s="251"/>
      <c r="AE286021" s="251"/>
      <c r="AH286021" s="251"/>
      <c r="AK286021" s="251"/>
    </row>
    <row r="286136" spans="25:37" x14ac:dyDescent="0.2">
      <c r="Y286136" s="5"/>
      <c r="AB286136" s="5"/>
      <c r="AE286136" s="5"/>
      <c r="AH286136" s="5"/>
      <c r="AK286136" s="5"/>
    </row>
    <row r="286146" spans="25:37" x14ac:dyDescent="0.2">
      <c r="Y286146" s="251"/>
      <c r="AB286146" s="251"/>
      <c r="AE286146" s="251"/>
      <c r="AH286146" s="251"/>
      <c r="AK286146" s="251"/>
    </row>
    <row r="286261" spans="25:37" x14ac:dyDescent="0.2">
      <c r="Y286261" s="5"/>
      <c r="AB286261" s="5"/>
      <c r="AE286261" s="5"/>
      <c r="AH286261" s="5"/>
      <c r="AK286261" s="5"/>
    </row>
    <row r="286271" spans="25:37" x14ac:dyDescent="0.2">
      <c r="Y286271" s="251"/>
      <c r="AB286271" s="251"/>
      <c r="AE286271" s="251"/>
      <c r="AH286271" s="251"/>
      <c r="AK286271" s="251"/>
    </row>
    <row r="286386" spans="25:37" x14ac:dyDescent="0.2">
      <c r="Y286386" s="5"/>
      <c r="AB286386" s="5"/>
      <c r="AE286386" s="5"/>
      <c r="AH286386" s="5"/>
      <c r="AK286386" s="5"/>
    </row>
    <row r="286396" spans="25:37" x14ac:dyDescent="0.2">
      <c r="Y286396" s="251"/>
      <c r="AB286396" s="251"/>
      <c r="AE286396" s="251"/>
      <c r="AH286396" s="251"/>
      <c r="AK286396" s="251"/>
    </row>
    <row r="286511" spans="25:37" x14ac:dyDescent="0.2">
      <c r="Y286511" s="5"/>
      <c r="AB286511" s="5"/>
      <c r="AE286511" s="5"/>
      <c r="AH286511" s="5"/>
      <c r="AK286511" s="5"/>
    </row>
    <row r="286521" spans="25:37" x14ac:dyDescent="0.2">
      <c r="Y286521" s="251"/>
      <c r="AB286521" s="251"/>
      <c r="AE286521" s="251"/>
      <c r="AH286521" s="251"/>
      <c r="AK286521" s="251"/>
    </row>
    <row r="286636" spans="25:37" x14ac:dyDescent="0.2">
      <c r="Y286636" s="5"/>
      <c r="AB286636" s="5"/>
      <c r="AE286636" s="5"/>
      <c r="AH286636" s="5"/>
      <c r="AK286636" s="5"/>
    </row>
    <row r="286646" spans="25:37" x14ac:dyDescent="0.2">
      <c r="Y286646" s="251"/>
      <c r="AB286646" s="251"/>
      <c r="AE286646" s="251"/>
      <c r="AH286646" s="251"/>
      <c r="AK286646" s="251"/>
    </row>
    <row r="286761" spans="25:37" x14ac:dyDescent="0.2">
      <c r="Y286761" s="5"/>
      <c r="AB286761" s="5"/>
      <c r="AE286761" s="5"/>
      <c r="AH286761" s="5"/>
      <c r="AK286761" s="5"/>
    </row>
    <row r="286771" spans="25:37" x14ac:dyDescent="0.2">
      <c r="Y286771" s="251"/>
      <c r="AB286771" s="251"/>
      <c r="AE286771" s="251"/>
      <c r="AH286771" s="251"/>
      <c r="AK286771" s="251"/>
    </row>
    <row r="286886" spans="25:37" x14ac:dyDescent="0.2">
      <c r="Y286886" s="5"/>
      <c r="AB286886" s="5"/>
      <c r="AE286886" s="5"/>
      <c r="AH286886" s="5"/>
      <c r="AK286886" s="5"/>
    </row>
    <row r="286896" spans="25:37" x14ac:dyDescent="0.2">
      <c r="Y286896" s="251"/>
      <c r="AB286896" s="251"/>
      <c r="AE286896" s="251"/>
      <c r="AH286896" s="251"/>
      <c r="AK286896" s="251"/>
    </row>
    <row r="287011" spans="25:37" x14ac:dyDescent="0.2">
      <c r="Y287011" s="5"/>
      <c r="AB287011" s="5"/>
      <c r="AE287011" s="5"/>
      <c r="AH287011" s="5"/>
      <c r="AK287011" s="5"/>
    </row>
    <row r="287021" spans="25:37" x14ac:dyDescent="0.2">
      <c r="Y287021" s="251"/>
      <c r="AB287021" s="251"/>
      <c r="AE287021" s="251"/>
      <c r="AH287021" s="251"/>
      <c r="AK287021" s="251"/>
    </row>
    <row r="287136" spans="25:37" x14ac:dyDescent="0.2">
      <c r="Y287136" s="5"/>
      <c r="AB287136" s="5"/>
      <c r="AE287136" s="5"/>
      <c r="AH287136" s="5"/>
      <c r="AK287136" s="5"/>
    </row>
    <row r="287146" spans="25:37" x14ac:dyDescent="0.2">
      <c r="Y287146" s="251"/>
      <c r="AB287146" s="251"/>
      <c r="AE287146" s="251"/>
      <c r="AH287146" s="251"/>
      <c r="AK287146" s="251"/>
    </row>
    <row r="287261" spans="25:37" x14ac:dyDescent="0.2">
      <c r="Y287261" s="5"/>
      <c r="AB287261" s="5"/>
      <c r="AE287261" s="5"/>
      <c r="AH287261" s="5"/>
      <c r="AK287261" s="5"/>
    </row>
    <row r="287271" spans="25:37" x14ac:dyDescent="0.2">
      <c r="Y287271" s="251"/>
      <c r="AB287271" s="251"/>
      <c r="AE287271" s="251"/>
      <c r="AH287271" s="251"/>
      <c r="AK287271" s="251"/>
    </row>
    <row r="287386" spans="25:37" x14ac:dyDescent="0.2">
      <c r="Y287386" s="5"/>
      <c r="AB287386" s="5"/>
      <c r="AE287386" s="5"/>
      <c r="AH287386" s="5"/>
      <c r="AK287386" s="5"/>
    </row>
    <row r="287396" spans="25:37" x14ac:dyDescent="0.2">
      <c r="Y287396" s="251"/>
      <c r="AB287396" s="251"/>
      <c r="AE287396" s="251"/>
      <c r="AH287396" s="251"/>
      <c r="AK287396" s="251"/>
    </row>
    <row r="287511" spans="25:37" x14ac:dyDescent="0.2">
      <c r="Y287511" s="5"/>
      <c r="AB287511" s="5"/>
      <c r="AE287511" s="5"/>
      <c r="AH287511" s="5"/>
      <c r="AK287511" s="5"/>
    </row>
    <row r="287521" spans="25:37" x14ac:dyDescent="0.2">
      <c r="Y287521" s="251"/>
      <c r="AB287521" s="251"/>
      <c r="AE287521" s="251"/>
      <c r="AH287521" s="251"/>
      <c r="AK287521" s="251"/>
    </row>
    <row r="287636" spans="25:37" x14ac:dyDescent="0.2">
      <c r="Y287636" s="5"/>
      <c r="AB287636" s="5"/>
      <c r="AE287636" s="5"/>
      <c r="AH287636" s="5"/>
      <c r="AK287636" s="5"/>
    </row>
    <row r="287646" spans="25:37" x14ac:dyDescent="0.2">
      <c r="Y287646" s="251"/>
      <c r="AB287646" s="251"/>
      <c r="AE287646" s="251"/>
      <c r="AH287646" s="251"/>
      <c r="AK287646" s="251"/>
    </row>
    <row r="287761" spans="25:37" x14ac:dyDescent="0.2">
      <c r="Y287761" s="5"/>
      <c r="AB287761" s="5"/>
      <c r="AE287761" s="5"/>
      <c r="AH287761" s="5"/>
      <c r="AK287761" s="5"/>
    </row>
    <row r="287771" spans="25:37" x14ac:dyDescent="0.2">
      <c r="Y287771" s="251"/>
      <c r="AB287771" s="251"/>
      <c r="AE287771" s="251"/>
      <c r="AH287771" s="251"/>
      <c r="AK287771" s="251"/>
    </row>
    <row r="287886" spans="25:37" x14ac:dyDescent="0.2">
      <c r="Y287886" s="5"/>
      <c r="AB287886" s="5"/>
      <c r="AE287886" s="5"/>
      <c r="AH287886" s="5"/>
      <c r="AK287886" s="5"/>
    </row>
    <row r="287896" spans="25:37" x14ac:dyDescent="0.2">
      <c r="Y287896" s="251"/>
      <c r="AB287896" s="251"/>
      <c r="AE287896" s="251"/>
      <c r="AH287896" s="251"/>
      <c r="AK287896" s="251"/>
    </row>
    <row r="288011" spans="25:37" x14ac:dyDescent="0.2">
      <c r="Y288011" s="5"/>
      <c r="AB288011" s="5"/>
      <c r="AE288011" s="5"/>
      <c r="AH288011" s="5"/>
      <c r="AK288011" s="5"/>
    </row>
    <row r="288021" spans="25:37" x14ac:dyDescent="0.2">
      <c r="Y288021" s="251"/>
      <c r="AB288021" s="251"/>
      <c r="AE288021" s="251"/>
      <c r="AH288021" s="251"/>
      <c r="AK288021" s="251"/>
    </row>
    <row r="288136" spans="25:37" x14ac:dyDescent="0.2">
      <c r="Y288136" s="5"/>
      <c r="AB288136" s="5"/>
      <c r="AE288136" s="5"/>
      <c r="AH288136" s="5"/>
      <c r="AK288136" s="5"/>
    </row>
    <row r="288146" spans="25:37" x14ac:dyDescent="0.2">
      <c r="Y288146" s="251"/>
      <c r="AB288146" s="251"/>
      <c r="AE288146" s="251"/>
      <c r="AH288146" s="251"/>
      <c r="AK288146" s="251"/>
    </row>
    <row r="288261" spans="25:37" x14ac:dyDescent="0.2">
      <c r="Y288261" s="5"/>
      <c r="AB288261" s="5"/>
      <c r="AE288261" s="5"/>
      <c r="AH288261" s="5"/>
      <c r="AK288261" s="5"/>
    </row>
    <row r="288271" spans="25:37" x14ac:dyDescent="0.2">
      <c r="Y288271" s="251"/>
      <c r="AB288271" s="251"/>
      <c r="AE288271" s="251"/>
      <c r="AH288271" s="251"/>
      <c r="AK288271" s="251"/>
    </row>
    <row r="288386" spans="25:37" x14ac:dyDescent="0.2">
      <c r="Y288386" s="5"/>
      <c r="AB288386" s="5"/>
      <c r="AE288386" s="5"/>
      <c r="AH288386" s="5"/>
      <c r="AK288386" s="5"/>
    </row>
    <row r="288396" spans="25:37" x14ac:dyDescent="0.2">
      <c r="Y288396" s="251"/>
      <c r="AB288396" s="251"/>
      <c r="AE288396" s="251"/>
      <c r="AH288396" s="251"/>
      <c r="AK288396" s="251"/>
    </row>
    <row r="288511" spans="25:37" x14ac:dyDescent="0.2">
      <c r="Y288511" s="5"/>
      <c r="AB288511" s="5"/>
      <c r="AE288511" s="5"/>
      <c r="AH288511" s="5"/>
      <c r="AK288511" s="5"/>
    </row>
    <row r="288521" spans="25:37" x14ac:dyDescent="0.2">
      <c r="Y288521" s="251"/>
      <c r="AB288521" s="251"/>
      <c r="AE288521" s="251"/>
      <c r="AH288521" s="251"/>
      <c r="AK288521" s="251"/>
    </row>
    <row r="288636" spans="25:37" x14ac:dyDescent="0.2">
      <c r="Y288636" s="5"/>
      <c r="AB288636" s="5"/>
      <c r="AE288636" s="5"/>
      <c r="AH288636" s="5"/>
      <c r="AK288636" s="5"/>
    </row>
    <row r="288646" spans="25:37" x14ac:dyDescent="0.2">
      <c r="Y288646" s="251"/>
      <c r="AB288646" s="251"/>
      <c r="AE288646" s="251"/>
      <c r="AH288646" s="251"/>
      <c r="AK288646" s="251"/>
    </row>
    <row r="288761" spans="25:37" x14ac:dyDescent="0.2">
      <c r="Y288761" s="5"/>
      <c r="AB288761" s="5"/>
      <c r="AE288761" s="5"/>
      <c r="AH288761" s="5"/>
      <c r="AK288761" s="5"/>
    </row>
    <row r="288771" spans="25:37" x14ac:dyDescent="0.2">
      <c r="Y288771" s="251"/>
      <c r="AB288771" s="251"/>
      <c r="AE288771" s="251"/>
      <c r="AH288771" s="251"/>
      <c r="AK288771" s="251"/>
    </row>
    <row r="288886" spans="25:37" x14ac:dyDescent="0.2">
      <c r="Y288886" s="5"/>
      <c r="AB288886" s="5"/>
      <c r="AE288886" s="5"/>
      <c r="AH288886" s="5"/>
      <c r="AK288886" s="5"/>
    </row>
    <row r="288896" spans="25:37" x14ac:dyDescent="0.2">
      <c r="Y288896" s="251"/>
      <c r="AB288896" s="251"/>
      <c r="AE288896" s="251"/>
      <c r="AH288896" s="251"/>
      <c r="AK288896" s="251"/>
    </row>
    <row r="289011" spans="25:37" x14ac:dyDescent="0.2">
      <c r="Y289011" s="5"/>
      <c r="AB289011" s="5"/>
      <c r="AE289011" s="5"/>
      <c r="AH289011" s="5"/>
      <c r="AK289011" s="5"/>
    </row>
    <row r="289021" spans="25:37" x14ac:dyDescent="0.2">
      <c r="Y289021" s="251"/>
      <c r="AB289021" s="251"/>
      <c r="AE289021" s="251"/>
      <c r="AH289021" s="251"/>
      <c r="AK289021" s="251"/>
    </row>
    <row r="289136" spans="25:37" x14ac:dyDescent="0.2">
      <c r="Y289136" s="5"/>
      <c r="AB289136" s="5"/>
      <c r="AE289136" s="5"/>
      <c r="AH289136" s="5"/>
      <c r="AK289136" s="5"/>
    </row>
    <row r="289146" spans="25:37" x14ac:dyDescent="0.2">
      <c r="Y289146" s="251"/>
      <c r="AB289146" s="251"/>
      <c r="AE289146" s="251"/>
      <c r="AH289146" s="251"/>
      <c r="AK289146" s="251"/>
    </row>
    <row r="289261" spans="25:37" x14ac:dyDescent="0.2">
      <c r="Y289261" s="5"/>
      <c r="AB289261" s="5"/>
      <c r="AE289261" s="5"/>
      <c r="AH289261" s="5"/>
      <c r="AK289261" s="5"/>
    </row>
    <row r="289271" spans="25:37" x14ac:dyDescent="0.2">
      <c r="Y289271" s="251"/>
      <c r="AB289271" s="251"/>
      <c r="AE289271" s="251"/>
      <c r="AH289271" s="251"/>
      <c r="AK289271" s="251"/>
    </row>
    <row r="289386" spans="25:37" x14ac:dyDescent="0.2">
      <c r="Y289386" s="5"/>
      <c r="AB289386" s="5"/>
      <c r="AE289386" s="5"/>
      <c r="AH289386" s="5"/>
      <c r="AK289386" s="5"/>
    </row>
    <row r="289396" spans="25:37" x14ac:dyDescent="0.2">
      <c r="Y289396" s="251"/>
      <c r="AB289396" s="251"/>
      <c r="AE289396" s="251"/>
      <c r="AH289396" s="251"/>
      <c r="AK289396" s="251"/>
    </row>
    <row r="289511" spans="25:37" x14ac:dyDescent="0.2">
      <c r="Y289511" s="5"/>
      <c r="AB289511" s="5"/>
      <c r="AE289511" s="5"/>
      <c r="AH289511" s="5"/>
      <c r="AK289511" s="5"/>
    </row>
    <row r="289521" spans="25:37" x14ac:dyDescent="0.2">
      <c r="Y289521" s="251"/>
      <c r="AB289521" s="251"/>
      <c r="AE289521" s="251"/>
      <c r="AH289521" s="251"/>
      <c r="AK289521" s="251"/>
    </row>
    <row r="289636" spans="25:37" x14ac:dyDescent="0.2">
      <c r="Y289636" s="5"/>
      <c r="AB289636" s="5"/>
      <c r="AE289636" s="5"/>
      <c r="AH289636" s="5"/>
      <c r="AK289636" s="5"/>
    </row>
    <row r="289646" spans="25:37" x14ac:dyDescent="0.2">
      <c r="Y289646" s="251"/>
      <c r="AB289646" s="251"/>
      <c r="AE289646" s="251"/>
      <c r="AH289646" s="251"/>
      <c r="AK289646" s="251"/>
    </row>
    <row r="289761" spans="25:37" x14ac:dyDescent="0.2">
      <c r="Y289761" s="5"/>
      <c r="AB289761" s="5"/>
      <c r="AE289761" s="5"/>
      <c r="AH289761" s="5"/>
      <c r="AK289761" s="5"/>
    </row>
    <row r="289771" spans="25:37" x14ac:dyDescent="0.2">
      <c r="Y289771" s="251"/>
      <c r="AB289771" s="251"/>
      <c r="AE289771" s="251"/>
      <c r="AH289771" s="251"/>
      <c r="AK289771" s="251"/>
    </row>
    <row r="289886" spans="25:37" x14ac:dyDescent="0.2">
      <c r="Y289886" s="5"/>
      <c r="AB289886" s="5"/>
      <c r="AE289886" s="5"/>
      <c r="AH289886" s="5"/>
      <c r="AK289886" s="5"/>
    </row>
    <row r="289896" spans="25:37" x14ac:dyDescent="0.2">
      <c r="Y289896" s="251"/>
      <c r="AB289896" s="251"/>
      <c r="AE289896" s="251"/>
      <c r="AH289896" s="251"/>
      <c r="AK289896" s="251"/>
    </row>
    <row r="290011" spans="25:37" x14ac:dyDescent="0.2">
      <c r="Y290011" s="5"/>
      <c r="AB290011" s="5"/>
      <c r="AE290011" s="5"/>
      <c r="AH290011" s="5"/>
      <c r="AK290011" s="5"/>
    </row>
    <row r="290021" spans="25:37" x14ac:dyDescent="0.2">
      <c r="Y290021" s="251"/>
      <c r="AB290021" s="251"/>
      <c r="AE290021" s="251"/>
      <c r="AH290021" s="251"/>
      <c r="AK290021" s="251"/>
    </row>
    <row r="290136" spans="25:37" x14ac:dyDescent="0.2">
      <c r="Y290136" s="5"/>
      <c r="AB290136" s="5"/>
      <c r="AE290136" s="5"/>
      <c r="AH290136" s="5"/>
      <c r="AK290136" s="5"/>
    </row>
    <row r="290146" spans="25:37" x14ac:dyDescent="0.2">
      <c r="Y290146" s="251"/>
      <c r="AB290146" s="251"/>
      <c r="AE290146" s="251"/>
      <c r="AH290146" s="251"/>
      <c r="AK290146" s="251"/>
    </row>
    <row r="290261" spans="25:37" x14ac:dyDescent="0.2">
      <c r="Y290261" s="5"/>
      <c r="AB290261" s="5"/>
      <c r="AE290261" s="5"/>
      <c r="AH290261" s="5"/>
      <c r="AK290261" s="5"/>
    </row>
    <row r="290271" spans="25:37" x14ac:dyDescent="0.2">
      <c r="Y290271" s="251"/>
      <c r="AB290271" s="251"/>
      <c r="AE290271" s="251"/>
      <c r="AH290271" s="251"/>
      <c r="AK290271" s="251"/>
    </row>
    <row r="290386" spans="25:37" x14ac:dyDescent="0.2">
      <c r="Y290386" s="5"/>
      <c r="AB290386" s="5"/>
      <c r="AE290386" s="5"/>
      <c r="AH290386" s="5"/>
      <c r="AK290386" s="5"/>
    </row>
    <row r="290396" spans="25:37" x14ac:dyDescent="0.2">
      <c r="Y290396" s="251"/>
      <c r="AB290396" s="251"/>
      <c r="AE290396" s="251"/>
      <c r="AH290396" s="251"/>
      <c r="AK290396" s="251"/>
    </row>
    <row r="290511" spans="25:37" x14ac:dyDescent="0.2">
      <c r="Y290511" s="5"/>
      <c r="AB290511" s="5"/>
      <c r="AE290511" s="5"/>
      <c r="AH290511" s="5"/>
      <c r="AK290511" s="5"/>
    </row>
    <row r="290521" spans="25:37" x14ac:dyDescent="0.2">
      <c r="Y290521" s="251"/>
      <c r="AB290521" s="251"/>
      <c r="AE290521" s="251"/>
      <c r="AH290521" s="251"/>
      <c r="AK290521" s="251"/>
    </row>
    <row r="290636" spans="25:37" x14ac:dyDescent="0.2">
      <c r="Y290636" s="5"/>
      <c r="AB290636" s="5"/>
      <c r="AE290636" s="5"/>
      <c r="AH290636" s="5"/>
      <c r="AK290636" s="5"/>
    </row>
    <row r="290646" spans="25:37" x14ac:dyDescent="0.2">
      <c r="Y290646" s="251"/>
      <c r="AB290646" s="251"/>
      <c r="AE290646" s="251"/>
      <c r="AH290646" s="251"/>
      <c r="AK290646" s="251"/>
    </row>
    <row r="290761" spans="25:37" x14ac:dyDescent="0.2">
      <c r="Y290761" s="5"/>
      <c r="AB290761" s="5"/>
      <c r="AE290761" s="5"/>
      <c r="AH290761" s="5"/>
      <c r="AK290761" s="5"/>
    </row>
    <row r="290771" spans="25:37" x14ac:dyDescent="0.2">
      <c r="Y290771" s="251"/>
      <c r="AB290771" s="251"/>
      <c r="AE290771" s="251"/>
      <c r="AH290771" s="251"/>
      <c r="AK290771" s="251"/>
    </row>
    <row r="290886" spans="25:37" x14ac:dyDescent="0.2">
      <c r="Y290886" s="5"/>
      <c r="AB290886" s="5"/>
      <c r="AE290886" s="5"/>
      <c r="AH290886" s="5"/>
      <c r="AK290886" s="5"/>
    </row>
    <row r="290896" spans="25:37" x14ac:dyDescent="0.2">
      <c r="Y290896" s="251"/>
      <c r="AB290896" s="251"/>
      <c r="AE290896" s="251"/>
      <c r="AH290896" s="251"/>
      <c r="AK290896" s="251"/>
    </row>
    <row r="291011" spans="25:37" x14ac:dyDescent="0.2">
      <c r="Y291011" s="5"/>
      <c r="AB291011" s="5"/>
      <c r="AE291011" s="5"/>
      <c r="AH291011" s="5"/>
      <c r="AK291011" s="5"/>
    </row>
    <row r="291021" spans="25:37" x14ac:dyDescent="0.2">
      <c r="Y291021" s="251"/>
      <c r="AB291021" s="251"/>
      <c r="AE291021" s="251"/>
      <c r="AH291021" s="251"/>
      <c r="AK291021" s="251"/>
    </row>
    <row r="291136" spans="25:37" x14ac:dyDescent="0.2">
      <c r="Y291136" s="5"/>
      <c r="AB291136" s="5"/>
      <c r="AE291136" s="5"/>
      <c r="AH291136" s="5"/>
      <c r="AK291136" s="5"/>
    </row>
    <row r="291146" spans="25:37" x14ac:dyDescent="0.2">
      <c r="Y291146" s="251"/>
      <c r="AB291146" s="251"/>
      <c r="AE291146" s="251"/>
      <c r="AH291146" s="251"/>
      <c r="AK291146" s="251"/>
    </row>
    <row r="291261" spans="25:37" x14ac:dyDescent="0.2">
      <c r="Y291261" s="5"/>
      <c r="AB291261" s="5"/>
      <c r="AE291261" s="5"/>
      <c r="AH291261" s="5"/>
      <c r="AK291261" s="5"/>
    </row>
    <row r="291271" spans="25:37" x14ac:dyDescent="0.2">
      <c r="Y291271" s="251"/>
      <c r="AB291271" s="251"/>
      <c r="AE291271" s="251"/>
      <c r="AH291271" s="251"/>
      <c r="AK291271" s="251"/>
    </row>
    <row r="291386" spans="25:37" x14ac:dyDescent="0.2">
      <c r="Y291386" s="5"/>
      <c r="AB291386" s="5"/>
      <c r="AE291386" s="5"/>
      <c r="AH291386" s="5"/>
      <c r="AK291386" s="5"/>
    </row>
    <row r="291396" spans="25:37" x14ac:dyDescent="0.2">
      <c r="Y291396" s="251"/>
      <c r="AB291396" s="251"/>
      <c r="AE291396" s="251"/>
      <c r="AH291396" s="251"/>
      <c r="AK291396" s="251"/>
    </row>
    <row r="291511" spans="25:37" x14ac:dyDescent="0.2">
      <c r="Y291511" s="5"/>
      <c r="AB291511" s="5"/>
      <c r="AE291511" s="5"/>
      <c r="AH291511" s="5"/>
      <c r="AK291511" s="5"/>
    </row>
    <row r="291521" spans="25:37" x14ac:dyDescent="0.2">
      <c r="Y291521" s="251"/>
      <c r="AB291521" s="251"/>
      <c r="AE291521" s="251"/>
      <c r="AH291521" s="251"/>
      <c r="AK291521" s="251"/>
    </row>
    <row r="291636" spans="25:37" x14ac:dyDescent="0.2">
      <c r="Y291636" s="5"/>
      <c r="AB291636" s="5"/>
      <c r="AE291636" s="5"/>
      <c r="AH291636" s="5"/>
      <c r="AK291636" s="5"/>
    </row>
    <row r="291646" spans="25:37" x14ac:dyDescent="0.2">
      <c r="Y291646" s="251"/>
      <c r="AB291646" s="251"/>
      <c r="AE291646" s="251"/>
      <c r="AH291646" s="251"/>
      <c r="AK291646" s="251"/>
    </row>
    <row r="291761" spans="25:37" x14ac:dyDescent="0.2">
      <c r="Y291761" s="5"/>
      <c r="AB291761" s="5"/>
      <c r="AE291761" s="5"/>
      <c r="AH291761" s="5"/>
      <c r="AK291761" s="5"/>
    </row>
    <row r="291771" spans="25:37" x14ac:dyDescent="0.2">
      <c r="Y291771" s="251"/>
      <c r="AB291771" s="251"/>
      <c r="AE291771" s="251"/>
      <c r="AH291771" s="251"/>
      <c r="AK291771" s="251"/>
    </row>
    <row r="291886" spans="25:37" x14ac:dyDescent="0.2">
      <c r="Y291886" s="5"/>
      <c r="AB291886" s="5"/>
      <c r="AE291886" s="5"/>
      <c r="AH291886" s="5"/>
      <c r="AK291886" s="5"/>
    </row>
    <row r="291896" spans="25:37" x14ac:dyDescent="0.2">
      <c r="Y291896" s="251"/>
      <c r="AB291896" s="251"/>
      <c r="AE291896" s="251"/>
      <c r="AH291896" s="251"/>
      <c r="AK291896" s="251"/>
    </row>
    <row r="292011" spans="25:37" x14ac:dyDescent="0.2">
      <c r="Y292011" s="5"/>
      <c r="AB292011" s="5"/>
      <c r="AE292011" s="5"/>
      <c r="AH292011" s="5"/>
      <c r="AK292011" s="5"/>
    </row>
    <row r="292021" spans="25:37" x14ac:dyDescent="0.2">
      <c r="Y292021" s="251"/>
      <c r="AB292021" s="251"/>
      <c r="AE292021" s="251"/>
      <c r="AH292021" s="251"/>
      <c r="AK292021" s="251"/>
    </row>
    <row r="292136" spans="25:37" x14ac:dyDescent="0.2">
      <c r="Y292136" s="5"/>
      <c r="AB292136" s="5"/>
      <c r="AE292136" s="5"/>
      <c r="AH292136" s="5"/>
      <c r="AK292136" s="5"/>
    </row>
    <row r="292146" spans="25:37" x14ac:dyDescent="0.2">
      <c r="Y292146" s="251"/>
      <c r="AB292146" s="251"/>
      <c r="AE292146" s="251"/>
      <c r="AH292146" s="251"/>
      <c r="AK292146" s="251"/>
    </row>
    <row r="292261" spans="25:37" x14ac:dyDescent="0.2">
      <c r="Y292261" s="5"/>
      <c r="AB292261" s="5"/>
      <c r="AE292261" s="5"/>
      <c r="AH292261" s="5"/>
      <c r="AK292261" s="5"/>
    </row>
    <row r="292271" spans="25:37" x14ac:dyDescent="0.2">
      <c r="Y292271" s="251"/>
      <c r="AB292271" s="251"/>
      <c r="AE292271" s="251"/>
      <c r="AH292271" s="251"/>
      <c r="AK292271" s="251"/>
    </row>
    <row r="292386" spans="25:37" x14ac:dyDescent="0.2">
      <c r="Y292386" s="5"/>
      <c r="AB292386" s="5"/>
      <c r="AE292386" s="5"/>
      <c r="AH292386" s="5"/>
      <c r="AK292386" s="5"/>
    </row>
    <row r="292396" spans="25:37" x14ac:dyDescent="0.2">
      <c r="Y292396" s="251"/>
      <c r="AB292396" s="251"/>
      <c r="AE292396" s="251"/>
      <c r="AH292396" s="251"/>
      <c r="AK292396" s="251"/>
    </row>
    <row r="292511" spans="25:37" x14ac:dyDescent="0.2">
      <c r="Y292511" s="5"/>
      <c r="AB292511" s="5"/>
      <c r="AE292511" s="5"/>
      <c r="AH292511" s="5"/>
      <c r="AK292511" s="5"/>
    </row>
    <row r="292521" spans="25:37" x14ac:dyDescent="0.2">
      <c r="Y292521" s="251"/>
      <c r="AB292521" s="251"/>
      <c r="AE292521" s="251"/>
      <c r="AH292521" s="251"/>
      <c r="AK292521" s="251"/>
    </row>
    <row r="292636" spans="25:37" x14ac:dyDescent="0.2">
      <c r="Y292636" s="5"/>
      <c r="AB292636" s="5"/>
      <c r="AE292636" s="5"/>
      <c r="AH292636" s="5"/>
      <c r="AK292636" s="5"/>
    </row>
    <row r="292646" spans="25:37" x14ac:dyDescent="0.2">
      <c r="Y292646" s="251"/>
      <c r="AB292646" s="251"/>
      <c r="AE292646" s="251"/>
      <c r="AH292646" s="251"/>
      <c r="AK292646" s="251"/>
    </row>
    <row r="292761" spans="25:37" x14ac:dyDescent="0.2">
      <c r="Y292761" s="5"/>
      <c r="AB292761" s="5"/>
      <c r="AE292761" s="5"/>
      <c r="AH292761" s="5"/>
      <c r="AK292761" s="5"/>
    </row>
    <row r="292771" spans="25:37" x14ac:dyDescent="0.2">
      <c r="Y292771" s="251"/>
      <c r="AB292771" s="251"/>
      <c r="AE292771" s="251"/>
      <c r="AH292771" s="251"/>
      <c r="AK292771" s="251"/>
    </row>
    <row r="292886" spans="25:37" x14ac:dyDescent="0.2">
      <c r="Y292886" s="5"/>
      <c r="AB292886" s="5"/>
      <c r="AE292886" s="5"/>
      <c r="AH292886" s="5"/>
      <c r="AK292886" s="5"/>
    </row>
    <row r="292896" spans="25:37" x14ac:dyDescent="0.2">
      <c r="Y292896" s="251"/>
      <c r="AB292896" s="251"/>
      <c r="AE292896" s="251"/>
      <c r="AH292896" s="251"/>
      <c r="AK292896" s="251"/>
    </row>
    <row r="293011" spans="25:37" x14ac:dyDescent="0.2">
      <c r="Y293011" s="5"/>
      <c r="AB293011" s="5"/>
      <c r="AE293011" s="5"/>
      <c r="AH293011" s="5"/>
      <c r="AK293011" s="5"/>
    </row>
    <row r="293021" spans="25:37" x14ac:dyDescent="0.2">
      <c r="Y293021" s="251"/>
      <c r="AB293021" s="251"/>
      <c r="AE293021" s="251"/>
      <c r="AH293021" s="251"/>
      <c r="AK293021" s="251"/>
    </row>
    <row r="293136" spans="25:37" x14ac:dyDescent="0.2">
      <c r="Y293136" s="5"/>
      <c r="AB293136" s="5"/>
      <c r="AE293136" s="5"/>
      <c r="AH293136" s="5"/>
      <c r="AK293136" s="5"/>
    </row>
    <row r="293146" spans="25:37" x14ac:dyDescent="0.2">
      <c r="Y293146" s="251"/>
      <c r="AB293146" s="251"/>
      <c r="AE293146" s="251"/>
      <c r="AH293146" s="251"/>
      <c r="AK293146" s="251"/>
    </row>
    <row r="293261" spans="25:37" x14ac:dyDescent="0.2">
      <c r="Y293261" s="5"/>
      <c r="AB293261" s="5"/>
      <c r="AE293261" s="5"/>
      <c r="AH293261" s="5"/>
      <c r="AK293261" s="5"/>
    </row>
    <row r="293271" spans="25:37" x14ac:dyDescent="0.2">
      <c r="Y293271" s="251"/>
      <c r="AB293271" s="251"/>
      <c r="AE293271" s="251"/>
      <c r="AH293271" s="251"/>
      <c r="AK293271" s="251"/>
    </row>
    <row r="293386" spans="25:37" x14ac:dyDescent="0.2">
      <c r="Y293386" s="5"/>
      <c r="AB293386" s="5"/>
      <c r="AE293386" s="5"/>
      <c r="AH293386" s="5"/>
      <c r="AK293386" s="5"/>
    </row>
    <row r="293396" spans="25:37" x14ac:dyDescent="0.2">
      <c r="Y293396" s="251"/>
      <c r="AB293396" s="251"/>
      <c r="AE293396" s="251"/>
      <c r="AH293396" s="251"/>
      <c r="AK293396" s="251"/>
    </row>
    <row r="293511" spans="25:37" x14ac:dyDescent="0.2">
      <c r="Y293511" s="5"/>
      <c r="AB293511" s="5"/>
      <c r="AE293511" s="5"/>
      <c r="AH293511" s="5"/>
      <c r="AK293511" s="5"/>
    </row>
    <row r="293521" spans="25:37" x14ac:dyDescent="0.2">
      <c r="Y293521" s="251"/>
      <c r="AB293521" s="251"/>
      <c r="AE293521" s="251"/>
      <c r="AH293521" s="251"/>
      <c r="AK293521" s="251"/>
    </row>
    <row r="293636" spans="25:37" x14ac:dyDescent="0.2">
      <c r="Y293636" s="5"/>
      <c r="AB293636" s="5"/>
      <c r="AE293636" s="5"/>
      <c r="AH293636" s="5"/>
      <c r="AK293636" s="5"/>
    </row>
    <row r="293646" spans="25:37" x14ac:dyDescent="0.2">
      <c r="Y293646" s="251"/>
      <c r="AB293646" s="251"/>
      <c r="AE293646" s="251"/>
      <c r="AH293646" s="251"/>
      <c r="AK293646" s="251"/>
    </row>
    <row r="293761" spans="25:37" x14ac:dyDescent="0.2">
      <c r="Y293761" s="5"/>
      <c r="AB293761" s="5"/>
      <c r="AE293761" s="5"/>
      <c r="AH293761" s="5"/>
      <c r="AK293761" s="5"/>
    </row>
    <row r="293771" spans="25:37" x14ac:dyDescent="0.2">
      <c r="Y293771" s="251"/>
      <c r="AB293771" s="251"/>
      <c r="AE293771" s="251"/>
      <c r="AH293771" s="251"/>
      <c r="AK293771" s="251"/>
    </row>
    <row r="293886" spans="25:37" x14ac:dyDescent="0.2">
      <c r="Y293886" s="5"/>
      <c r="AB293886" s="5"/>
      <c r="AE293886" s="5"/>
      <c r="AH293886" s="5"/>
      <c r="AK293886" s="5"/>
    </row>
    <row r="293896" spans="25:37" x14ac:dyDescent="0.2">
      <c r="Y293896" s="251"/>
      <c r="AB293896" s="251"/>
      <c r="AE293896" s="251"/>
      <c r="AH293896" s="251"/>
      <c r="AK293896" s="251"/>
    </row>
    <row r="294011" spans="25:37" x14ac:dyDescent="0.2">
      <c r="Y294011" s="5"/>
      <c r="AB294011" s="5"/>
      <c r="AE294011" s="5"/>
      <c r="AH294011" s="5"/>
      <c r="AK294011" s="5"/>
    </row>
    <row r="294021" spans="25:37" x14ac:dyDescent="0.2">
      <c r="Y294021" s="251"/>
      <c r="AB294021" s="251"/>
      <c r="AE294021" s="251"/>
      <c r="AH294021" s="251"/>
      <c r="AK294021" s="251"/>
    </row>
    <row r="294136" spans="25:37" x14ac:dyDescent="0.2">
      <c r="Y294136" s="5"/>
      <c r="AB294136" s="5"/>
      <c r="AE294136" s="5"/>
      <c r="AH294136" s="5"/>
      <c r="AK294136" s="5"/>
    </row>
    <row r="294146" spans="25:37" x14ac:dyDescent="0.2">
      <c r="Y294146" s="251"/>
      <c r="AB294146" s="251"/>
      <c r="AE294146" s="251"/>
      <c r="AH294146" s="251"/>
      <c r="AK294146" s="251"/>
    </row>
    <row r="294261" spans="25:37" x14ac:dyDescent="0.2">
      <c r="Y294261" s="5"/>
      <c r="AB294261" s="5"/>
      <c r="AE294261" s="5"/>
      <c r="AH294261" s="5"/>
      <c r="AK294261" s="5"/>
    </row>
    <row r="294271" spans="25:37" x14ac:dyDescent="0.2">
      <c r="Y294271" s="251"/>
      <c r="AB294271" s="251"/>
      <c r="AE294271" s="251"/>
      <c r="AH294271" s="251"/>
      <c r="AK294271" s="251"/>
    </row>
    <row r="294386" spans="25:37" x14ac:dyDescent="0.2">
      <c r="Y294386" s="5"/>
      <c r="AB294386" s="5"/>
      <c r="AE294386" s="5"/>
      <c r="AH294386" s="5"/>
      <c r="AK294386" s="5"/>
    </row>
    <row r="294396" spans="25:37" x14ac:dyDescent="0.2">
      <c r="Y294396" s="251"/>
      <c r="AB294396" s="251"/>
      <c r="AE294396" s="251"/>
      <c r="AH294396" s="251"/>
      <c r="AK294396" s="251"/>
    </row>
    <row r="294511" spans="25:37" x14ac:dyDescent="0.2">
      <c r="Y294511" s="5"/>
      <c r="AB294511" s="5"/>
      <c r="AE294511" s="5"/>
      <c r="AH294511" s="5"/>
      <c r="AK294511" s="5"/>
    </row>
    <row r="294521" spans="25:37" x14ac:dyDescent="0.2">
      <c r="Y294521" s="251"/>
      <c r="AB294521" s="251"/>
      <c r="AE294521" s="251"/>
      <c r="AH294521" s="251"/>
      <c r="AK294521" s="251"/>
    </row>
    <row r="294636" spans="25:37" x14ac:dyDescent="0.2">
      <c r="Y294636" s="5"/>
      <c r="AB294636" s="5"/>
      <c r="AE294636" s="5"/>
      <c r="AH294636" s="5"/>
      <c r="AK294636" s="5"/>
    </row>
    <row r="294646" spans="25:37" x14ac:dyDescent="0.2">
      <c r="Y294646" s="251"/>
      <c r="AB294646" s="251"/>
      <c r="AE294646" s="251"/>
      <c r="AH294646" s="251"/>
      <c r="AK294646" s="251"/>
    </row>
    <row r="294761" spans="25:37" x14ac:dyDescent="0.2">
      <c r="Y294761" s="5"/>
      <c r="AB294761" s="5"/>
      <c r="AE294761" s="5"/>
      <c r="AH294761" s="5"/>
      <c r="AK294761" s="5"/>
    </row>
    <row r="294771" spans="25:37" x14ac:dyDescent="0.2">
      <c r="Y294771" s="251"/>
      <c r="AB294771" s="251"/>
      <c r="AE294771" s="251"/>
      <c r="AH294771" s="251"/>
      <c r="AK294771" s="251"/>
    </row>
    <row r="294886" spans="25:37" x14ac:dyDescent="0.2">
      <c r="Y294886" s="5"/>
      <c r="AB294886" s="5"/>
      <c r="AE294886" s="5"/>
      <c r="AH294886" s="5"/>
      <c r="AK294886" s="5"/>
    </row>
    <row r="294896" spans="25:37" x14ac:dyDescent="0.2">
      <c r="Y294896" s="251"/>
      <c r="AB294896" s="251"/>
      <c r="AE294896" s="251"/>
      <c r="AH294896" s="251"/>
      <c r="AK294896" s="251"/>
    </row>
    <row r="295011" spans="25:37" x14ac:dyDescent="0.2">
      <c r="Y295011" s="5"/>
      <c r="AB295011" s="5"/>
      <c r="AE295011" s="5"/>
      <c r="AH295011" s="5"/>
      <c r="AK295011" s="5"/>
    </row>
    <row r="295021" spans="25:37" x14ac:dyDescent="0.2">
      <c r="Y295021" s="251"/>
      <c r="AB295021" s="251"/>
      <c r="AE295021" s="251"/>
      <c r="AH295021" s="251"/>
      <c r="AK295021" s="251"/>
    </row>
    <row r="295136" spans="25:37" x14ac:dyDescent="0.2">
      <c r="Y295136" s="5"/>
      <c r="AB295136" s="5"/>
      <c r="AE295136" s="5"/>
      <c r="AH295136" s="5"/>
      <c r="AK295136" s="5"/>
    </row>
    <row r="295146" spans="25:37" x14ac:dyDescent="0.2">
      <c r="Y295146" s="251"/>
      <c r="AB295146" s="251"/>
      <c r="AE295146" s="251"/>
      <c r="AH295146" s="251"/>
      <c r="AK295146" s="251"/>
    </row>
    <row r="295261" spans="25:37" x14ac:dyDescent="0.2">
      <c r="Y295261" s="5"/>
      <c r="AB295261" s="5"/>
      <c r="AE295261" s="5"/>
      <c r="AH295261" s="5"/>
      <c r="AK295261" s="5"/>
    </row>
    <row r="295271" spans="25:37" x14ac:dyDescent="0.2">
      <c r="Y295271" s="251"/>
      <c r="AB295271" s="251"/>
      <c r="AE295271" s="251"/>
      <c r="AH295271" s="251"/>
      <c r="AK295271" s="251"/>
    </row>
    <row r="295386" spans="25:37" x14ac:dyDescent="0.2">
      <c r="Y295386" s="5"/>
      <c r="AB295386" s="5"/>
      <c r="AE295386" s="5"/>
      <c r="AH295386" s="5"/>
      <c r="AK295386" s="5"/>
    </row>
    <row r="295396" spans="25:37" x14ac:dyDescent="0.2">
      <c r="Y295396" s="251"/>
      <c r="AB295396" s="251"/>
      <c r="AE295396" s="251"/>
      <c r="AH295396" s="251"/>
      <c r="AK295396" s="251"/>
    </row>
    <row r="295511" spans="25:37" x14ac:dyDescent="0.2">
      <c r="Y295511" s="5"/>
      <c r="AB295511" s="5"/>
      <c r="AE295511" s="5"/>
      <c r="AH295511" s="5"/>
      <c r="AK295511" s="5"/>
    </row>
    <row r="295521" spans="25:37" x14ac:dyDescent="0.2">
      <c r="Y295521" s="251"/>
      <c r="AB295521" s="251"/>
      <c r="AE295521" s="251"/>
      <c r="AH295521" s="251"/>
      <c r="AK295521" s="251"/>
    </row>
    <row r="295636" spans="25:37" x14ac:dyDescent="0.2">
      <c r="Y295636" s="5"/>
      <c r="AB295636" s="5"/>
      <c r="AE295636" s="5"/>
      <c r="AH295636" s="5"/>
      <c r="AK295636" s="5"/>
    </row>
    <row r="295646" spans="25:37" x14ac:dyDescent="0.2">
      <c r="Y295646" s="251"/>
      <c r="AB295646" s="251"/>
      <c r="AE295646" s="251"/>
      <c r="AH295646" s="251"/>
      <c r="AK295646" s="251"/>
    </row>
    <row r="295761" spans="25:37" x14ac:dyDescent="0.2">
      <c r="Y295761" s="5"/>
      <c r="AB295761" s="5"/>
      <c r="AE295761" s="5"/>
      <c r="AH295761" s="5"/>
      <c r="AK295761" s="5"/>
    </row>
    <row r="295771" spans="25:37" x14ac:dyDescent="0.2">
      <c r="Y295771" s="251"/>
      <c r="AB295771" s="251"/>
      <c r="AE295771" s="251"/>
      <c r="AH295771" s="251"/>
      <c r="AK295771" s="251"/>
    </row>
    <row r="295886" spans="25:37" x14ac:dyDescent="0.2">
      <c r="Y295886" s="5"/>
      <c r="AB295886" s="5"/>
      <c r="AE295886" s="5"/>
      <c r="AH295886" s="5"/>
      <c r="AK295886" s="5"/>
    </row>
    <row r="295896" spans="25:37" x14ac:dyDescent="0.2">
      <c r="Y295896" s="251"/>
      <c r="AB295896" s="251"/>
      <c r="AE295896" s="251"/>
      <c r="AH295896" s="251"/>
      <c r="AK295896" s="251"/>
    </row>
    <row r="296011" spans="25:37" x14ac:dyDescent="0.2">
      <c r="Y296011" s="5"/>
      <c r="AB296011" s="5"/>
      <c r="AE296011" s="5"/>
      <c r="AH296011" s="5"/>
      <c r="AK296011" s="5"/>
    </row>
    <row r="296021" spans="25:37" x14ac:dyDescent="0.2">
      <c r="Y296021" s="251"/>
      <c r="AB296021" s="251"/>
      <c r="AE296021" s="251"/>
      <c r="AH296021" s="251"/>
      <c r="AK296021" s="251"/>
    </row>
    <row r="296136" spans="25:37" x14ac:dyDescent="0.2">
      <c r="Y296136" s="5"/>
      <c r="AB296136" s="5"/>
      <c r="AE296136" s="5"/>
      <c r="AH296136" s="5"/>
      <c r="AK296136" s="5"/>
    </row>
    <row r="296146" spans="25:37" x14ac:dyDescent="0.2">
      <c r="Y296146" s="251"/>
      <c r="AB296146" s="251"/>
      <c r="AE296146" s="251"/>
      <c r="AH296146" s="251"/>
      <c r="AK296146" s="251"/>
    </row>
    <row r="296261" spans="25:37" x14ac:dyDescent="0.2">
      <c r="Y296261" s="5"/>
      <c r="AB296261" s="5"/>
      <c r="AE296261" s="5"/>
      <c r="AH296261" s="5"/>
      <c r="AK296261" s="5"/>
    </row>
    <row r="296271" spans="25:37" x14ac:dyDescent="0.2">
      <c r="Y296271" s="251"/>
      <c r="AB296271" s="251"/>
      <c r="AE296271" s="251"/>
      <c r="AH296271" s="251"/>
      <c r="AK296271" s="251"/>
    </row>
    <row r="296386" spans="25:37" x14ac:dyDescent="0.2">
      <c r="Y296386" s="5"/>
      <c r="AB296386" s="5"/>
      <c r="AE296386" s="5"/>
      <c r="AH296386" s="5"/>
      <c r="AK296386" s="5"/>
    </row>
    <row r="296396" spans="25:37" x14ac:dyDescent="0.2">
      <c r="Y296396" s="251"/>
      <c r="AB296396" s="251"/>
      <c r="AE296396" s="251"/>
      <c r="AH296396" s="251"/>
      <c r="AK296396" s="251"/>
    </row>
    <row r="296511" spans="25:37" x14ac:dyDescent="0.2">
      <c r="Y296511" s="5"/>
      <c r="AB296511" s="5"/>
      <c r="AE296511" s="5"/>
      <c r="AH296511" s="5"/>
      <c r="AK296511" s="5"/>
    </row>
    <row r="296521" spans="25:37" x14ac:dyDescent="0.2">
      <c r="Y296521" s="251"/>
      <c r="AB296521" s="251"/>
      <c r="AE296521" s="251"/>
      <c r="AH296521" s="251"/>
      <c r="AK296521" s="251"/>
    </row>
    <row r="296636" spans="25:37" x14ac:dyDescent="0.2">
      <c r="Y296636" s="5"/>
      <c r="AB296636" s="5"/>
      <c r="AE296636" s="5"/>
      <c r="AH296636" s="5"/>
      <c r="AK296636" s="5"/>
    </row>
    <row r="296646" spans="25:37" x14ac:dyDescent="0.2">
      <c r="Y296646" s="251"/>
      <c r="AB296646" s="251"/>
      <c r="AE296646" s="251"/>
      <c r="AH296646" s="251"/>
      <c r="AK296646" s="251"/>
    </row>
    <row r="296761" spans="25:37" x14ac:dyDescent="0.2">
      <c r="Y296761" s="5"/>
      <c r="AB296761" s="5"/>
      <c r="AE296761" s="5"/>
      <c r="AH296761" s="5"/>
      <c r="AK296761" s="5"/>
    </row>
    <row r="296771" spans="25:37" x14ac:dyDescent="0.2">
      <c r="Y296771" s="251"/>
      <c r="AB296771" s="251"/>
      <c r="AE296771" s="251"/>
      <c r="AH296771" s="251"/>
      <c r="AK296771" s="251"/>
    </row>
    <row r="296886" spans="25:37" x14ac:dyDescent="0.2">
      <c r="Y296886" s="5"/>
      <c r="AB296886" s="5"/>
      <c r="AE296886" s="5"/>
      <c r="AH296886" s="5"/>
      <c r="AK296886" s="5"/>
    </row>
    <row r="296896" spans="25:37" x14ac:dyDescent="0.2">
      <c r="Y296896" s="251"/>
      <c r="AB296896" s="251"/>
      <c r="AE296896" s="251"/>
      <c r="AH296896" s="251"/>
      <c r="AK296896" s="251"/>
    </row>
    <row r="297011" spans="25:37" x14ac:dyDescent="0.2">
      <c r="Y297011" s="5"/>
      <c r="AB297011" s="5"/>
      <c r="AE297011" s="5"/>
      <c r="AH297011" s="5"/>
      <c r="AK297011" s="5"/>
    </row>
    <row r="297021" spans="25:37" x14ac:dyDescent="0.2">
      <c r="Y297021" s="251"/>
      <c r="AB297021" s="251"/>
      <c r="AE297021" s="251"/>
      <c r="AH297021" s="251"/>
      <c r="AK297021" s="251"/>
    </row>
    <row r="297136" spans="25:37" x14ac:dyDescent="0.2">
      <c r="Y297136" s="5"/>
      <c r="AB297136" s="5"/>
      <c r="AE297136" s="5"/>
      <c r="AH297136" s="5"/>
      <c r="AK297136" s="5"/>
    </row>
    <row r="297146" spans="25:37" x14ac:dyDescent="0.2">
      <c r="Y297146" s="251"/>
      <c r="AB297146" s="251"/>
      <c r="AE297146" s="251"/>
      <c r="AH297146" s="251"/>
      <c r="AK297146" s="251"/>
    </row>
    <row r="297261" spans="25:37" x14ac:dyDescent="0.2">
      <c r="Y297261" s="5"/>
      <c r="AB297261" s="5"/>
      <c r="AE297261" s="5"/>
      <c r="AH297261" s="5"/>
      <c r="AK297261" s="5"/>
    </row>
    <row r="297271" spans="25:37" x14ac:dyDescent="0.2">
      <c r="Y297271" s="251"/>
      <c r="AB297271" s="251"/>
      <c r="AE297271" s="251"/>
      <c r="AH297271" s="251"/>
      <c r="AK297271" s="251"/>
    </row>
    <row r="297386" spans="25:37" x14ac:dyDescent="0.2">
      <c r="Y297386" s="5"/>
      <c r="AB297386" s="5"/>
      <c r="AE297386" s="5"/>
      <c r="AH297386" s="5"/>
      <c r="AK297386" s="5"/>
    </row>
    <row r="297396" spans="25:37" x14ac:dyDescent="0.2">
      <c r="Y297396" s="251"/>
      <c r="AB297396" s="251"/>
      <c r="AE297396" s="251"/>
      <c r="AH297396" s="251"/>
      <c r="AK297396" s="251"/>
    </row>
    <row r="297511" spans="25:37" x14ac:dyDescent="0.2">
      <c r="Y297511" s="5"/>
      <c r="AB297511" s="5"/>
      <c r="AE297511" s="5"/>
      <c r="AH297511" s="5"/>
      <c r="AK297511" s="5"/>
    </row>
    <row r="297521" spans="25:37" x14ac:dyDescent="0.2">
      <c r="Y297521" s="251"/>
      <c r="AB297521" s="251"/>
      <c r="AE297521" s="251"/>
      <c r="AH297521" s="251"/>
      <c r="AK297521" s="251"/>
    </row>
    <row r="297636" spans="25:37" x14ac:dyDescent="0.2">
      <c r="Y297636" s="5"/>
      <c r="AB297636" s="5"/>
      <c r="AE297636" s="5"/>
      <c r="AH297636" s="5"/>
      <c r="AK297636" s="5"/>
    </row>
    <row r="297646" spans="25:37" x14ac:dyDescent="0.2">
      <c r="Y297646" s="251"/>
      <c r="AB297646" s="251"/>
      <c r="AE297646" s="251"/>
      <c r="AH297646" s="251"/>
      <c r="AK297646" s="251"/>
    </row>
    <row r="297761" spans="25:37" x14ac:dyDescent="0.2">
      <c r="Y297761" s="5"/>
      <c r="AB297761" s="5"/>
      <c r="AE297761" s="5"/>
      <c r="AH297761" s="5"/>
      <c r="AK297761" s="5"/>
    </row>
    <row r="297771" spans="25:37" x14ac:dyDescent="0.2">
      <c r="Y297771" s="251"/>
      <c r="AB297771" s="251"/>
      <c r="AE297771" s="251"/>
      <c r="AH297771" s="251"/>
      <c r="AK297771" s="251"/>
    </row>
    <row r="297886" spans="25:37" x14ac:dyDescent="0.2">
      <c r="Y297886" s="5"/>
      <c r="AB297886" s="5"/>
      <c r="AE297886" s="5"/>
      <c r="AH297886" s="5"/>
      <c r="AK297886" s="5"/>
    </row>
    <row r="297896" spans="25:37" x14ac:dyDescent="0.2">
      <c r="Y297896" s="251"/>
      <c r="AB297896" s="251"/>
      <c r="AE297896" s="251"/>
      <c r="AH297896" s="251"/>
      <c r="AK297896" s="251"/>
    </row>
    <row r="298011" spans="25:37" x14ac:dyDescent="0.2">
      <c r="Y298011" s="5"/>
      <c r="AB298011" s="5"/>
      <c r="AE298011" s="5"/>
      <c r="AH298011" s="5"/>
      <c r="AK298011" s="5"/>
    </row>
    <row r="298021" spans="25:37" x14ac:dyDescent="0.2">
      <c r="Y298021" s="251"/>
      <c r="AB298021" s="251"/>
      <c r="AE298021" s="251"/>
      <c r="AH298021" s="251"/>
      <c r="AK298021" s="251"/>
    </row>
    <row r="298136" spans="25:37" x14ac:dyDescent="0.2">
      <c r="Y298136" s="5"/>
      <c r="AB298136" s="5"/>
      <c r="AE298136" s="5"/>
      <c r="AH298136" s="5"/>
      <c r="AK298136" s="5"/>
    </row>
    <row r="298146" spans="25:37" x14ac:dyDescent="0.2">
      <c r="Y298146" s="251"/>
      <c r="AB298146" s="251"/>
      <c r="AE298146" s="251"/>
      <c r="AH298146" s="251"/>
      <c r="AK298146" s="251"/>
    </row>
    <row r="298261" spans="25:37" x14ac:dyDescent="0.2">
      <c r="Y298261" s="5"/>
      <c r="AB298261" s="5"/>
      <c r="AE298261" s="5"/>
      <c r="AH298261" s="5"/>
      <c r="AK298261" s="5"/>
    </row>
    <row r="298271" spans="25:37" x14ac:dyDescent="0.2">
      <c r="Y298271" s="251"/>
      <c r="AB298271" s="251"/>
      <c r="AE298271" s="251"/>
      <c r="AH298271" s="251"/>
      <c r="AK298271" s="251"/>
    </row>
    <row r="298386" spans="25:37" x14ac:dyDescent="0.2">
      <c r="Y298386" s="5"/>
      <c r="AB298386" s="5"/>
      <c r="AE298386" s="5"/>
      <c r="AH298386" s="5"/>
      <c r="AK298386" s="5"/>
    </row>
    <row r="298396" spans="25:37" x14ac:dyDescent="0.2">
      <c r="Y298396" s="251"/>
      <c r="AB298396" s="251"/>
      <c r="AE298396" s="251"/>
      <c r="AH298396" s="251"/>
      <c r="AK298396" s="251"/>
    </row>
    <row r="298511" spans="25:37" x14ac:dyDescent="0.2">
      <c r="Y298511" s="5"/>
      <c r="AB298511" s="5"/>
      <c r="AE298511" s="5"/>
      <c r="AH298511" s="5"/>
      <c r="AK298511" s="5"/>
    </row>
    <row r="298521" spans="25:37" x14ac:dyDescent="0.2">
      <c r="Y298521" s="251"/>
      <c r="AB298521" s="251"/>
      <c r="AE298521" s="251"/>
      <c r="AH298521" s="251"/>
      <c r="AK298521" s="251"/>
    </row>
    <row r="298636" spans="25:37" x14ac:dyDescent="0.2">
      <c r="Y298636" s="5"/>
      <c r="AB298636" s="5"/>
      <c r="AE298636" s="5"/>
      <c r="AH298636" s="5"/>
      <c r="AK298636" s="5"/>
    </row>
    <row r="298646" spans="25:37" x14ac:dyDescent="0.2">
      <c r="Y298646" s="251"/>
      <c r="AB298646" s="251"/>
      <c r="AE298646" s="251"/>
      <c r="AH298646" s="251"/>
      <c r="AK298646" s="251"/>
    </row>
    <row r="298761" spans="25:37" x14ac:dyDescent="0.2">
      <c r="Y298761" s="5"/>
      <c r="AB298761" s="5"/>
      <c r="AE298761" s="5"/>
      <c r="AH298761" s="5"/>
      <c r="AK298761" s="5"/>
    </row>
    <row r="298771" spans="25:37" x14ac:dyDescent="0.2">
      <c r="Y298771" s="251"/>
      <c r="AB298771" s="251"/>
      <c r="AE298771" s="251"/>
      <c r="AH298771" s="251"/>
      <c r="AK298771" s="251"/>
    </row>
    <row r="298886" spans="25:37" x14ac:dyDescent="0.2">
      <c r="Y298886" s="5"/>
      <c r="AB298886" s="5"/>
      <c r="AE298886" s="5"/>
      <c r="AH298886" s="5"/>
      <c r="AK298886" s="5"/>
    </row>
    <row r="298896" spans="25:37" x14ac:dyDescent="0.2">
      <c r="Y298896" s="251"/>
      <c r="AB298896" s="251"/>
      <c r="AE298896" s="251"/>
      <c r="AH298896" s="251"/>
      <c r="AK298896" s="251"/>
    </row>
    <row r="299011" spans="25:37" x14ac:dyDescent="0.2">
      <c r="Y299011" s="5"/>
      <c r="AB299011" s="5"/>
      <c r="AE299011" s="5"/>
      <c r="AH299011" s="5"/>
      <c r="AK299011" s="5"/>
    </row>
    <row r="299021" spans="25:37" x14ac:dyDescent="0.2">
      <c r="Y299021" s="251"/>
      <c r="AB299021" s="251"/>
      <c r="AE299021" s="251"/>
      <c r="AH299021" s="251"/>
      <c r="AK299021" s="251"/>
    </row>
    <row r="299136" spans="25:37" x14ac:dyDescent="0.2">
      <c r="Y299136" s="5"/>
      <c r="AB299136" s="5"/>
      <c r="AE299136" s="5"/>
      <c r="AH299136" s="5"/>
      <c r="AK299136" s="5"/>
    </row>
    <row r="299146" spans="25:37" x14ac:dyDescent="0.2">
      <c r="Y299146" s="251"/>
      <c r="AB299146" s="251"/>
      <c r="AE299146" s="251"/>
      <c r="AH299146" s="251"/>
      <c r="AK299146" s="251"/>
    </row>
    <row r="299261" spans="25:37" x14ac:dyDescent="0.2">
      <c r="Y299261" s="5"/>
      <c r="AB299261" s="5"/>
      <c r="AE299261" s="5"/>
      <c r="AH299261" s="5"/>
      <c r="AK299261" s="5"/>
    </row>
    <row r="299271" spans="25:37" x14ac:dyDescent="0.2">
      <c r="Y299271" s="251"/>
      <c r="AB299271" s="251"/>
      <c r="AE299271" s="251"/>
      <c r="AH299271" s="251"/>
      <c r="AK299271" s="251"/>
    </row>
    <row r="299386" spans="25:37" x14ac:dyDescent="0.2">
      <c r="Y299386" s="5"/>
      <c r="AB299386" s="5"/>
      <c r="AE299386" s="5"/>
      <c r="AH299386" s="5"/>
      <c r="AK299386" s="5"/>
    </row>
    <row r="299396" spans="25:37" x14ac:dyDescent="0.2">
      <c r="Y299396" s="251"/>
      <c r="AB299396" s="251"/>
      <c r="AE299396" s="251"/>
      <c r="AH299396" s="251"/>
      <c r="AK299396" s="251"/>
    </row>
    <row r="299511" spans="25:37" x14ac:dyDescent="0.2">
      <c r="Y299511" s="5"/>
      <c r="AB299511" s="5"/>
      <c r="AE299511" s="5"/>
      <c r="AH299511" s="5"/>
      <c r="AK299511" s="5"/>
    </row>
    <row r="299521" spans="25:37" x14ac:dyDescent="0.2">
      <c r="Y299521" s="251"/>
      <c r="AB299521" s="251"/>
      <c r="AE299521" s="251"/>
      <c r="AH299521" s="251"/>
      <c r="AK299521" s="251"/>
    </row>
    <row r="299636" spans="25:37" x14ac:dyDescent="0.2">
      <c r="Y299636" s="5"/>
      <c r="AB299636" s="5"/>
      <c r="AE299636" s="5"/>
      <c r="AH299636" s="5"/>
      <c r="AK299636" s="5"/>
    </row>
    <row r="299646" spans="25:37" x14ac:dyDescent="0.2">
      <c r="Y299646" s="251"/>
      <c r="AB299646" s="251"/>
      <c r="AE299646" s="251"/>
      <c r="AH299646" s="251"/>
      <c r="AK299646" s="251"/>
    </row>
    <row r="299761" spans="25:37" x14ac:dyDescent="0.2">
      <c r="Y299761" s="5"/>
      <c r="AB299761" s="5"/>
      <c r="AE299761" s="5"/>
      <c r="AH299761" s="5"/>
      <c r="AK299761" s="5"/>
    </row>
    <row r="299771" spans="25:37" x14ac:dyDescent="0.2">
      <c r="Y299771" s="251"/>
      <c r="AB299771" s="251"/>
      <c r="AE299771" s="251"/>
      <c r="AH299771" s="251"/>
      <c r="AK299771" s="251"/>
    </row>
    <row r="299886" spans="25:37" x14ac:dyDescent="0.2">
      <c r="Y299886" s="5"/>
      <c r="AB299886" s="5"/>
      <c r="AE299886" s="5"/>
      <c r="AH299886" s="5"/>
      <c r="AK299886" s="5"/>
    </row>
    <row r="299896" spans="25:37" x14ac:dyDescent="0.2">
      <c r="Y299896" s="251"/>
      <c r="AB299896" s="251"/>
      <c r="AE299896" s="251"/>
      <c r="AH299896" s="251"/>
      <c r="AK299896" s="251"/>
    </row>
    <row r="300011" spans="25:37" x14ac:dyDescent="0.2">
      <c r="Y300011" s="5"/>
      <c r="AB300011" s="5"/>
      <c r="AE300011" s="5"/>
      <c r="AH300011" s="5"/>
      <c r="AK300011" s="5"/>
    </row>
    <row r="300021" spans="25:37" x14ac:dyDescent="0.2">
      <c r="Y300021" s="251"/>
      <c r="AB300021" s="251"/>
      <c r="AE300021" s="251"/>
      <c r="AH300021" s="251"/>
      <c r="AK300021" s="251"/>
    </row>
    <row r="300136" spans="25:37" x14ac:dyDescent="0.2">
      <c r="Y300136" s="5"/>
      <c r="AB300136" s="5"/>
      <c r="AE300136" s="5"/>
      <c r="AH300136" s="5"/>
      <c r="AK300136" s="5"/>
    </row>
    <row r="300146" spans="25:37" x14ac:dyDescent="0.2">
      <c r="Y300146" s="251"/>
      <c r="AB300146" s="251"/>
      <c r="AE300146" s="251"/>
      <c r="AH300146" s="251"/>
      <c r="AK300146" s="251"/>
    </row>
    <row r="300261" spans="25:37" x14ac:dyDescent="0.2">
      <c r="Y300261" s="5"/>
      <c r="AB300261" s="5"/>
      <c r="AE300261" s="5"/>
      <c r="AH300261" s="5"/>
      <c r="AK300261" s="5"/>
    </row>
    <row r="300271" spans="25:37" x14ac:dyDescent="0.2">
      <c r="Y300271" s="251"/>
      <c r="AB300271" s="251"/>
      <c r="AE300271" s="251"/>
      <c r="AH300271" s="251"/>
      <c r="AK300271" s="251"/>
    </row>
    <row r="300386" spans="25:37" x14ac:dyDescent="0.2">
      <c r="Y300386" s="5"/>
      <c r="AB300386" s="5"/>
      <c r="AE300386" s="5"/>
      <c r="AH300386" s="5"/>
      <c r="AK300386" s="5"/>
    </row>
    <row r="300396" spans="25:37" x14ac:dyDescent="0.2">
      <c r="Y300396" s="251"/>
      <c r="AB300396" s="251"/>
      <c r="AE300396" s="251"/>
      <c r="AH300396" s="251"/>
      <c r="AK300396" s="251"/>
    </row>
    <row r="300511" spans="25:37" x14ac:dyDescent="0.2">
      <c r="Y300511" s="5"/>
      <c r="AB300511" s="5"/>
      <c r="AE300511" s="5"/>
      <c r="AH300511" s="5"/>
      <c r="AK300511" s="5"/>
    </row>
    <row r="300521" spans="25:37" x14ac:dyDescent="0.2">
      <c r="Y300521" s="251"/>
      <c r="AB300521" s="251"/>
      <c r="AE300521" s="251"/>
      <c r="AH300521" s="251"/>
      <c r="AK300521" s="251"/>
    </row>
    <row r="300636" spans="25:37" x14ac:dyDescent="0.2">
      <c r="Y300636" s="5"/>
      <c r="AB300636" s="5"/>
      <c r="AE300636" s="5"/>
      <c r="AH300636" s="5"/>
      <c r="AK300636" s="5"/>
    </row>
    <row r="300646" spans="25:37" x14ac:dyDescent="0.2">
      <c r="Y300646" s="251"/>
      <c r="AB300646" s="251"/>
      <c r="AE300646" s="251"/>
      <c r="AH300646" s="251"/>
      <c r="AK300646" s="251"/>
    </row>
    <row r="300761" spans="25:37" x14ac:dyDescent="0.2">
      <c r="Y300761" s="5"/>
      <c r="AB300761" s="5"/>
      <c r="AE300761" s="5"/>
      <c r="AH300761" s="5"/>
      <c r="AK300761" s="5"/>
    </row>
    <row r="300771" spans="25:37" x14ac:dyDescent="0.2">
      <c r="Y300771" s="251"/>
      <c r="AB300771" s="251"/>
      <c r="AE300771" s="251"/>
      <c r="AH300771" s="251"/>
      <c r="AK300771" s="251"/>
    </row>
    <row r="300886" spans="25:37" x14ac:dyDescent="0.2">
      <c r="Y300886" s="5"/>
      <c r="AB300886" s="5"/>
      <c r="AE300886" s="5"/>
      <c r="AH300886" s="5"/>
      <c r="AK300886" s="5"/>
    </row>
    <row r="300896" spans="25:37" x14ac:dyDescent="0.2">
      <c r="Y300896" s="251"/>
      <c r="AB300896" s="251"/>
      <c r="AE300896" s="251"/>
      <c r="AH300896" s="251"/>
      <c r="AK300896" s="251"/>
    </row>
    <row r="301011" spans="25:37" x14ac:dyDescent="0.2">
      <c r="Y301011" s="5"/>
      <c r="AB301011" s="5"/>
      <c r="AE301011" s="5"/>
      <c r="AH301011" s="5"/>
      <c r="AK301011" s="5"/>
    </row>
    <row r="301021" spans="25:37" x14ac:dyDescent="0.2">
      <c r="Y301021" s="251"/>
      <c r="AB301021" s="251"/>
      <c r="AE301021" s="251"/>
      <c r="AH301021" s="251"/>
      <c r="AK301021" s="251"/>
    </row>
    <row r="301136" spans="25:37" x14ac:dyDescent="0.2">
      <c r="Y301136" s="5"/>
      <c r="AB301136" s="5"/>
      <c r="AE301136" s="5"/>
      <c r="AH301136" s="5"/>
      <c r="AK301136" s="5"/>
    </row>
    <row r="301146" spans="25:37" x14ac:dyDescent="0.2">
      <c r="Y301146" s="251"/>
      <c r="AB301146" s="251"/>
      <c r="AE301146" s="251"/>
      <c r="AH301146" s="251"/>
      <c r="AK301146" s="251"/>
    </row>
    <row r="301261" spans="25:37" x14ac:dyDescent="0.2">
      <c r="Y301261" s="5"/>
      <c r="AB301261" s="5"/>
      <c r="AE301261" s="5"/>
      <c r="AH301261" s="5"/>
      <c r="AK301261" s="5"/>
    </row>
    <row r="301271" spans="25:37" x14ac:dyDescent="0.2">
      <c r="Y301271" s="251"/>
      <c r="AB301271" s="251"/>
      <c r="AE301271" s="251"/>
      <c r="AH301271" s="251"/>
      <c r="AK301271" s="251"/>
    </row>
    <row r="301386" spans="25:37" x14ac:dyDescent="0.2">
      <c r="Y301386" s="5"/>
      <c r="AB301386" s="5"/>
      <c r="AE301386" s="5"/>
      <c r="AH301386" s="5"/>
      <c r="AK301386" s="5"/>
    </row>
    <row r="301396" spans="25:37" x14ac:dyDescent="0.2">
      <c r="Y301396" s="251"/>
      <c r="AB301396" s="251"/>
      <c r="AE301396" s="251"/>
      <c r="AH301396" s="251"/>
      <c r="AK301396" s="251"/>
    </row>
    <row r="301511" spans="25:37" x14ac:dyDescent="0.2">
      <c r="Y301511" s="5"/>
      <c r="AB301511" s="5"/>
      <c r="AE301511" s="5"/>
      <c r="AH301511" s="5"/>
      <c r="AK301511" s="5"/>
    </row>
    <row r="301521" spans="25:37" x14ac:dyDescent="0.2">
      <c r="Y301521" s="251"/>
      <c r="AB301521" s="251"/>
      <c r="AE301521" s="251"/>
      <c r="AH301521" s="251"/>
      <c r="AK301521" s="251"/>
    </row>
    <row r="301636" spans="25:37" x14ac:dyDescent="0.2">
      <c r="Y301636" s="5"/>
      <c r="AB301636" s="5"/>
      <c r="AE301636" s="5"/>
      <c r="AH301636" s="5"/>
      <c r="AK301636" s="5"/>
    </row>
    <row r="301646" spans="25:37" x14ac:dyDescent="0.2">
      <c r="Y301646" s="251"/>
      <c r="AB301646" s="251"/>
      <c r="AE301646" s="251"/>
      <c r="AH301646" s="251"/>
      <c r="AK301646" s="251"/>
    </row>
    <row r="301761" spans="25:37" x14ac:dyDescent="0.2">
      <c r="Y301761" s="5"/>
      <c r="AB301761" s="5"/>
      <c r="AE301761" s="5"/>
      <c r="AH301761" s="5"/>
      <c r="AK301761" s="5"/>
    </row>
    <row r="301771" spans="25:37" x14ac:dyDescent="0.2">
      <c r="Y301771" s="251"/>
      <c r="AB301771" s="251"/>
      <c r="AE301771" s="251"/>
      <c r="AH301771" s="251"/>
      <c r="AK301771" s="251"/>
    </row>
    <row r="301886" spans="25:37" x14ac:dyDescent="0.2">
      <c r="Y301886" s="5"/>
      <c r="AB301886" s="5"/>
      <c r="AE301886" s="5"/>
      <c r="AH301886" s="5"/>
      <c r="AK301886" s="5"/>
    </row>
    <row r="301896" spans="25:37" x14ac:dyDescent="0.2">
      <c r="Y301896" s="251"/>
      <c r="AB301896" s="251"/>
      <c r="AE301896" s="251"/>
      <c r="AH301896" s="251"/>
      <c r="AK301896" s="251"/>
    </row>
    <row r="302011" spans="25:37" x14ac:dyDescent="0.2">
      <c r="Y302011" s="5"/>
      <c r="AB302011" s="5"/>
      <c r="AE302011" s="5"/>
      <c r="AH302011" s="5"/>
      <c r="AK302011" s="5"/>
    </row>
    <row r="302021" spans="25:37" x14ac:dyDescent="0.2">
      <c r="Y302021" s="251"/>
      <c r="AB302021" s="251"/>
      <c r="AE302021" s="251"/>
      <c r="AH302021" s="251"/>
      <c r="AK302021" s="251"/>
    </row>
    <row r="302136" spans="25:37" x14ac:dyDescent="0.2">
      <c r="Y302136" s="5"/>
      <c r="AB302136" s="5"/>
      <c r="AE302136" s="5"/>
      <c r="AH302136" s="5"/>
      <c r="AK302136" s="5"/>
    </row>
    <row r="302146" spans="25:37" x14ac:dyDescent="0.2">
      <c r="Y302146" s="251"/>
      <c r="AB302146" s="251"/>
      <c r="AE302146" s="251"/>
      <c r="AH302146" s="251"/>
      <c r="AK302146" s="251"/>
    </row>
    <row r="302261" spans="25:37" x14ac:dyDescent="0.2">
      <c r="Y302261" s="5"/>
      <c r="AB302261" s="5"/>
      <c r="AE302261" s="5"/>
      <c r="AH302261" s="5"/>
      <c r="AK302261" s="5"/>
    </row>
    <row r="302271" spans="25:37" x14ac:dyDescent="0.2">
      <c r="Y302271" s="251"/>
      <c r="AB302271" s="251"/>
      <c r="AE302271" s="251"/>
      <c r="AH302271" s="251"/>
      <c r="AK302271" s="251"/>
    </row>
    <row r="302386" spans="25:37" x14ac:dyDescent="0.2">
      <c r="Y302386" s="5"/>
      <c r="AB302386" s="5"/>
      <c r="AE302386" s="5"/>
      <c r="AH302386" s="5"/>
      <c r="AK302386" s="5"/>
    </row>
    <row r="302396" spans="25:37" x14ac:dyDescent="0.2">
      <c r="Y302396" s="251"/>
      <c r="AB302396" s="251"/>
      <c r="AE302396" s="251"/>
      <c r="AH302396" s="251"/>
      <c r="AK302396" s="251"/>
    </row>
    <row r="302511" spans="25:37" x14ac:dyDescent="0.2">
      <c r="Y302511" s="5"/>
      <c r="AB302511" s="5"/>
      <c r="AE302511" s="5"/>
      <c r="AH302511" s="5"/>
      <c r="AK302511" s="5"/>
    </row>
    <row r="302521" spans="25:37" x14ac:dyDescent="0.2">
      <c r="Y302521" s="251"/>
      <c r="AB302521" s="251"/>
      <c r="AE302521" s="251"/>
      <c r="AH302521" s="251"/>
      <c r="AK302521" s="251"/>
    </row>
    <row r="302636" spans="25:37" x14ac:dyDescent="0.2">
      <c r="Y302636" s="5"/>
      <c r="AB302636" s="5"/>
      <c r="AE302636" s="5"/>
      <c r="AH302636" s="5"/>
      <c r="AK302636" s="5"/>
    </row>
    <row r="302646" spans="25:37" x14ac:dyDescent="0.2">
      <c r="Y302646" s="251"/>
      <c r="AB302646" s="251"/>
      <c r="AE302646" s="251"/>
      <c r="AH302646" s="251"/>
      <c r="AK302646" s="251"/>
    </row>
    <row r="302761" spans="25:37" x14ac:dyDescent="0.2">
      <c r="Y302761" s="5"/>
      <c r="AB302761" s="5"/>
      <c r="AE302761" s="5"/>
      <c r="AH302761" s="5"/>
      <c r="AK302761" s="5"/>
    </row>
    <row r="302771" spans="25:37" x14ac:dyDescent="0.2">
      <c r="Y302771" s="251"/>
      <c r="AB302771" s="251"/>
      <c r="AE302771" s="251"/>
      <c r="AH302771" s="251"/>
      <c r="AK302771" s="251"/>
    </row>
    <row r="302886" spans="25:37" x14ac:dyDescent="0.2">
      <c r="Y302886" s="5"/>
      <c r="AB302886" s="5"/>
      <c r="AE302886" s="5"/>
      <c r="AH302886" s="5"/>
      <c r="AK302886" s="5"/>
    </row>
    <row r="302896" spans="25:37" x14ac:dyDescent="0.2">
      <c r="Y302896" s="251"/>
      <c r="AB302896" s="251"/>
      <c r="AE302896" s="251"/>
      <c r="AH302896" s="251"/>
      <c r="AK302896" s="251"/>
    </row>
    <row r="303011" spans="25:37" x14ac:dyDescent="0.2">
      <c r="Y303011" s="5"/>
      <c r="AB303011" s="5"/>
      <c r="AE303011" s="5"/>
      <c r="AH303011" s="5"/>
      <c r="AK303011" s="5"/>
    </row>
    <row r="303021" spans="25:37" x14ac:dyDescent="0.2">
      <c r="Y303021" s="251"/>
      <c r="AB303021" s="251"/>
      <c r="AE303021" s="251"/>
      <c r="AH303021" s="251"/>
      <c r="AK303021" s="251"/>
    </row>
    <row r="303136" spans="25:37" x14ac:dyDescent="0.2">
      <c r="Y303136" s="5"/>
      <c r="AB303136" s="5"/>
      <c r="AE303136" s="5"/>
      <c r="AH303136" s="5"/>
      <c r="AK303136" s="5"/>
    </row>
    <row r="303146" spans="25:37" x14ac:dyDescent="0.2">
      <c r="Y303146" s="251"/>
      <c r="AB303146" s="251"/>
      <c r="AE303146" s="251"/>
      <c r="AH303146" s="251"/>
      <c r="AK303146" s="251"/>
    </row>
    <row r="303261" spans="25:37" x14ac:dyDescent="0.2">
      <c r="Y303261" s="5"/>
      <c r="AB303261" s="5"/>
      <c r="AE303261" s="5"/>
      <c r="AH303261" s="5"/>
      <c r="AK303261" s="5"/>
    </row>
    <row r="303271" spans="25:37" x14ac:dyDescent="0.2">
      <c r="Y303271" s="251"/>
      <c r="AB303271" s="251"/>
      <c r="AE303271" s="251"/>
      <c r="AH303271" s="251"/>
      <c r="AK303271" s="251"/>
    </row>
    <row r="303386" spans="25:37" x14ac:dyDescent="0.2">
      <c r="Y303386" s="5"/>
      <c r="AB303386" s="5"/>
      <c r="AE303386" s="5"/>
      <c r="AH303386" s="5"/>
      <c r="AK303386" s="5"/>
    </row>
    <row r="303396" spans="25:37" x14ac:dyDescent="0.2">
      <c r="Y303396" s="251"/>
      <c r="AB303396" s="251"/>
      <c r="AE303396" s="251"/>
      <c r="AH303396" s="251"/>
      <c r="AK303396" s="251"/>
    </row>
    <row r="303511" spans="25:37" x14ac:dyDescent="0.2">
      <c r="Y303511" s="5"/>
      <c r="AB303511" s="5"/>
      <c r="AE303511" s="5"/>
      <c r="AH303511" s="5"/>
      <c r="AK303511" s="5"/>
    </row>
    <row r="303521" spans="25:37" x14ac:dyDescent="0.2">
      <c r="Y303521" s="251"/>
      <c r="AB303521" s="251"/>
      <c r="AE303521" s="251"/>
      <c r="AH303521" s="251"/>
      <c r="AK303521" s="251"/>
    </row>
    <row r="303636" spans="25:37" x14ac:dyDescent="0.2">
      <c r="Y303636" s="5"/>
      <c r="AB303636" s="5"/>
      <c r="AE303636" s="5"/>
      <c r="AH303636" s="5"/>
      <c r="AK303636" s="5"/>
    </row>
    <row r="303646" spans="25:37" x14ac:dyDescent="0.2">
      <c r="Y303646" s="251"/>
      <c r="AB303646" s="251"/>
      <c r="AE303646" s="251"/>
      <c r="AH303646" s="251"/>
      <c r="AK303646" s="251"/>
    </row>
    <row r="303761" spans="25:37" x14ac:dyDescent="0.2">
      <c r="Y303761" s="5"/>
      <c r="AB303761" s="5"/>
      <c r="AE303761" s="5"/>
      <c r="AH303761" s="5"/>
      <c r="AK303761" s="5"/>
    </row>
    <row r="303771" spans="25:37" x14ac:dyDescent="0.2">
      <c r="Y303771" s="251"/>
      <c r="AB303771" s="251"/>
      <c r="AE303771" s="251"/>
      <c r="AH303771" s="251"/>
      <c r="AK303771" s="251"/>
    </row>
    <row r="303886" spans="25:37" x14ac:dyDescent="0.2">
      <c r="Y303886" s="5"/>
      <c r="AB303886" s="5"/>
      <c r="AE303886" s="5"/>
      <c r="AH303886" s="5"/>
      <c r="AK303886" s="5"/>
    </row>
    <row r="303896" spans="25:37" x14ac:dyDescent="0.2">
      <c r="Y303896" s="251"/>
      <c r="AB303896" s="251"/>
      <c r="AE303896" s="251"/>
      <c r="AH303896" s="251"/>
      <c r="AK303896" s="251"/>
    </row>
    <row r="304011" spans="25:37" x14ac:dyDescent="0.2">
      <c r="Y304011" s="5"/>
      <c r="AB304011" s="5"/>
      <c r="AE304011" s="5"/>
      <c r="AH304011" s="5"/>
      <c r="AK304011" s="5"/>
    </row>
    <row r="304021" spans="25:37" x14ac:dyDescent="0.2">
      <c r="Y304021" s="251"/>
      <c r="AB304021" s="251"/>
      <c r="AE304021" s="251"/>
      <c r="AH304021" s="251"/>
      <c r="AK304021" s="251"/>
    </row>
    <row r="304136" spans="25:37" x14ac:dyDescent="0.2">
      <c r="Y304136" s="5"/>
      <c r="AB304136" s="5"/>
      <c r="AE304136" s="5"/>
      <c r="AH304136" s="5"/>
      <c r="AK304136" s="5"/>
    </row>
    <row r="304146" spans="25:37" x14ac:dyDescent="0.2">
      <c r="Y304146" s="251"/>
      <c r="AB304146" s="251"/>
      <c r="AE304146" s="251"/>
      <c r="AH304146" s="251"/>
      <c r="AK304146" s="251"/>
    </row>
    <row r="304261" spans="25:37" x14ac:dyDescent="0.2">
      <c r="Y304261" s="5"/>
      <c r="AB304261" s="5"/>
      <c r="AE304261" s="5"/>
      <c r="AH304261" s="5"/>
      <c r="AK304261" s="5"/>
    </row>
    <row r="304271" spans="25:37" x14ac:dyDescent="0.2">
      <c r="Y304271" s="251"/>
      <c r="AB304271" s="251"/>
      <c r="AE304271" s="251"/>
      <c r="AH304271" s="251"/>
      <c r="AK304271" s="251"/>
    </row>
    <row r="304386" spans="25:37" x14ac:dyDescent="0.2">
      <c r="Y304386" s="5"/>
      <c r="AB304386" s="5"/>
      <c r="AE304386" s="5"/>
      <c r="AH304386" s="5"/>
      <c r="AK304386" s="5"/>
    </row>
    <row r="304396" spans="25:37" x14ac:dyDescent="0.2">
      <c r="Y304396" s="251"/>
      <c r="AB304396" s="251"/>
      <c r="AE304396" s="251"/>
      <c r="AH304396" s="251"/>
      <c r="AK304396" s="251"/>
    </row>
    <row r="304511" spans="25:37" x14ac:dyDescent="0.2">
      <c r="Y304511" s="5"/>
      <c r="AB304511" s="5"/>
      <c r="AE304511" s="5"/>
      <c r="AH304511" s="5"/>
      <c r="AK304511" s="5"/>
    </row>
    <row r="304521" spans="25:37" x14ac:dyDescent="0.2">
      <c r="Y304521" s="251"/>
      <c r="AB304521" s="251"/>
      <c r="AE304521" s="251"/>
      <c r="AH304521" s="251"/>
      <c r="AK304521" s="251"/>
    </row>
    <row r="304636" spans="25:37" x14ac:dyDescent="0.2">
      <c r="Y304636" s="5"/>
      <c r="AB304636" s="5"/>
      <c r="AE304636" s="5"/>
      <c r="AH304636" s="5"/>
      <c r="AK304636" s="5"/>
    </row>
    <row r="304646" spans="25:37" x14ac:dyDescent="0.2">
      <c r="Y304646" s="251"/>
      <c r="AB304646" s="251"/>
      <c r="AE304646" s="251"/>
      <c r="AH304646" s="251"/>
      <c r="AK304646" s="251"/>
    </row>
    <row r="304761" spans="25:37" x14ac:dyDescent="0.2">
      <c r="Y304761" s="5"/>
      <c r="AB304761" s="5"/>
      <c r="AE304761" s="5"/>
      <c r="AH304761" s="5"/>
      <c r="AK304761" s="5"/>
    </row>
    <row r="304771" spans="25:37" x14ac:dyDescent="0.2">
      <c r="Y304771" s="251"/>
      <c r="AB304771" s="251"/>
      <c r="AE304771" s="251"/>
      <c r="AH304771" s="251"/>
      <c r="AK304771" s="251"/>
    </row>
    <row r="304886" spans="25:37" x14ac:dyDescent="0.2">
      <c r="Y304886" s="5"/>
      <c r="AB304886" s="5"/>
      <c r="AE304886" s="5"/>
      <c r="AH304886" s="5"/>
      <c r="AK304886" s="5"/>
    </row>
    <row r="304896" spans="25:37" x14ac:dyDescent="0.2">
      <c r="Y304896" s="251"/>
      <c r="AB304896" s="251"/>
      <c r="AE304896" s="251"/>
      <c r="AH304896" s="251"/>
      <c r="AK304896" s="251"/>
    </row>
    <row r="305011" spans="25:37" x14ac:dyDescent="0.2">
      <c r="Y305011" s="5"/>
      <c r="AB305011" s="5"/>
      <c r="AE305011" s="5"/>
      <c r="AH305011" s="5"/>
      <c r="AK305011" s="5"/>
    </row>
    <row r="305021" spans="25:37" x14ac:dyDescent="0.2">
      <c r="Y305021" s="251"/>
      <c r="AB305021" s="251"/>
      <c r="AE305021" s="251"/>
      <c r="AH305021" s="251"/>
      <c r="AK305021" s="251"/>
    </row>
    <row r="305136" spans="25:37" x14ac:dyDescent="0.2">
      <c r="Y305136" s="5"/>
      <c r="AB305136" s="5"/>
      <c r="AE305136" s="5"/>
      <c r="AH305136" s="5"/>
      <c r="AK305136" s="5"/>
    </row>
    <row r="305146" spans="25:37" x14ac:dyDescent="0.2">
      <c r="Y305146" s="251"/>
      <c r="AB305146" s="251"/>
      <c r="AE305146" s="251"/>
      <c r="AH305146" s="251"/>
      <c r="AK305146" s="251"/>
    </row>
    <row r="305261" spans="25:37" x14ac:dyDescent="0.2">
      <c r="Y305261" s="5"/>
      <c r="AB305261" s="5"/>
      <c r="AE305261" s="5"/>
      <c r="AH305261" s="5"/>
      <c r="AK305261" s="5"/>
    </row>
    <row r="305271" spans="25:37" x14ac:dyDescent="0.2">
      <c r="Y305271" s="251"/>
      <c r="AB305271" s="251"/>
      <c r="AE305271" s="251"/>
      <c r="AH305271" s="251"/>
      <c r="AK305271" s="251"/>
    </row>
    <row r="305386" spans="25:37" x14ac:dyDescent="0.2">
      <c r="Y305386" s="5"/>
      <c r="AB305386" s="5"/>
      <c r="AE305386" s="5"/>
      <c r="AH305386" s="5"/>
      <c r="AK305386" s="5"/>
    </row>
    <row r="305396" spans="25:37" x14ac:dyDescent="0.2">
      <c r="Y305396" s="251"/>
      <c r="AB305396" s="251"/>
      <c r="AE305396" s="251"/>
      <c r="AH305396" s="251"/>
      <c r="AK305396" s="251"/>
    </row>
    <row r="305511" spans="25:37" x14ac:dyDescent="0.2">
      <c r="Y305511" s="5"/>
      <c r="AB305511" s="5"/>
      <c r="AE305511" s="5"/>
      <c r="AH305511" s="5"/>
      <c r="AK305511" s="5"/>
    </row>
    <row r="305521" spans="25:37" x14ac:dyDescent="0.2">
      <c r="Y305521" s="251"/>
      <c r="AB305521" s="251"/>
      <c r="AE305521" s="251"/>
      <c r="AH305521" s="251"/>
      <c r="AK305521" s="251"/>
    </row>
    <row r="305636" spans="25:37" x14ac:dyDescent="0.2">
      <c r="Y305636" s="5"/>
      <c r="AB305636" s="5"/>
      <c r="AE305636" s="5"/>
      <c r="AH305636" s="5"/>
      <c r="AK305636" s="5"/>
    </row>
    <row r="305646" spans="25:37" x14ac:dyDescent="0.2">
      <c r="Y305646" s="251"/>
      <c r="AB305646" s="251"/>
      <c r="AE305646" s="251"/>
      <c r="AH305646" s="251"/>
      <c r="AK305646" s="251"/>
    </row>
    <row r="305761" spans="25:37" x14ac:dyDescent="0.2">
      <c r="Y305761" s="5"/>
      <c r="AB305761" s="5"/>
      <c r="AE305761" s="5"/>
      <c r="AH305761" s="5"/>
      <c r="AK305761" s="5"/>
    </row>
    <row r="305771" spans="25:37" x14ac:dyDescent="0.2">
      <c r="Y305771" s="251"/>
      <c r="AB305771" s="251"/>
      <c r="AE305771" s="251"/>
      <c r="AH305771" s="251"/>
      <c r="AK305771" s="251"/>
    </row>
    <row r="305886" spans="25:37" x14ac:dyDescent="0.2">
      <c r="Y305886" s="5"/>
      <c r="AB305886" s="5"/>
      <c r="AE305886" s="5"/>
      <c r="AH305886" s="5"/>
      <c r="AK305886" s="5"/>
    </row>
    <row r="305896" spans="25:37" x14ac:dyDescent="0.2">
      <c r="Y305896" s="251"/>
      <c r="AB305896" s="251"/>
      <c r="AE305896" s="251"/>
      <c r="AH305896" s="251"/>
      <c r="AK305896" s="251"/>
    </row>
    <row r="306011" spans="25:37" x14ac:dyDescent="0.2">
      <c r="Y306011" s="5"/>
      <c r="AB306011" s="5"/>
      <c r="AE306011" s="5"/>
      <c r="AH306011" s="5"/>
      <c r="AK306011" s="5"/>
    </row>
    <row r="306021" spans="25:37" x14ac:dyDescent="0.2">
      <c r="Y306021" s="251"/>
      <c r="AB306021" s="251"/>
      <c r="AE306021" s="251"/>
      <c r="AH306021" s="251"/>
      <c r="AK306021" s="251"/>
    </row>
    <row r="306136" spans="25:37" x14ac:dyDescent="0.2">
      <c r="Y306136" s="5"/>
      <c r="AB306136" s="5"/>
      <c r="AE306136" s="5"/>
      <c r="AH306136" s="5"/>
      <c r="AK306136" s="5"/>
    </row>
    <row r="306146" spans="25:37" x14ac:dyDescent="0.2">
      <c r="Y306146" s="251"/>
      <c r="AB306146" s="251"/>
      <c r="AE306146" s="251"/>
      <c r="AH306146" s="251"/>
      <c r="AK306146" s="251"/>
    </row>
    <row r="306261" spans="25:37" x14ac:dyDescent="0.2">
      <c r="Y306261" s="5"/>
      <c r="AB306261" s="5"/>
      <c r="AE306261" s="5"/>
      <c r="AH306261" s="5"/>
      <c r="AK306261" s="5"/>
    </row>
    <row r="306271" spans="25:37" x14ac:dyDescent="0.2">
      <c r="Y306271" s="251"/>
      <c r="AB306271" s="251"/>
      <c r="AE306271" s="251"/>
      <c r="AH306271" s="251"/>
      <c r="AK306271" s="251"/>
    </row>
    <row r="306386" spans="25:37" x14ac:dyDescent="0.2">
      <c r="Y306386" s="5"/>
      <c r="AB306386" s="5"/>
      <c r="AE306386" s="5"/>
      <c r="AH306386" s="5"/>
      <c r="AK306386" s="5"/>
    </row>
    <row r="306396" spans="25:37" x14ac:dyDescent="0.2">
      <c r="Y306396" s="251"/>
      <c r="AB306396" s="251"/>
      <c r="AE306396" s="251"/>
      <c r="AH306396" s="251"/>
      <c r="AK306396" s="251"/>
    </row>
    <row r="306511" spans="25:37" x14ac:dyDescent="0.2">
      <c r="Y306511" s="5"/>
      <c r="AB306511" s="5"/>
      <c r="AE306511" s="5"/>
      <c r="AH306511" s="5"/>
      <c r="AK306511" s="5"/>
    </row>
    <row r="306521" spans="25:37" x14ac:dyDescent="0.2">
      <c r="Y306521" s="251"/>
      <c r="AB306521" s="251"/>
      <c r="AE306521" s="251"/>
      <c r="AH306521" s="251"/>
      <c r="AK306521" s="251"/>
    </row>
    <row r="306636" spans="25:37" x14ac:dyDescent="0.2">
      <c r="Y306636" s="5"/>
      <c r="AB306636" s="5"/>
      <c r="AE306636" s="5"/>
      <c r="AH306636" s="5"/>
      <c r="AK306636" s="5"/>
    </row>
    <row r="306646" spans="25:37" x14ac:dyDescent="0.2">
      <c r="Y306646" s="251"/>
      <c r="AB306646" s="251"/>
      <c r="AE306646" s="251"/>
      <c r="AH306646" s="251"/>
      <c r="AK306646" s="251"/>
    </row>
    <row r="306761" spans="25:37" x14ac:dyDescent="0.2">
      <c r="Y306761" s="5"/>
      <c r="AB306761" s="5"/>
      <c r="AE306761" s="5"/>
      <c r="AH306761" s="5"/>
      <c r="AK306761" s="5"/>
    </row>
    <row r="306771" spans="25:37" x14ac:dyDescent="0.2">
      <c r="Y306771" s="251"/>
      <c r="AB306771" s="251"/>
      <c r="AE306771" s="251"/>
      <c r="AH306771" s="251"/>
      <c r="AK306771" s="251"/>
    </row>
    <row r="306886" spans="25:37" x14ac:dyDescent="0.2">
      <c r="Y306886" s="5"/>
      <c r="AB306886" s="5"/>
      <c r="AE306886" s="5"/>
      <c r="AH306886" s="5"/>
      <c r="AK306886" s="5"/>
    </row>
    <row r="306896" spans="25:37" x14ac:dyDescent="0.2">
      <c r="Y306896" s="251"/>
      <c r="AB306896" s="251"/>
      <c r="AE306896" s="251"/>
      <c r="AH306896" s="251"/>
      <c r="AK306896" s="251"/>
    </row>
    <row r="307011" spans="25:37" x14ac:dyDescent="0.2">
      <c r="Y307011" s="5"/>
      <c r="AB307011" s="5"/>
      <c r="AE307011" s="5"/>
      <c r="AH307011" s="5"/>
      <c r="AK307011" s="5"/>
    </row>
    <row r="307021" spans="25:37" x14ac:dyDescent="0.2">
      <c r="Y307021" s="251"/>
      <c r="AB307021" s="251"/>
      <c r="AE307021" s="251"/>
      <c r="AH307021" s="251"/>
      <c r="AK307021" s="251"/>
    </row>
    <row r="307136" spans="25:37" x14ac:dyDescent="0.2">
      <c r="Y307136" s="5"/>
      <c r="AB307136" s="5"/>
      <c r="AE307136" s="5"/>
      <c r="AH307136" s="5"/>
      <c r="AK307136" s="5"/>
    </row>
    <row r="307146" spans="25:37" x14ac:dyDescent="0.2">
      <c r="Y307146" s="251"/>
      <c r="AB307146" s="251"/>
      <c r="AE307146" s="251"/>
      <c r="AH307146" s="251"/>
      <c r="AK307146" s="251"/>
    </row>
    <row r="307261" spans="25:37" x14ac:dyDescent="0.2">
      <c r="Y307261" s="5"/>
      <c r="AB307261" s="5"/>
      <c r="AE307261" s="5"/>
      <c r="AH307261" s="5"/>
      <c r="AK307261" s="5"/>
    </row>
    <row r="307271" spans="25:37" x14ac:dyDescent="0.2">
      <c r="Y307271" s="251"/>
      <c r="AB307271" s="251"/>
      <c r="AE307271" s="251"/>
      <c r="AH307271" s="251"/>
      <c r="AK307271" s="251"/>
    </row>
    <row r="307386" spans="25:37" x14ac:dyDescent="0.2">
      <c r="Y307386" s="5"/>
      <c r="AB307386" s="5"/>
      <c r="AE307386" s="5"/>
      <c r="AH307386" s="5"/>
      <c r="AK307386" s="5"/>
    </row>
    <row r="307396" spans="25:37" x14ac:dyDescent="0.2">
      <c r="Y307396" s="251"/>
      <c r="AB307396" s="251"/>
      <c r="AE307396" s="251"/>
      <c r="AH307396" s="251"/>
      <c r="AK307396" s="251"/>
    </row>
    <row r="307511" spans="25:37" x14ac:dyDescent="0.2">
      <c r="Y307511" s="5"/>
      <c r="AB307511" s="5"/>
      <c r="AE307511" s="5"/>
      <c r="AH307511" s="5"/>
      <c r="AK307511" s="5"/>
    </row>
    <row r="307521" spans="25:37" x14ac:dyDescent="0.2">
      <c r="Y307521" s="251"/>
      <c r="AB307521" s="251"/>
      <c r="AE307521" s="251"/>
      <c r="AH307521" s="251"/>
      <c r="AK307521" s="251"/>
    </row>
    <row r="307636" spans="25:37" x14ac:dyDescent="0.2">
      <c r="Y307636" s="5"/>
      <c r="AB307636" s="5"/>
      <c r="AE307636" s="5"/>
      <c r="AH307636" s="5"/>
      <c r="AK307636" s="5"/>
    </row>
    <row r="307646" spans="25:37" x14ac:dyDescent="0.2">
      <c r="Y307646" s="251"/>
      <c r="AB307646" s="251"/>
      <c r="AE307646" s="251"/>
      <c r="AH307646" s="251"/>
      <c r="AK307646" s="251"/>
    </row>
    <row r="307761" spans="25:37" x14ac:dyDescent="0.2">
      <c r="Y307761" s="5"/>
      <c r="AB307761" s="5"/>
      <c r="AE307761" s="5"/>
      <c r="AH307761" s="5"/>
      <c r="AK307761" s="5"/>
    </row>
    <row r="307771" spans="25:37" x14ac:dyDescent="0.2">
      <c r="Y307771" s="251"/>
      <c r="AB307771" s="251"/>
      <c r="AE307771" s="251"/>
      <c r="AH307771" s="251"/>
      <c r="AK307771" s="251"/>
    </row>
    <row r="307886" spans="25:37" x14ac:dyDescent="0.2">
      <c r="Y307886" s="5"/>
      <c r="AB307886" s="5"/>
      <c r="AE307886" s="5"/>
      <c r="AH307886" s="5"/>
      <c r="AK307886" s="5"/>
    </row>
    <row r="307896" spans="25:37" x14ac:dyDescent="0.2">
      <c r="Y307896" s="251"/>
      <c r="AB307896" s="251"/>
      <c r="AE307896" s="251"/>
      <c r="AH307896" s="251"/>
      <c r="AK307896" s="251"/>
    </row>
    <row r="308011" spans="25:37" x14ac:dyDescent="0.2">
      <c r="Y308011" s="5"/>
      <c r="AB308011" s="5"/>
      <c r="AE308011" s="5"/>
      <c r="AH308011" s="5"/>
      <c r="AK308011" s="5"/>
    </row>
    <row r="308021" spans="25:37" x14ac:dyDescent="0.2">
      <c r="Y308021" s="251"/>
      <c r="AB308021" s="251"/>
      <c r="AE308021" s="251"/>
      <c r="AH308021" s="251"/>
      <c r="AK308021" s="251"/>
    </row>
    <row r="308136" spans="25:37" x14ac:dyDescent="0.2">
      <c r="Y308136" s="5"/>
      <c r="AB308136" s="5"/>
      <c r="AE308136" s="5"/>
      <c r="AH308136" s="5"/>
      <c r="AK308136" s="5"/>
    </row>
    <row r="308146" spans="25:37" x14ac:dyDescent="0.2">
      <c r="Y308146" s="251"/>
      <c r="AB308146" s="251"/>
      <c r="AE308146" s="251"/>
      <c r="AH308146" s="251"/>
      <c r="AK308146" s="251"/>
    </row>
    <row r="308261" spans="25:37" x14ac:dyDescent="0.2">
      <c r="Y308261" s="5"/>
      <c r="AB308261" s="5"/>
      <c r="AE308261" s="5"/>
      <c r="AH308261" s="5"/>
      <c r="AK308261" s="5"/>
    </row>
    <row r="308271" spans="25:37" x14ac:dyDescent="0.2">
      <c r="Y308271" s="251"/>
      <c r="AB308271" s="251"/>
      <c r="AE308271" s="251"/>
      <c r="AH308271" s="251"/>
      <c r="AK308271" s="251"/>
    </row>
    <row r="308386" spans="25:37" x14ac:dyDescent="0.2">
      <c r="Y308386" s="5"/>
      <c r="AB308386" s="5"/>
      <c r="AE308386" s="5"/>
      <c r="AH308386" s="5"/>
      <c r="AK308386" s="5"/>
    </row>
    <row r="308396" spans="25:37" x14ac:dyDescent="0.2">
      <c r="Y308396" s="251"/>
      <c r="AB308396" s="251"/>
      <c r="AE308396" s="251"/>
      <c r="AH308396" s="251"/>
      <c r="AK308396" s="251"/>
    </row>
    <row r="308511" spans="25:37" x14ac:dyDescent="0.2">
      <c r="Y308511" s="5"/>
      <c r="AB308511" s="5"/>
      <c r="AE308511" s="5"/>
      <c r="AH308511" s="5"/>
      <c r="AK308511" s="5"/>
    </row>
    <row r="308521" spans="25:37" x14ac:dyDescent="0.2">
      <c r="Y308521" s="251"/>
      <c r="AB308521" s="251"/>
      <c r="AE308521" s="251"/>
      <c r="AH308521" s="251"/>
      <c r="AK308521" s="251"/>
    </row>
    <row r="308636" spans="25:37" x14ac:dyDescent="0.2">
      <c r="Y308636" s="5"/>
      <c r="AB308636" s="5"/>
      <c r="AE308636" s="5"/>
      <c r="AH308636" s="5"/>
      <c r="AK308636" s="5"/>
    </row>
    <row r="308646" spans="25:37" x14ac:dyDescent="0.2">
      <c r="Y308646" s="251"/>
      <c r="AB308646" s="251"/>
      <c r="AE308646" s="251"/>
      <c r="AH308646" s="251"/>
      <c r="AK308646" s="251"/>
    </row>
    <row r="308761" spans="25:37" x14ac:dyDescent="0.2">
      <c r="Y308761" s="5"/>
      <c r="AB308761" s="5"/>
      <c r="AE308761" s="5"/>
      <c r="AH308761" s="5"/>
      <c r="AK308761" s="5"/>
    </row>
    <row r="308771" spans="25:37" x14ac:dyDescent="0.2">
      <c r="Y308771" s="251"/>
      <c r="AB308771" s="251"/>
      <c r="AE308771" s="251"/>
      <c r="AH308771" s="251"/>
      <c r="AK308771" s="251"/>
    </row>
    <row r="308886" spans="25:37" x14ac:dyDescent="0.2">
      <c r="Y308886" s="5"/>
      <c r="AB308886" s="5"/>
      <c r="AE308886" s="5"/>
      <c r="AH308886" s="5"/>
      <c r="AK308886" s="5"/>
    </row>
    <row r="308896" spans="25:37" x14ac:dyDescent="0.2">
      <c r="Y308896" s="251"/>
      <c r="AB308896" s="251"/>
      <c r="AE308896" s="251"/>
      <c r="AH308896" s="251"/>
      <c r="AK308896" s="251"/>
    </row>
    <row r="309011" spans="25:37" x14ac:dyDescent="0.2">
      <c r="Y309011" s="5"/>
      <c r="AB309011" s="5"/>
      <c r="AE309011" s="5"/>
      <c r="AH309011" s="5"/>
      <c r="AK309011" s="5"/>
    </row>
    <row r="309021" spans="25:37" x14ac:dyDescent="0.2">
      <c r="Y309021" s="251"/>
      <c r="AB309021" s="251"/>
      <c r="AE309021" s="251"/>
      <c r="AH309021" s="251"/>
      <c r="AK309021" s="251"/>
    </row>
    <row r="309136" spans="25:37" x14ac:dyDescent="0.2">
      <c r="Y309136" s="5"/>
      <c r="AB309136" s="5"/>
      <c r="AE309136" s="5"/>
      <c r="AH309136" s="5"/>
      <c r="AK309136" s="5"/>
    </row>
    <row r="309146" spans="25:37" x14ac:dyDescent="0.2">
      <c r="Y309146" s="251"/>
      <c r="AB309146" s="251"/>
      <c r="AE309146" s="251"/>
      <c r="AH309146" s="251"/>
      <c r="AK309146" s="251"/>
    </row>
    <row r="309261" spans="25:37" x14ac:dyDescent="0.2">
      <c r="Y309261" s="5"/>
      <c r="AB309261" s="5"/>
      <c r="AE309261" s="5"/>
      <c r="AH309261" s="5"/>
      <c r="AK309261" s="5"/>
    </row>
    <row r="309271" spans="25:37" x14ac:dyDescent="0.2">
      <c r="Y309271" s="251"/>
      <c r="AB309271" s="251"/>
      <c r="AE309271" s="251"/>
      <c r="AH309271" s="251"/>
      <c r="AK309271" s="251"/>
    </row>
    <row r="309386" spans="25:37" x14ac:dyDescent="0.2">
      <c r="Y309386" s="5"/>
      <c r="AB309386" s="5"/>
      <c r="AE309386" s="5"/>
      <c r="AH309386" s="5"/>
      <c r="AK309386" s="5"/>
    </row>
    <row r="309396" spans="25:37" x14ac:dyDescent="0.2">
      <c r="Y309396" s="251"/>
      <c r="AB309396" s="251"/>
      <c r="AE309396" s="251"/>
      <c r="AH309396" s="251"/>
      <c r="AK309396" s="251"/>
    </row>
    <row r="309511" spans="25:37" x14ac:dyDescent="0.2">
      <c r="Y309511" s="5"/>
      <c r="AB309511" s="5"/>
      <c r="AE309511" s="5"/>
      <c r="AH309511" s="5"/>
      <c r="AK309511" s="5"/>
    </row>
    <row r="309521" spans="25:37" x14ac:dyDescent="0.2">
      <c r="Y309521" s="251"/>
      <c r="AB309521" s="251"/>
      <c r="AE309521" s="251"/>
      <c r="AH309521" s="251"/>
      <c r="AK309521" s="251"/>
    </row>
    <row r="309636" spans="25:37" x14ac:dyDescent="0.2">
      <c r="Y309636" s="5"/>
      <c r="AB309636" s="5"/>
      <c r="AE309636" s="5"/>
      <c r="AH309636" s="5"/>
      <c r="AK309636" s="5"/>
    </row>
    <row r="309646" spans="25:37" x14ac:dyDescent="0.2">
      <c r="Y309646" s="251"/>
      <c r="AB309646" s="251"/>
      <c r="AE309646" s="251"/>
      <c r="AH309646" s="251"/>
      <c r="AK309646" s="251"/>
    </row>
    <row r="309761" spans="25:37" x14ac:dyDescent="0.2">
      <c r="Y309761" s="5"/>
      <c r="AB309761" s="5"/>
      <c r="AE309761" s="5"/>
      <c r="AH309761" s="5"/>
      <c r="AK309761" s="5"/>
    </row>
    <row r="309771" spans="25:37" x14ac:dyDescent="0.2">
      <c r="Y309771" s="251"/>
      <c r="AB309771" s="251"/>
      <c r="AE309771" s="251"/>
      <c r="AH309771" s="251"/>
      <c r="AK309771" s="251"/>
    </row>
    <row r="309886" spans="25:37" x14ac:dyDescent="0.2">
      <c r="Y309886" s="5"/>
      <c r="AB309886" s="5"/>
      <c r="AE309886" s="5"/>
      <c r="AH309886" s="5"/>
      <c r="AK309886" s="5"/>
    </row>
    <row r="309896" spans="25:37" x14ac:dyDescent="0.2">
      <c r="Y309896" s="251"/>
      <c r="AB309896" s="251"/>
      <c r="AE309896" s="251"/>
      <c r="AH309896" s="251"/>
      <c r="AK309896" s="251"/>
    </row>
    <row r="310011" spans="25:37" x14ac:dyDescent="0.2">
      <c r="Y310011" s="5"/>
      <c r="AB310011" s="5"/>
      <c r="AE310011" s="5"/>
      <c r="AH310011" s="5"/>
      <c r="AK310011" s="5"/>
    </row>
    <row r="310021" spans="25:37" x14ac:dyDescent="0.2">
      <c r="Y310021" s="251"/>
      <c r="AB310021" s="251"/>
      <c r="AE310021" s="251"/>
      <c r="AH310021" s="251"/>
      <c r="AK310021" s="251"/>
    </row>
    <row r="310136" spans="25:37" x14ac:dyDescent="0.2">
      <c r="Y310136" s="5"/>
      <c r="AB310136" s="5"/>
      <c r="AE310136" s="5"/>
      <c r="AH310136" s="5"/>
      <c r="AK310136" s="5"/>
    </row>
    <row r="310146" spans="25:37" x14ac:dyDescent="0.2">
      <c r="Y310146" s="251"/>
      <c r="AB310146" s="251"/>
      <c r="AE310146" s="251"/>
      <c r="AH310146" s="251"/>
      <c r="AK310146" s="251"/>
    </row>
    <row r="310261" spans="25:37" x14ac:dyDescent="0.2">
      <c r="Y310261" s="5"/>
      <c r="AB310261" s="5"/>
      <c r="AE310261" s="5"/>
      <c r="AH310261" s="5"/>
      <c r="AK310261" s="5"/>
    </row>
    <row r="310271" spans="25:37" x14ac:dyDescent="0.2">
      <c r="Y310271" s="251"/>
      <c r="AB310271" s="251"/>
      <c r="AE310271" s="251"/>
      <c r="AH310271" s="251"/>
      <c r="AK310271" s="251"/>
    </row>
    <row r="310386" spans="25:37" x14ac:dyDescent="0.2">
      <c r="Y310386" s="5"/>
      <c r="AB310386" s="5"/>
      <c r="AE310386" s="5"/>
      <c r="AH310386" s="5"/>
      <c r="AK310386" s="5"/>
    </row>
    <row r="310396" spans="25:37" x14ac:dyDescent="0.2">
      <c r="Y310396" s="251"/>
      <c r="AB310396" s="251"/>
      <c r="AE310396" s="251"/>
      <c r="AH310396" s="251"/>
      <c r="AK310396" s="251"/>
    </row>
    <row r="310511" spans="25:37" x14ac:dyDescent="0.2">
      <c r="Y310511" s="5"/>
      <c r="AB310511" s="5"/>
      <c r="AE310511" s="5"/>
      <c r="AH310511" s="5"/>
      <c r="AK310511" s="5"/>
    </row>
    <row r="310521" spans="25:37" x14ac:dyDescent="0.2">
      <c r="Y310521" s="251"/>
      <c r="AB310521" s="251"/>
      <c r="AE310521" s="251"/>
      <c r="AH310521" s="251"/>
      <c r="AK310521" s="251"/>
    </row>
    <row r="310636" spans="25:37" x14ac:dyDescent="0.2">
      <c r="Y310636" s="5"/>
      <c r="AB310636" s="5"/>
      <c r="AE310636" s="5"/>
      <c r="AH310636" s="5"/>
      <c r="AK310636" s="5"/>
    </row>
    <row r="310646" spans="25:37" x14ac:dyDescent="0.2">
      <c r="Y310646" s="251"/>
      <c r="AB310646" s="251"/>
      <c r="AE310646" s="251"/>
      <c r="AH310646" s="251"/>
      <c r="AK310646" s="251"/>
    </row>
    <row r="310761" spans="25:37" x14ac:dyDescent="0.2">
      <c r="Y310761" s="5"/>
      <c r="AB310761" s="5"/>
      <c r="AE310761" s="5"/>
      <c r="AH310761" s="5"/>
      <c r="AK310761" s="5"/>
    </row>
    <row r="310771" spans="25:37" x14ac:dyDescent="0.2">
      <c r="Y310771" s="251"/>
      <c r="AB310771" s="251"/>
      <c r="AE310771" s="251"/>
      <c r="AH310771" s="251"/>
      <c r="AK310771" s="251"/>
    </row>
    <row r="310886" spans="25:37" x14ac:dyDescent="0.2">
      <c r="Y310886" s="5"/>
      <c r="AB310886" s="5"/>
      <c r="AE310886" s="5"/>
      <c r="AH310886" s="5"/>
      <c r="AK310886" s="5"/>
    </row>
    <row r="310896" spans="25:37" x14ac:dyDescent="0.2">
      <c r="Y310896" s="251"/>
      <c r="AB310896" s="251"/>
      <c r="AE310896" s="251"/>
      <c r="AH310896" s="251"/>
      <c r="AK310896" s="251"/>
    </row>
    <row r="311011" spans="25:37" x14ac:dyDescent="0.2">
      <c r="Y311011" s="5"/>
      <c r="AB311011" s="5"/>
      <c r="AE311011" s="5"/>
      <c r="AH311011" s="5"/>
      <c r="AK311011" s="5"/>
    </row>
    <row r="311021" spans="25:37" x14ac:dyDescent="0.2">
      <c r="Y311021" s="251"/>
      <c r="AB311021" s="251"/>
      <c r="AE311021" s="251"/>
      <c r="AH311021" s="251"/>
      <c r="AK311021" s="251"/>
    </row>
    <row r="311136" spans="25:37" x14ac:dyDescent="0.2">
      <c r="Y311136" s="5"/>
      <c r="AB311136" s="5"/>
      <c r="AE311136" s="5"/>
      <c r="AH311136" s="5"/>
      <c r="AK311136" s="5"/>
    </row>
    <row r="311146" spans="25:37" x14ac:dyDescent="0.2">
      <c r="Y311146" s="251"/>
      <c r="AB311146" s="251"/>
      <c r="AE311146" s="251"/>
      <c r="AH311146" s="251"/>
      <c r="AK311146" s="251"/>
    </row>
    <row r="311261" spans="25:37" x14ac:dyDescent="0.2">
      <c r="Y311261" s="5"/>
      <c r="AB311261" s="5"/>
      <c r="AE311261" s="5"/>
      <c r="AH311261" s="5"/>
      <c r="AK311261" s="5"/>
    </row>
    <row r="311271" spans="25:37" x14ac:dyDescent="0.2">
      <c r="Y311271" s="251"/>
      <c r="AB311271" s="251"/>
      <c r="AE311271" s="251"/>
      <c r="AH311271" s="251"/>
      <c r="AK311271" s="251"/>
    </row>
    <row r="311386" spans="25:37" x14ac:dyDescent="0.2">
      <c r="Y311386" s="5"/>
      <c r="AB311386" s="5"/>
      <c r="AE311386" s="5"/>
      <c r="AH311386" s="5"/>
      <c r="AK311386" s="5"/>
    </row>
    <row r="311396" spans="25:37" x14ac:dyDescent="0.2">
      <c r="Y311396" s="251"/>
      <c r="AB311396" s="251"/>
      <c r="AE311396" s="251"/>
      <c r="AH311396" s="251"/>
      <c r="AK311396" s="251"/>
    </row>
    <row r="311511" spans="25:37" x14ac:dyDescent="0.2">
      <c r="Y311511" s="5"/>
      <c r="AB311511" s="5"/>
      <c r="AE311511" s="5"/>
      <c r="AH311511" s="5"/>
      <c r="AK311511" s="5"/>
    </row>
    <row r="311521" spans="25:37" x14ac:dyDescent="0.2">
      <c r="Y311521" s="251"/>
      <c r="AB311521" s="251"/>
      <c r="AE311521" s="251"/>
      <c r="AH311521" s="251"/>
      <c r="AK311521" s="251"/>
    </row>
    <row r="311636" spans="25:37" x14ac:dyDescent="0.2">
      <c r="Y311636" s="5"/>
      <c r="AB311636" s="5"/>
      <c r="AE311636" s="5"/>
      <c r="AH311636" s="5"/>
      <c r="AK311636" s="5"/>
    </row>
    <row r="311646" spans="25:37" x14ac:dyDescent="0.2">
      <c r="Y311646" s="251"/>
      <c r="AB311646" s="251"/>
      <c r="AE311646" s="251"/>
      <c r="AH311646" s="251"/>
      <c r="AK311646" s="251"/>
    </row>
    <row r="311761" spans="25:37" x14ac:dyDescent="0.2">
      <c r="Y311761" s="5"/>
      <c r="AB311761" s="5"/>
      <c r="AE311761" s="5"/>
      <c r="AH311761" s="5"/>
      <c r="AK311761" s="5"/>
    </row>
    <row r="311771" spans="25:37" x14ac:dyDescent="0.2">
      <c r="Y311771" s="251"/>
      <c r="AB311771" s="251"/>
      <c r="AE311771" s="251"/>
      <c r="AH311771" s="251"/>
      <c r="AK311771" s="251"/>
    </row>
    <row r="311886" spans="25:37" x14ac:dyDescent="0.2">
      <c r="Y311886" s="5"/>
      <c r="AB311886" s="5"/>
      <c r="AE311886" s="5"/>
      <c r="AH311886" s="5"/>
      <c r="AK311886" s="5"/>
    </row>
    <row r="311896" spans="25:37" x14ac:dyDescent="0.2">
      <c r="Y311896" s="251"/>
      <c r="AB311896" s="251"/>
      <c r="AE311896" s="251"/>
      <c r="AH311896" s="251"/>
      <c r="AK311896" s="251"/>
    </row>
    <row r="312011" spans="25:37" x14ac:dyDescent="0.2">
      <c r="Y312011" s="5"/>
      <c r="AB312011" s="5"/>
      <c r="AE312011" s="5"/>
      <c r="AH312011" s="5"/>
      <c r="AK312011" s="5"/>
    </row>
    <row r="312021" spans="25:37" x14ac:dyDescent="0.2">
      <c r="Y312021" s="251"/>
      <c r="AB312021" s="251"/>
      <c r="AE312021" s="251"/>
      <c r="AH312021" s="251"/>
      <c r="AK312021" s="251"/>
    </row>
    <row r="312136" spans="25:37" x14ac:dyDescent="0.2">
      <c r="Y312136" s="5"/>
      <c r="AB312136" s="5"/>
      <c r="AE312136" s="5"/>
      <c r="AH312136" s="5"/>
      <c r="AK312136" s="5"/>
    </row>
    <row r="312146" spans="25:37" x14ac:dyDescent="0.2">
      <c r="Y312146" s="251"/>
      <c r="AB312146" s="251"/>
      <c r="AE312146" s="251"/>
      <c r="AH312146" s="251"/>
      <c r="AK312146" s="251"/>
    </row>
    <row r="312261" spans="25:37" x14ac:dyDescent="0.2">
      <c r="Y312261" s="5"/>
      <c r="AB312261" s="5"/>
      <c r="AE312261" s="5"/>
      <c r="AH312261" s="5"/>
      <c r="AK312261" s="5"/>
    </row>
    <row r="312271" spans="25:37" x14ac:dyDescent="0.2">
      <c r="Y312271" s="251"/>
      <c r="AB312271" s="251"/>
      <c r="AE312271" s="251"/>
      <c r="AH312271" s="251"/>
      <c r="AK312271" s="251"/>
    </row>
    <row r="312386" spans="25:37" x14ac:dyDescent="0.2">
      <c r="Y312386" s="5"/>
      <c r="AB312386" s="5"/>
      <c r="AE312386" s="5"/>
      <c r="AH312386" s="5"/>
      <c r="AK312386" s="5"/>
    </row>
    <row r="312396" spans="25:37" x14ac:dyDescent="0.2">
      <c r="Y312396" s="251"/>
      <c r="AB312396" s="251"/>
      <c r="AE312396" s="251"/>
      <c r="AH312396" s="251"/>
      <c r="AK312396" s="251"/>
    </row>
    <row r="312511" spans="25:37" x14ac:dyDescent="0.2">
      <c r="Y312511" s="5"/>
      <c r="AB312511" s="5"/>
      <c r="AE312511" s="5"/>
      <c r="AH312511" s="5"/>
      <c r="AK312511" s="5"/>
    </row>
    <row r="312521" spans="25:37" x14ac:dyDescent="0.2">
      <c r="Y312521" s="251"/>
      <c r="AB312521" s="251"/>
      <c r="AE312521" s="251"/>
      <c r="AH312521" s="251"/>
      <c r="AK312521" s="251"/>
    </row>
    <row r="312636" spans="25:37" x14ac:dyDescent="0.2">
      <c r="Y312636" s="5"/>
      <c r="AB312636" s="5"/>
      <c r="AE312636" s="5"/>
      <c r="AH312636" s="5"/>
      <c r="AK312636" s="5"/>
    </row>
    <row r="312646" spans="25:37" x14ac:dyDescent="0.2">
      <c r="Y312646" s="251"/>
      <c r="AB312646" s="251"/>
      <c r="AE312646" s="251"/>
      <c r="AH312646" s="251"/>
      <c r="AK312646" s="251"/>
    </row>
    <row r="312761" spans="25:37" x14ac:dyDescent="0.2">
      <c r="Y312761" s="5"/>
      <c r="AB312761" s="5"/>
      <c r="AE312761" s="5"/>
      <c r="AH312761" s="5"/>
      <c r="AK312761" s="5"/>
    </row>
    <row r="312771" spans="25:37" x14ac:dyDescent="0.2">
      <c r="Y312771" s="251"/>
      <c r="AB312771" s="251"/>
      <c r="AE312771" s="251"/>
      <c r="AH312771" s="251"/>
      <c r="AK312771" s="251"/>
    </row>
    <row r="312886" spans="25:37" x14ac:dyDescent="0.2">
      <c r="Y312886" s="5"/>
      <c r="AB312886" s="5"/>
      <c r="AE312886" s="5"/>
      <c r="AH312886" s="5"/>
      <c r="AK312886" s="5"/>
    </row>
    <row r="312896" spans="25:37" x14ac:dyDescent="0.2">
      <c r="Y312896" s="251"/>
      <c r="AB312896" s="251"/>
      <c r="AE312896" s="251"/>
      <c r="AH312896" s="251"/>
      <c r="AK312896" s="251"/>
    </row>
    <row r="313011" spans="25:37" x14ac:dyDescent="0.2">
      <c r="Y313011" s="5"/>
      <c r="AB313011" s="5"/>
      <c r="AE313011" s="5"/>
      <c r="AH313011" s="5"/>
      <c r="AK313011" s="5"/>
    </row>
    <row r="313021" spans="25:37" x14ac:dyDescent="0.2">
      <c r="Y313021" s="251"/>
      <c r="AB313021" s="251"/>
      <c r="AE313021" s="251"/>
      <c r="AH313021" s="251"/>
      <c r="AK313021" s="251"/>
    </row>
    <row r="313136" spans="25:37" x14ac:dyDescent="0.2">
      <c r="Y313136" s="5"/>
      <c r="AB313136" s="5"/>
      <c r="AE313136" s="5"/>
      <c r="AH313136" s="5"/>
      <c r="AK313136" s="5"/>
    </row>
    <row r="313146" spans="25:37" x14ac:dyDescent="0.2">
      <c r="Y313146" s="251"/>
      <c r="AB313146" s="251"/>
      <c r="AE313146" s="251"/>
      <c r="AH313146" s="251"/>
      <c r="AK313146" s="251"/>
    </row>
    <row r="313261" spans="25:37" x14ac:dyDescent="0.2">
      <c r="Y313261" s="5"/>
      <c r="AB313261" s="5"/>
      <c r="AE313261" s="5"/>
      <c r="AH313261" s="5"/>
      <c r="AK313261" s="5"/>
    </row>
    <row r="313271" spans="25:37" x14ac:dyDescent="0.2">
      <c r="Y313271" s="251"/>
      <c r="AB313271" s="251"/>
      <c r="AE313271" s="251"/>
      <c r="AH313271" s="251"/>
      <c r="AK313271" s="251"/>
    </row>
    <row r="313386" spans="25:37" x14ac:dyDescent="0.2">
      <c r="Y313386" s="5"/>
      <c r="AB313386" s="5"/>
      <c r="AE313386" s="5"/>
      <c r="AH313386" s="5"/>
      <c r="AK313386" s="5"/>
    </row>
    <row r="313396" spans="25:37" x14ac:dyDescent="0.2">
      <c r="Y313396" s="251"/>
      <c r="AB313396" s="251"/>
      <c r="AE313396" s="251"/>
      <c r="AH313396" s="251"/>
      <c r="AK313396" s="251"/>
    </row>
    <row r="313511" spans="25:37" x14ac:dyDescent="0.2">
      <c r="Y313511" s="5"/>
      <c r="AB313511" s="5"/>
      <c r="AE313511" s="5"/>
      <c r="AH313511" s="5"/>
      <c r="AK313511" s="5"/>
    </row>
    <row r="313521" spans="25:37" x14ac:dyDescent="0.2">
      <c r="Y313521" s="251"/>
      <c r="AB313521" s="251"/>
      <c r="AE313521" s="251"/>
      <c r="AH313521" s="251"/>
      <c r="AK313521" s="251"/>
    </row>
    <row r="313636" spans="25:37" x14ac:dyDescent="0.2">
      <c r="Y313636" s="5"/>
      <c r="AB313636" s="5"/>
      <c r="AE313636" s="5"/>
      <c r="AH313636" s="5"/>
      <c r="AK313636" s="5"/>
    </row>
    <row r="313646" spans="25:37" x14ac:dyDescent="0.2">
      <c r="Y313646" s="251"/>
      <c r="AB313646" s="251"/>
      <c r="AE313646" s="251"/>
      <c r="AH313646" s="251"/>
      <c r="AK313646" s="251"/>
    </row>
    <row r="313761" spans="25:37" x14ac:dyDescent="0.2">
      <c r="Y313761" s="5"/>
      <c r="AB313761" s="5"/>
      <c r="AE313761" s="5"/>
      <c r="AH313761" s="5"/>
      <c r="AK313761" s="5"/>
    </row>
    <row r="313771" spans="25:37" x14ac:dyDescent="0.2">
      <c r="Y313771" s="251"/>
      <c r="AB313771" s="251"/>
      <c r="AE313771" s="251"/>
      <c r="AH313771" s="251"/>
      <c r="AK313771" s="251"/>
    </row>
    <row r="313886" spans="25:37" x14ac:dyDescent="0.2">
      <c r="Y313886" s="5"/>
      <c r="AB313886" s="5"/>
      <c r="AE313886" s="5"/>
      <c r="AH313886" s="5"/>
      <c r="AK313886" s="5"/>
    </row>
    <row r="313896" spans="25:37" x14ac:dyDescent="0.2">
      <c r="Y313896" s="251"/>
      <c r="AB313896" s="251"/>
      <c r="AE313896" s="251"/>
      <c r="AH313896" s="251"/>
      <c r="AK313896" s="251"/>
    </row>
    <row r="314011" spans="25:37" x14ac:dyDescent="0.2">
      <c r="Y314011" s="5"/>
      <c r="AB314011" s="5"/>
      <c r="AE314011" s="5"/>
      <c r="AH314011" s="5"/>
      <c r="AK314011" s="5"/>
    </row>
    <row r="314021" spans="25:37" x14ac:dyDescent="0.2">
      <c r="Y314021" s="251"/>
      <c r="AB314021" s="251"/>
      <c r="AE314021" s="251"/>
      <c r="AH314021" s="251"/>
      <c r="AK314021" s="251"/>
    </row>
    <row r="314136" spans="25:37" x14ac:dyDescent="0.2">
      <c r="Y314136" s="5"/>
      <c r="AB314136" s="5"/>
      <c r="AE314136" s="5"/>
      <c r="AH314136" s="5"/>
      <c r="AK314136" s="5"/>
    </row>
    <row r="314146" spans="25:37" x14ac:dyDescent="0.2">
      <c r="Y314146" s="251"/>
      <c r="AB314146" s="251"/>
      <c r="AE314146" s="251"/>
      <c r="AH314146" s="251"/>
      <c r="AK314146" s="251"/>
    </row>
    <row r="314261" spans="25:37" x14ac:dyDescent="0.2">
      <c r="Y314261" s="5"/>
      <c r="AB314261" s="5"/>
      <c r="AE314261" s="5"/>
      <c r="AH314261" s="5"/>
      <c r="AK314261" s="5"/>
    </row>
    <row r="314271" spans="25:37" x14ac:dyDescent="0.2">
      <c r="Y314271" s="251"/>
      <c r="AB314271" s="251"/>
      <c r="AE314271" s="251"/>
      <c r="AH314271" s="251"/>
      <c r="AK314271" s="251"/>
    </row>
    <row r="314386" spans="25:37" x14ac:dyDescent="0.2">
      <c r="Y314386" s="5"/>
      <c r="AB314386" s="5"/>
      <c r="AE314386" s="5"/>
      <c r="AH314386" s="5"/>
      <c r="AK314386" s="5"/>
    </row>
    <row r="314396" spans="25:37" x14ac:dyDescent="0.2">
      <c r="Y314396" s="251"/>
      <c r="AB314396" s="251"/>
      <c r="AE314396" s="251"/>
      <c r="AH314396" s="251"/>
      <c r="AK314396" s="251"/>
    </row>
    <row r="314511" spans="25:37" x14ac:dyDescent="0.2">
      <c r="Y314511" s="5"/>
      <c r="AB314511" s="5"/>
      <c r="AE314511" s="5"/>
      <c r="AH314511" s="5"/>
      <c r="AK314511" s="5"/>
    </row>
    <row r="314521" spans="25:37" x14ac:dyDescent="0.2">
      <c r="Y314521" s="251"/>
      <c r="AB314521" s="251"/>
      <c r="AE314521" s="251"/>
      <c r="AH314521" s="251"/>
      <c r="AK314521" s="251"/>
    </row>
    <row r="314636" spans="25:37" x14ac:dyDescent="0.2">
      <c r="Y314636" s="5"/>
      <c r="AB314636" s="5"/>
      <c r="AE314636" s="5"/>
      <c r="AH314636" s="5"/>
      <c r="AK314636" s="5"/>
    </row>
    <row r="314646" spans="25:37" x14ac:dyDescent="0.2">
      <c r="Y314646" s="251"/>
      <c r="AB314646" s="251"/>
      <c r="AE314646" s="251"/>
      <c r="AH314646" s="251"/>
      <c r="AK314646" s="251"/>
    </row>
    <row r="314761" spans="25:37" x14ac:dyDescent="0.2">
      <c r="Y314761" s="5"/>
      <c r="AB314761" s="5"/>
      <c r="AE314761" s="5"/>
      <c r="AH314761" s="5"/>
      <c r="AK314761" s="5"/>
    </row>
    <row r="314771" spans="25:37" x14ac:dyDescent="0.2">
      <c r="Y314771" s="251"/>
      <c r="AB314771" s="251"/>
      <c r="AE314771" s="251"/>
      <c r="AH314771" s="251"/>
      <c r="AK314771" s="251"/>
    </row>
    <row r="314886" spans="25:37" x14ac:dyDescent="0.2">
      <c r="Y314886" s="5"/>
      <c r="AB314886" s="5"/>
      <c r="AE314886" s="5"/>
      <c r="AH314886" s="5"/>
      <c r="AK314886" s="5"/>
    </row>
    <row r="314896" spans="25:37" x14ac:dyDescent="0.2">
      <c r="Y314896" s="251"/>
      <c r="AB314896" s="251"/>
      <c r="AE314896" s="251"/>
      <c r="AH314896" s="251"/>
      <c r="AK314896" s="251"/>
    </row>
    <row r="315011" spans="25:37" x14ac:dyDescent="0.2">
      <c r="Y315011" s="5"/>
      <c r="AB315011" s="5"/>
      <c r="AE315011" s="5"/>
      <c r="AH315011" s="5"/>
      <c r="AK315011" s="5"/>
    </row>
    <row r="315021" spans="25:37" x14ac:dyDescent="0.2">
      <c r="Y315021" s="251"/>
      <c r="AB315021" s="251"/>
      <c r="AE315021" s="251"/>
      <c r="AH315021" s="251"/>
      <c r="AK315021" s="251"/>
    </row>
    <row r="315136" spans="25:37" x14ac:dyDescent="0.2">
      <c r="Y315136" s="5"/>
      <c r="AB315136" s="5"/>
      <c r="AE315136" s="5"/>
      <c r="AH315136" s="5"/>
      <c r="AK315136" s="5"/>
    </row>
    <row r="315146" spans="25:37" x14ac:dyDescent="0.2">
      <c r="Y315146" s="251"/>
      <c r="AB315146" s="251"/>
      <c r="AE315146" s="251"/>
      <c r="AH315146" s="251"/>
      <c r="AK315146" s="251"/>
    </row>
    <row r="315261" spans="25:37" x14ac:dyDescent="0.2">
      <c r="Y315261" s="5"/>
      <c r="AB315261" s="5"/>
      <c r="AE315261" s="5"/>
      <c r="AH315261" s="5"/>
      <c r="AK315261" s="5"/>
    </row>
    <row r="315271" spans="25:37" x14ac:dyDescent="0.2">
      <c r="Y315271" s="251"/>
      <c r="AB315271" s="251"/>
      <c r="AE315271" s="251"/>
      <c r="AH315271" s="251"/>
      <c r="AK315271" s="251"/>
    </row>
    <row r="315386" spans="25:37" x14ac:dyDescent="0.2">
      <c r="Y315386" s="5"/>
      <c r="AB315386" s="5"/>
      <c r="AE315386" s="5"/>
      <c r="AH315386" s="5"/>
      <c r="AK315386" s="5"/>
    </row>
    <row r="315396" spans="25:37" x14ac:dyDescent="0.2">
      <c r="Y315396" s="251"/>
      <c r="AB315396" s="251"/>
      <c r="AE315396" s="251"/>
      <c r="AH315396" s="251"/>
      <c r="AK315396" s="251"/>
    </row>
    <row r="315511" spans="25:37" x14ac:dyDescent="0.2">
      <c r="Y315511" s="5"/>
      <c r="AB315511" s="5"/>
      <c r="AE315511" s="5"/>
      <c r="AH315511" s="5"/>
      <c r="AK315511" s="5"/>
    </row>
    <row r="315521" spans="25:37" x14ac:dyDescent="0.2">
      <c r="Y315521" s="251"/>
      <c r="AB315521" s="251"/>
      <c r="AE315521" s="251"/>
      <c r="AH315521" s="251"/>
      <c r="AK315521" s="251"/>
    </row>
    <row r="315636" spans="25:37" x14ac:dyDescent="0.2">
      <c r="Y315636" s="5"/>
      <c r="AB315636" s="5"/>
      <c r="AE315636" s="5"/>
      <c r="AH315636" s="5"/>
      <c r="AK315636" s="5"/>
    </row>
    <row r="315646" spans="25:37" x14ac:dyDescent="0.2">
      <c r="Y315646" s="251"/>
      <c r="AB315646" s="251"/>
      <c r="AE315646" s="251"/>
      <c r="AH315646" s="251"/>
      <c r="AK315646" s="251"/>
    </row>
    <row r="315761" spans="25:37" x14ac:dyDescent="0.2">
      <c r="Y315761" s="5"/>
      <c r="AB315761" s="5"/>
      <c r="AE315761" s="5"/>
      <c r="AH315761" s="5"/>
      <c r="AK315761" s="5"/>
    </row>
    <row r="315771" spans="25:37" x14ac:dyDescent="0.2">
      <c r="Y315771" s="251"/>
      <c r="AB315771" s="251"/>
      <c r="AE315771" s="251"/>
      <c r="AH315771" s="251"/>
      <c r="AK315771" s="251"/>
    </row>
    <row r="315886" spans="25:37" x14ac:dyDescent="0.2">
      <c r="Y315886" s="5"/>
      <c r="AB315886" s="5"/>
      <c r="AE315886" s="5"/>
      <c r="AH315886" s="5"/>
      <c r="AK315886" s="5"/>
    </row>
    <row r="315896" spans="25:37" x14ac:dyDescent="0.2">
      <c r="Y315896" s="251"/>
      <c r="AB315896" s="251"/>
      <c r="AE315896" s="251"/>
      <c r="AH315896" s="251"/>
      <c r="AK315896" s="251"/>
    </row>
    <row r="316011" spans="25:37" x14ac:dyDescent="0.2">
      <c r="Y316011" s="5"/>
      <c r="AB316011" s="5"/>
      <c r="AE316011" s="5"/>
      <c r="AH316011" s="5"/>
      <c r="AK316011" s="5"/>
    </row>
    <row r="316021" spans="25:37" x14ac:dyDescent="0.2">
      <c r="Y316021" s="251"/>
      <c r="AB316021" s="251"/>
      <c r="AE316021" s="251"/>
      <c r="AH316021" s="251"/>
      <c r="AK316021" s="251"/>
    </row>
    <row r="316136" spans="25:37" x14ac:dyDescent="0.2">
      <c r="Y316136" s="5"/>
      <c r="AB316136" s="5"/>
      <c r="AE316136" s="5"/>
      <c r="AH316136" s="5"/>
      <c r="AK316136" s="5"/>
    </row>
    <row r="316146" spans="25:37" x14ac:dyDescent="0.2">
      <c r="Y316146" s="251"/>
      <c r="AB316146" s="251"/>
      <c r="AE316146" s="251"/>
      <c r="AH316146" s="251"/>
      <c r="AK316146" s="251"/>
    </row>
    <row r="316261" spans="25:37" x14ac:dyDescent="0.2">
      <c r="Y316261" s="5"/>
      <c r="AB316261" s="5"/>
      <c r="AE316261" s="5"/>
      <c r="AH316261" s="5"/>
      <c r="AK316261" s="5"/>
    </row>
    <row r="316271" spans="25:37" x14ac:dyDescent="0.2">
      <c r="Y316271" s="251"/>
      <c r="AB316271" s="251"/>
      <c r="AE316271" s="251"/>
      <c r="AH316271" s="251"/>
      <c r="AK316271" s="251"/>
    </row>
    <row r="316386" spans="25:37" x14ac:dyDescent="0.2">
      <c r="Y316386" s="5"/>
      <c r="AB316386" s="5"/>
      <c r="AE316386" s="5"/>
      <c r="AH316386" s="5"/>
      <c r="AK316386" s="5"/>
    </row>
    <row r="316396" spans="25:37" x14ac:dyDescent="0.2">
      <c r="Y316396" s="251"/>
      <c r="AB316396" s="251"/>
      <c r="AE316396" s="251"/>
      <c r="AH316396" s="251"/>
      <c r="AK316396" s="251"/>
    </row>
    <row r="316511" spans="25:37" x14ac:dyDescent="0.2">
      <c r="Y316511" s="5"/>
      <c r="AB316511" s="5"/>
      <c r="AE316511" s="5"/>
      <c r="AH316511" s="5"/>
      <c r="AK316511" s="5"/>
    </row>
    <row r="316521" spans="25:37" x14ac:dyDescent="0.2">
      <c r="Y316521" s="251"/>
      <c r="AB316521" s="251"/>
      <c r="AE316521" s="251"/>
      <c r="AH316521" s="251"/>
      <c r="AK316521" s="251"/>
    </row>
    <row r="316636" spans="25:37" x14ac:dyDescent="0.2">
      <c r="Y316636" s="5"/>
      <c r="AB316636" s="5"/>
      <c r="AE316636" s="5"/>
      <c r="AH316636" s="5"/>
      <c r="AK316636" s="5"/>
    </row>
    <row r="316646" spans="25:37" x14ac:dyDescent="0.2">
      <c r="Y316646" s="251"/>
      <c r="AB316646" s="251"/>
      <c r="AE316646" s="251"/>
      <c r="AH316646" s="251"/>
      <c r="AK316646" s="251"/>
    </row>
    <row r="316761" spans="25:37" x14ac:dyDescent="0.2">
      <c r="Y316761" s="5"/>
      <c r="AB316761" s="5"/>
      <c r="AE316761" s="5"/>
      <c r="AH316761" s="5"/>
      <c r="AK316761" s="5"/>
    </row>
    <row r="316771" spans="25:37" x14ac:dyDescent="0.2">
      <c r="Y316771" s="251"/>
      <c r="AB316771" s="251"/>
      <c r="AE316771" s="251"/>
      <c r="AH316771" s="251"/>
      <c r="AK316771" s="251"/>
    </row>
    <row r="316886" spans="25:37" x14ac:dyDescent="0.2">
      <c r="Y316886" s="5"/>
      <c r="AB316886" s="5"/>
      <c r="AE316886" s="5"/>
      <c r="AH316886" s="5"/>
      <c r="AK316886" s="5"/>
    </row>
    <row r="316896" spans="25:37" x14ac:dyDescent="0.2">
      <c r="Y316896" s="251"/>
      <c r="AB316896" s="251"/>
      <c r="AE316896" s="251"/>
      <c r="AH316896" s="251"/>
      <c r="AK316896" s="251"/>
    </row>
    <row r="317011" spans="25:37" x14ac:dyDescent="0.2">
      <c r="Y317011" s="5"/>
      <c r="AB317011" s="5"/>
      <c r="AE317011" s="5"/>
      <c r="AH317011" s="5"/>
      <c r="AK317011" s="5"/>
    </row>
    <row r="317021" spans="25:37" x14ac:dyDescent="0.2">
      <c r="Y317021" s="251"/>
      <c r="AB317021" s="251"/>
      <c r="AE317021" s="251"/>
      <c r="AH317021" s="251"/>
      <c r="AK317021" s="251"/>
    </row>
    <row r="317136" spans="25:37" x14ac:dyDescent="0.2">
      <c r="Y317136" s="5"/>
      <c r="AB317136" s="5"/>
      <c r="AE317136" s="5"/>
      <c r="AH317136" s="5"/>
      <c r="AK317136" s="5"/>
    </row>
    <row r="317146" spans="25:37" x14ac:dyDescent="0.2">
      <c r="Y317146" s="251"/>
      <c r="AB317146" s="251"/>
      <c r="AE317146" s="251"/>
      <c r="AH317146" s="251"/>
      <c r="AK317146" s="251"/>
    </row>
    <row r="317261" spans="25:37" x14ac:dyDescent="0.2">
      <c r="Y317261" s="5"/>
      <c r="AB317261" s="5"/>
      <c r="AE317261" s="5"/>
      <c r="AH317261" s="5"/>
      <c r="AK317261" s="5"/>
    </row>
    <row r="317271" spans="25:37" x14ac:dyDescent="0.2">
      <c r="Y317271" s="251"/>
      <c r="AB317271" s="251"/>
      <c r="AE317271" s="251"/>
      <c r="AH317271" s="251"/>
      <c r="AK317271" s="251"/>
    </row>
    <row r="317386" spans="25:37" x14ac:dyDescent="0.2">
      <c r="Y317386" s="5"/>
      <c r="AB317386" s="5"/>
      <c r="AE317386" s="5"/>
      <c r="AH317386" s="5"/>
      <c r="AK317386" s="5"/>
    </row>
    <row r="317396" spans="25:37" x14ac:dyDescent="0.2">
      <c r="Y317396" s="251"/>
      <c r="AB317396" s="251"/>
      <c r="AE317396" s="251"/>
      <c r="AH317396" s="251"/>
      <c r="AK317396" s="251"/>
    </row>
    <row r="317511" spans="25:37" x14ac:dyDescent="0.2">
      <c r="Y317511" s="5"/>
      <c r="AB317511" s="5"/>
      <c r="AE317511" s="5"/>
      <c r="AH317511" s="5"/>
      <c r="AK317511" s="5"/>
    </row>
    <row r="317521" spans="25:37" x14ac:dyDescent="0.2">
      <c r="Y317521" s="251"/>
      <c r="AB317521" s="251"/>
      <c r="AE317521" s="251"/>
      <c r="AH317521" s="251"/>
      <c r="AK317521" s="251"/>
    </row>
    <row r="317636" spans="25:37" x14ac:dyDescent="0.2">
      <c r="Y317636" s="5"/>
      <c r="AB317636" s="5"/>
      <c r="AE317636" s="5"/>
      <c r="AH317636" s="5"/>
      <c r="AK317636" s="5"/>
    </row>
    <row r="317646" spans="25:37" x14ac:dyDescent="0.2">
      <c r="Y317646" s="251"/>
      <c r="AB317646" s="251"/>
      <c r="AE317646" s="251"/>
      <c r="AH317646" s="251"/>
      <c r="AK317646" s="251"/>
    </row>
    <row r="317761" spans="25:37" x14ac:dyDescent="0.2">
      <c r="Y317761" s="5"/>
      <c r="AB317761" s="5"/>
      <c r="AE317761" s="5"/>
      <c r="AH317761" s="5"/>
      <c r="AK317761" s="5"/>
    </row>
    <row r="317771" spans="25:37" x14ac:dyDescent="0.2">
      <c r="Y317771" s="251"/>
      <c r="AB317771" s="251"/>
      <c r="AE317771" s="251"/>
      <c r="AH317771" s="251"/>
      <c r="AK317771" s="251"/>
    </row>
    <row r="317886" spans="25:37" x14ac:dyDescent="0.2">
      <c r="Y317886" s="5"/>
      <c r="AB317886" s="5"/>
      <c r="AE317886" s="5"/>
      <c r="AH317886" s="5"/>
      <c r="AK317886" s="5"/>
    </row>
    <row r="317896" spans="25:37" x14ac:dyDescent="0.2">
      <c r="Y317896" s="251"/>
      <c r="AB317896" s="251"/>
      <c r="AE317896" s="251"/>
      <c r="AH317896" s="251"/>
      <c r="AK317896" s="251"/>
    </row>
    <row r="318011" spans="25:37" x14ac:dyDescent="0.2">
      <c r="Y318011" s="5"/>
      <c r="AB318011" s="5"/>
      <c r="AE318011" s="5"/>
      <c r="AH318011" s="5"/>
      <c r="AK318011" s="5"/>
    </row>
    <row r="318021" spans="25:37" x14ac:dyDescent="0.2">
      <c r="Y318021" s="251"/>
      <c r="AB318021" s="251"/>
      <c r="AE318021" s="251"/>
      <c r="AH318021" s="251"/>
      <c r="AK318021" s="251"/>
    </row>
    <row r="318136" spans="25:37" x14ac:dyDescent="0.2">
      <c r="Y318136" s="5"/>
      <c r="AB318136" s="5"/>
      <c r="AE318136" s="5"/>
      <c r="AH318136" s="5"/>
      <c r="AK318136" s="5"/>
    </row>
    <row r="318146" spans="25:37" x14ac:dyDescent="0.2">
      <c r="Y318146" s="251"/>
      <c r="AB318146" s="251"/>
      <c r="AE318146" s="251"/>
      <c r="AH318146" s="251"/>
      <c r="AK318146" s="251"/>
    </row>
    <row r="318261" spans="25:37" x14ac:dyDescent="0.2">
      <c r="Y318261" s="5"/>
      <c r="AB318261" s="5"/>
      <c r="AE318261" s="5"/>
      <c r="AH318261" s="5"/>
      <c r="AK318261" s="5"/>
    </row>
    <row r="318271" spans="25:37" x14ac:dyDescent="0.2">
      <c r="Y318271" s="251"/>
      <c r="AB318271" s="251"/>
      <c r="AE318271" s="251"/>
      <c r="AH318271" s="251"/>
      <c r="AK318271" s="251"/>
    </row>
    <row r="318386" spans="25:37" x14ac:dyDescent="0.2">
      <c r="Y318386" s="5"/>
      <c r="AB318386" s="5"/>
      <c r="AE318386" s="5"/>
      <c r="AH318386" s="5"/>
      <c r="AK318386" s="5"/>
    </row>
    <row r="318396" spans="25:37" x14ac:dyDescent="0.2">
      <c r="Y318396" s="251"/>
      <c r="AB318396" s="251"/>
      <c r="AE318396" s="251"/>
      <c r="AH318396" s="251"/>
      <c r="AK318396" s="251"/>
    </row>
    <row r="318511" spans="25:37" x14ac:dyDescent="0.2">
      <c r="Y318511" s="5"/>
      <c r="AB318511" s="5"/>
      <c r="AE318511" s="5"/>
      <c r="AH318511" s="5"/>
      <c r="AK318511" s="5"/>
    </row>
    <row r="318521" spans="25:37" x14ac:dyDescent="0.2">
      <c r="Y318521" s="251"/>
      <c r="AB318521" s="251"/>
      <c r="AE318521" s="251"/>
      <c r="AH318521" s="251"/>
      <c r="AK318521" s="251"/>
    </row>
    <row r="318636" spans="25:37" x14ac:dyDescent="0.2">
      <c r="Y318636" s="5"/>
      <c r="AB318636" s="5"/>
      <c r="AE318636" s="5"/>
      <c r="AH318636" s="5"/>
      <c r="AK318636" s="5"/>
    </row>
    <row r="318646" spans="25:37" x14ac:dyDescent="0.2">
      <c r="Y318646" s="251"/>
      <c r="AB318646" s="251"/>
      <c r="AE318646" s="251"/>
      <c r="AH318646" s="251"/>
      <c r="AK318646" s="251"/>
    </row>
    <row r="318761" spans="25:37" x14ac:dyDescent="0.2">
      <c r="Y318761" s="5"/>
      <c r="AB318761" s="5"/>
      <c r="AE318761" s="5"/>
      <c r="AH318761" s="5"/>
      <c r="AK318761" s="5"/>
    </row>
    <row r="318771" spans="25:37" x14ac:dyDescent="0.2">
      <c r="Y318771" s="251"/>
      <c r="AB318771" s="251"/>
      <c r="AE318771" s="251"/>
      <c r="AH318771" s="251"/>
      <c r="AK318771" s="251"/>
    </row>
    <row r="318886" spans="25:37" x14ac:dyDescent="0.2">
      <c r="Y318886" s="5"/>
      <c r="AB318886" s="5"/>
      <c r="AE318886" s="5"/>
      <c r="AH318886" s="5"/>
      <c r="AK318886" s="5"/>
    </row>
    <row r="318896" spans="25:37" x14ac:dyDescent="0.2">
      <c r="Y318896" s="251"/>
      <c r="AB318896" s="251"/>
      <c r="AE318896" s="251"/>
      <c r="AH318896" s="251"/>
      <c r="AK318896" s="251"/>
    </row>
    <row r="319011" spans="25:37" x14ac:dyDescent="0.2">
      <c r="Y319011" s="5"/>
      <c r="AB319011" s="5"/>
      <c r="AE319011" s="5"/>
      <c r="AH319011" s="5"/>
      <c r="AK319011" s="5"/>
    </row>
    <row r="319021" spans="25:37" x14ac:dyDescent="0.2">
      <c r="Y319021" s="251"/>
      <c r="AB319021" s="251"/>
      <c r="AE319021" s="251"/>
      <c r="AH319021" s="251"/>
      <c r="AK319021" s="251"/>
    </row>
    <row r="319136" spans="25:37" x14ac:dyDescent="0.2">
      <c r="Y319136" s="5"/>
      <c r="AB319136" s="5"/>
      <c r="AE319136" s="5"/>
      <c r="AH319136" s="5"/>
      <c r="AK319136" s="5"/>
    </row>
    <row r="319146" spans="25:37" x14ac:dyDescent="0.2">
      <c r="Y319146" s="251"/>
      <c r="AB319146" s="251"/>
      <c r="AE319146" s="251"/>
      <c r="AH319146" s="251"/>
      <c r="AK319146" s="251"/>
    </row>
    <row r="319261" spans="25:37" x14ac:dyDescent="0.2">
      <c r="Y319261" s="5"/>
      <c r="AB319261" s="5"/>
      <c r="AE319261" s="5"/>
      <c r="AH319261" s="5"/>
      <c r="AK319261" s="5"/>
    </row>
    <row r="319271" spans="25:37" x14ac:dyDescent="0.2">
      <c r="Y319271" s="251"/>
      <c r="AB319271" s="251"/>
      <c r="AE319271" s="251"/>
      <c r="AH319271" s="251"/>
      <c r="AK319271" s="251"/>
    </row>
    <row r="319386" spans="25:37" x14ac:dyDescent="0.2">
      <c r="Y319386" s="5"/>
      <c r="AB319386" s="5"/>
      <c r="AE319386" s="5"/>
      <c r="AH319386" s="5"/>
      <c r="AK319386" s="5"/>
    </row>
    <row r="319396" spans="25:37" x14ac:dyDescent="0.2">
      <c r="Y319396" s="251"/>
      <c r="AB319396" s="251"/>
      <c r="AE319396" s="251"/>
      <c r="AH319396" s="251"/>
      <c r="AK319396" s="251"/>
    </row>
    <row r="319511" spans="25:37" x14ac:dyDescent="0.2">
      <c r="Y319511" s="5"/>
      <c r="AB319511" s="5"/>
      <c r="AE319511" s="5"/>
      <c r="AH319511" s="5"/>
      <c r="AK319511" s="5"/>
    </row>
    <row r="319521" spans="25:37" x14ac:dyDescent="0.2">
      <c r="Y319521" s="251"/>
      <c r="AB319521" s="251"/>
      <c r="AE319521" s="251"/>
      <c r="AH319521" s="251"/>
      <c r="AK319521" s="251"/>
    </row>
    <row r="319636" spans="25:37" x14ac:dyDescent="0.2">
      <c r="Y319636" s="5"/>
      <c r="AB319636" s="5"/>
      <c r="AE319636" s="5"/>
      <c r="AH319636" s="5"/>
      <c r="AK319636" s="5"/>
    </row>
    <row r="319646" spans="25:37" x14ac:dyDescent="0.2">
      <c r="Y319646" s="251"/>
      <c r="AB319646" s="251"/>
      <c r="AE319646" s="251"/>
      <c r="AH319646" s="251"/>
      <c r="AK319646" s="251"/>
    </row>
    <row r="319761" spans="25:37" x14ac:dyDescent="0.2">
      <c r="Y319761" s="5"/>
      <c r="AB319761" s="5"/>
      <c r="AE319761" s="5"/>
      <c r="AH319761" s="5"/>
      <c r="AK319761" s="5"/>
    </row>
    <row r="319771" spans="25:37" x14ac:dyDescent="0.2">
      <c r="Y319771" s="251"/>
      <c r="AB319771" s="251"/>
      <c r="AE319771" s="251"/>
      <c r="AH319771" s="251"/>
      <c r="AK319771" s="251"/>
    </row>
    <row r="319886" spans="25:37" x14ac:dyDescent="0.2">
      <c r="Y319886" s="5"/>
      <c r="AB319886" s="5"/>
      <c r="AE319886" s="5"/>
      <c r="AH319886" s="5"/>
      <c r="AK319886" s="5"/>
    </row>
    <row r="319896" spans="25:37" x14ac:dyDescent="0.2">
      <c r="Y319896" s="251"/>
      <c r="AB319896" s="251"/>
      <c r="AE319896" s="251"/>
      <c r="AH319896" s="251"/>
      <c r="AK319896" s="251"/>
    </row>
    <row r="320011" spans="25:37" x14ac:dyDescent="0.2">
      <c r="Y320011" s="5"/>
      <c r="AB320011" s="5"/>
      <c r="AE320011" s="5"/>
      <c r="AH320011" s="5"/>
      <c r="AK320011" s="5"/>
    </row>
    <row r="320021" spans="25:37" x14ac:dyDescent="0.2">
      <c r="Y320021" s="251"/>
      <c r="AB320021" s="251"/>
      <c r="AE320021" s="251"/>
      <c r="AH320021" s="251"/>
      <c r="AK320021" s="251"/>
    </row>
    <row r="320136" spans="25:37" x14ac:dyDescent="0.2">
      <c r="Y320136" s="5"/>
      <c r="AB320136" s="5"/>
      <c r="AE320136" s="5"/>
      <c r="AH320136" s="5"/>
      <c r="AK320136" s="5"/>
    </row>
    <row r="320146" spans="25:37" x14ac:dyDescent="0.2">
      <c r="Y320146" s="251"/>
      <c r="AB320146" s="251"/>
      <c r="AE320146" s="251"/>
      <c r="AH320146" s="251"/>
      <c r="AK320146" s="251"/>
    </row>
    <row r="320261" spans="25:37" x14ac:dyDescent="0.2">
      <c r="Y320261" s="5"/>
      <c r="AB320261" s="5"/>
      <c r="AE320261" s="5"/>
      <c r="AH320261" s="5"/>
      <c r="AK320261" s="5"/>
    </row>
    <row r="320271" spans="25:37" x14ac:dyDescent="0.2">
      <c r="Y320271" s="251"/>
      <c r="AB320271" s="251"/>
      <c r="AE320271" s="251"/>
      <c r="AH320271" s="251"/>
      <c r="AK320271" s="251"/>
    </row>
    <row r="320386" spans="25:37" x14ac:dyDescent="0.2">
      <c r="Y320386" s="5"/>
      <c r="AB320386" s="5"/>
      <c r="AE320386" s="5"/>
      <c r="AH320386" s="5"/>
      <c r="AK320386" s="5"/>
    </row>
    <row r="320396" spans="25:37" x14ac:dyDescent="0.2">
      <c r="Y320396" s="251"/>
      <c r="AB320396" s="251"/>
      <c r="AE320396" s="251"/>
      <c r="AH320396" s="251"/>
      <c r="AK320396" s="251"/>
    </row>
    <row r="320511" spans="25:37" x14ac:dyDescent="0.2">
      <c r="Y320511" s="5"/>
      <c r="AB320511" s="5"/>
      <c r="AE320511" s="5"/>
      <c r="AH320511" s="5"/>
      <c r="AK320511" s="5"/>
    </row>
    <row r="320521" spans="25:37" x14ac:dyDescent="0.2">
      <c r="Y320521" s="251"/>
      <c r="AB320521" s="251"/>
      <c r="AE320521" s="251"/>
      <c r="AH320521" s="251"/>
      <c r="AK320521" s="251"/>
    </row>
    <row r="320636" spans="25:37" x14ac:dyDescent="0.2">
      <c r="Y320636" s="5"/>
      <c r="AB320636" s="5"/>
      <c r="AE320636" s="5"/>
      <c r="AH320636" s="5"/>
      <c r="AK320636" s="5"/>
    </row>
    <row r="320646" spans="25:37" x14ac:dyDescent="0.2">
      <c r="Y320646" s="251"/>
      <c r="AB320646" s="251"/>
      <c r="AE320646" s="251"/>
      <c r="AH320646" s="251"/>
      <c r="AK320646" s="251"/>
    </row>
    <row r="320761" spans="25:37" x14ac:dyDescent="0.2">
      <c r="Y320761" s="5"/>
      <c r="AB320761" s="5"/>
      <c r="AE320761" s="5"/>
      <c r="AH320761" s="5"/>
      <c r="AK320761" s="5"/>
    </row>
    <row r="320771" spans="25:37" x14ac:dyDescent="0.2">
      <c r="Y320771" s="251"/>
      <c r="AB320771" s="251"/>
      <c r="AE320771" s="251"/>
      <c r="AH320771" s="251"/>
      <c r="AK320771" s="251"/>
    </row>
    <row r="320886" spans="25:37" x14ac:dyDescent="0.2">
      <c r="Y320886" s="5"/>
      <c r="AB320886" s="5"/>
      <c r="AE320886" s="5"/>
      <c r="AH320886" s="5"/>
      <c r="AK320886" s="5"/>
    </row>
    <row r="320896" spans="25:37" x14ac:dyDescent="0.2">
      <c r="Y320896" s="251"/>
      <c r="AB320896" s="251"/>
      <c r="AE320896" s="251"/>
      <c r="AH320896" s="251"/>
      <c r="AK320896" s="251"/>
    </row>
    <row r="321011" spans="25:37" x14ac:dyDescent="0.2">
      <c r="Y321011" s="5"/>
      <c r="AB321011" s="5"/>
      <c r="AE321011" s="5"/>
      <c r="AH321011" s="5"/>
      <c r="AK321011" s="5"/>
    </row>
    <row r="321021" spans="25:37" x14ac:dyDescent="0.2">
      <c r="Y321021" s="251"/>
      <c r="AB321021" s="251"/>
      <c r="AE321021" s="251"/>
      <c r="AH321021" s="251"/>
      <c r="AK321021" s="251"/>
    </row>
    <row r="321136" spans="25:37" x14ac:dyDescent="0.2">
      <c r="Y321136" s="5"/>
      <c r="AB321136" s="5"/>
      <c r="AE321136" s="5"/>
      <c r="AH321136" s="5"/>
      <c r="AK321136" s="5"/>
    </row>
    <row r="321146" spans="25:37" x14ac:dyDescent="0.2">
      <c r="Y321146" s="251"/>
      <c r="AB321146" s="251"/>
      <c r="AE321146" s="251"/>
      <c r="AH321146" s="251"/>
      <c r="AK321146" s="251"/>
    </row>
    <row r="321261" spans="25:37" x14ac:dyDescent="0.2">
      <c r="Y321261" s="5"/>
      <c r="AB321261" s="5"/>
      <c r="AE321261" s="5"/>
      <c r="AH321261" s="5"/>
      <c r="AK321261" s="5"/>
    </row>
    <row r="321271" spans="25:37" x14ac:dyDescent="0.2">
      <c r="Y321271" s="251"/>
      <c r="AB321271" s="251"/>
      <c r="AE321271" s="251"/>
      <c r="AH321271" s="251"/>
      <c r="AK321271" s="251"/>
    </row>
    <row r="321386" spans="25:37" x14ac:dyDescent="0.2">
      <c r="Y321386" s="5"/>
      <c r="AB321386" s="5"/>
      <c r="AE321386" s="5"/>
      <c r="AH321386" s="5"/>
      <c r="AK321386" s="5"/>
    </row>
    <row r="321396" spans="25:37" x14ac:dyDescent="0.2">
      <c r="Y321396" s="251"/>
      <c r="AB321396" s="251"/>
      <c r="AE321396" s="251"/>
      <c r="AH321396" s="251"/>
      <c r="AK321396" s="251"/>
    </row>
    <row r="321511" spans="25:37" x14ac:dyDescent="0.2">
      <c r="Y321511" s="5"/>
      <c r="AB321511" s="5"/>
      <c r="AE321511" s="5"/>
      <c r="AH321511" s="5"/>
      <c r="AK321511" s="5"/>
    </row>
    <row r="321521" spans="25:37" x14ac:dyDescent="0.2">
      <c r="Y321521" s="251"/>
      <c r="AB321521" s="251"/>
      <c r="AE321521" s="251"/>
      <c r="AH321521" s="251"/>
      <c r="AK321521" s="251"/>
    </row>
    <row r="321636" spans="25:37" x14ac:dyDescent="0.2">
      <c r="Y321636" s="5"/>
      <c r="AB321636" s="5"/>
      <c r="AE321636" s="5"/>
      <c r="AH321636" s="5"/>
      <c r="AK321636" s="5"/>
    </row>
    <row r="321646" spans="25:37" x14ac:dyDescent="0.2">
      <c r="Y321646" s="251"/>
      <c r="AB321646" s="251"/>
      <c r="AE321646" s="251"/>
      <c r="AH321646" s="251"/>
      <c r="AK321646" s="251"/>
    </row>
    <row r="321761" spans="25:37" x14ac:dyDescent="0.2">
      <c r="Y321761" s="5"/>
      <c r="AB321761" s="5"/>
      <c r="AE321761" s="5"/>
      <c r="AH321761" s="5"/>
      <c r="AK321761" s="5"/>
    </row>
    <row r="321771" spans="25:37" x14ac:dyDescent="0.2">
      <c r="Y321771" s="251"/>
      <c r="AB321771" s="251"/>
      <c r="AE321771" s="251"/>
      <c r="AH321771" s="251"/>
      <c r="AK321771" s="251"/>
    </row>
    <row r="321886" spans="25:37" x14ac:dyDescent="0.2">
      <c r="Y321886" s="5"/>
      <c r="AB321886" s="5"/>
      <c r="AE321886" s="5"/>
      <c r="AH321886" s="5"/>
      <c r="AK321886" s="5"/>
    </row>
    <row r="321896" spans="25:37" x14ac:dyDescent="0.2">
      <c r="Y321896" s="251"/>
      <c r="AB321896" s="251"/>
      <c r="AE321896" s="251"/>
      <c r="AH321896" s="251"/>
      <c r="AK321896" s="251"/>
    </row>
    <row r="322011" spans="25:37" x14ac:dyDescent="0.2">
      <c r="Y322011" s="5"/>
      <c r="AB322011" s="5"/>
      <c r="AE322011" s="5"/>
      <c r="AH322011" s="5"/>
      <c r="AK322011" s="5"/>
    </row>
    <row r="322021" spans="25:37" x14ac:dyDescent="0.2">
      <c r="Y322021" s="251"/>
      <c r="AB322021" s="251"/>
      <c r="AE322021" s="251"/>
      <c r="AH322021" s="251"/>
      <c r="AK322021" s="251"/>
    </row>
    <row r="322136" spans="25:37" x14ac:dyDescent="0.2">
      <c r="Y322136" s="5"/>
      <c r="AB322136" s="5"/>
      <c r="AE322136" s="5"/>
      <c r="AH322136" s="5"/>
      <c r="AK322136" s="5"/>
    </row>
    <row r="322146" spans="25:37" x14ac:dyDescent="0.2">
      <c r="Y322146" s="251"/>
      <c r="AB322146" s="251"/>
      <c r="AE322146" s="251"/>
      <c r="AH322146" s="251"/>
      <c r="AK322146" s="251"/>
    </row>
    <row r="322261" spans="25:37" x14ac:dyDescent="0.2">
      <c r="Y322261" s="5"/>
      <c r="AB322261" s="5"/>
      <c r="AE322261" s="5"/>
      <c r="AH322261" s="5"/>
      <c r="AK322261" s="5"/>
    </row>
    <row r="322271" spans="25:37" x14ac:dyDescent="0.2">
      <c r="Y322271" s="251"/>
      <c r="AB322271" s="251"/>
      <c r="AE322271" s="251"/>
      <c r="AH322271" s="251"/>
      <c r="AK322271" s="251"/>
    </row>
    <row r="322386" spans="25:37" x14ac:dyDescent="0.2">
      <c r="Y322386" s="5"/>
      <c r="AB322386" s="5"/>
      <c r="AE322386" s="5"/>
      <c r="AH322386" s="5"/>
      <c r="AK322386" s="5"/>
    </row>
    <row r="322396" spans="25:37" x14ac:dyDescent="0.2">
      <c r="Y322396" s="251"/>
      <c r="AB322396" s="251"/>
      <c r="AE322396" s="251"/>
      <c r="AH322396" s="251"/>
      <c r="AK322396" s="251"/>
    </row>
    <row r="322511" spans="25:37" x14ac:dyDescent="0.2">
      <c r="Y322511" s="5"/>
      <c r="AB322511" s="5"/>
      <c r="AE322511" s="5"/>
      <c r="AH322511" s="5"/>
      <c r="AK322511" s="5"/>
    </row>
    <row r="322521" spans="25:37" x14ac:dyDescent="0.2">
      <c r="Y322521" s="251"/>
      <c r="AB322521" s="251"/>
      <c r="AE322521" s="251"/>
      <c r="AH322521" s="251"/>
      <c r="AK322521" s="251"/>
    </row>
    <row r="322636" spans="25:37" x14ac:dyDescent="0.2">
      <c r="Y322636" s="5"/>
      <c r="AB322636" s="5"/>
      <c r="AE322636" s="5"/>
      <c r="AH322636" s="5"/>
      <c r="AK322636" s="5"/>
    </row>
    <row r="322646" spans="25:37" x14ac:dyDescent="0.2">
      <c r="Y322646" s="251"/>
      <c r="AB322646" s="251"/>
      <c r="AE322646" s="251"/>
      <c r="AH322646" s="251"/>
      <c r="AK322646" s="251"/>
    </row>
    <row r="322761" spans="25:37" x14ac:dyDescent="0.2">
      <c r="Y322761" s="5"/>
      <c r="AB322761" s="5"/>
      <c r="AE322761" s="5"/>
      <c r="AH322761" s="5"/>
      <c r="AK322761" s="5"/>
    </row>
    <row r="322771" spans="25:37" x14ac:dyDescent="0.2">
      <c r="Y322771" s="251"/>
      <c r="AB322771" s="251"/>
      <c r="AE322771" s="251"/>
      <c r="AH322771" s="251"/>
      <c r="AK322771" s="251"/>
    </row>
    <row r="322886" spans="25:37" x14ac:dyDescent="0.2">
      <c r="Y322886" s="5"/>
      <c r="AB322886" s="5"/>
      <c r="AE322886" s="5"/>
      <c r="AH322886" s="5"/>
      <c r="AK322886" s="5"/>
    </row>
    <row r="322896" spans="25:37" x14ac:dyDescent="0.2">
      <c r="Y322896" s="251"/>
      <c r="AB322896" s="251"/>
      <c r="AE322896" s="251"/>
      <c r="AH322896" s="251"/>
      <c r="AK322896" s="251"/>
    </row>
    <row r="323011" spans="25:37" x14ac:dyDescent="0.2">
      <c r="Y323011" s="5"/>
      <c r="AB323011" s="5"/>
      <c r="AE323011" s="5"/>
      <c r="AH323011" s="5"/>
      <c r="AK323011" s="5"/>
    </row>
    <row r="323021" spans="25:37" x14ac:dyDescent="0.2">
      <c r="Y323021" s="251"/>
      <c r="AB323021" s="251"/>
      <c r="AE323021" s="251"/>
      <c r="AH323021" s="251"/>
      <c r="AK323021" s="251"/>
    </row>
    <row r="323136" spans="25:37" x14ac:dyDescent="0.2">
      <c r="Y323136" s="5"/>
      <c r="AB323136" s="5"/>
      <c r="AE323136" s="5"/>
      <c r="AH323136" s="5"/>
      <c r="AK323136" s="5"/>
    </row>
    <row r="323146" spans="25:37" x14ac:dyDescent="0.2">
      <c r="Y323146" s="251"/>
      <c r="AB323146" s="251"/>
      <c r="AE323146" s="251"/>
      <c r="AH323146" s="251"/>
      <c r="AK323146" s="251"/>
    </row>
    <row r="323261" spans="25:37" x14ac:dyDescent="0.2">
      <c r="Y323261" s="5"/>
      <c r="AB323261" s="5"/>
      <c r="AE323261" s="5"/>
      <c r="AH323261" s="5"/>
      <c r="AK323261" s="5"/>
    </row>
    <row r="323271" spans="25:37" x14ac:dyDescent="0.2">
      <c r="Y323271" s="251"/>
      <c r="AB323271" s="251"/>
      <c r="AE323271" s="251"/>
      <c r="AH323271" s="251"/>
      <c r="AK323271" s="251"/>
    </row>
    <row r="323386" spans="25:37" x14ac:dyDescent="0.2">
      <c r="Y323386" s="5"/>
      <c r="AB323386" s="5"/>
      <c r="AE323386" s="5"/>
      <c r="AH323386" s="5"/>
      <c r="AK323386" s="5"/>
    </row>
    <row r="323396" spans="25:37" x14ac:dyDescent="0.2">
      <c r="Y323396" s="251"/>
      <c r="AB323396" s="251"/>
      <c r="AE323396" s="251"/>
      <c r="AH323396" s="251"/>
      <c r="AK323396" s="251"/>
    </row>
    <row r="323511" spans="25:37" x14ac:dyDescent="0.2">
      <c r="Y323511" s="5"/>
      <c r="AB323511" s="5"/>
      <c r="AE323511" s="5"/>
      <c r="AH323511" s="5"/>
      <c r="AK323511" s="5"/>
    </row>
    <row r="323521" spans="25:37" x14ac:dyDescent="0.2">
      <c r="Y323521" s="251"/>
      <c r="AB323521" s="251"/>
      <c r="AE323521" s="251"/>
      <c r="AH323521" s="251"/>
      <c r="AK323521" s="251"/>
    </row>
    <row r="323636" spans="25:37" x14ac:dyDescent="0.2">
      <c r="Y323636" s="5"/>
      <c r="AB323636" s="5"/>
      <c r="AE323636" s="5"/>
      <c r="AH323636" s="5"/>
      <c r="AK323636" s="5"/>
    </row>
    <row r="323646" spans="25:37" x14ac:dyDescent="0.2">
      <c r="Y323646" s="251"/>
      <c r="AB323646" s="251"/>
      <c r="AE323646" s="251"/>
      <c r="AH323646" s="251"/>
      <c r="AK323646" s="251"/>
    </row>
    <row r="323761" spans="25:37" x14ac:dyDescent="0.2">
      <c r="Y323761" s="5"/>
      <c r="AB323761" s="5"/>
      <c r="AE323761" s="5"/>
      <c r="AH323761" s="5"/>
      <c r="AK323761" s="5"/>
    </row>
    <row r="323771" spans="25:37" x14ac:dyDescent="0.2">
      <c r="Y323771" s="251"/>
      <c r="AB323771" s="251"/>
      <c r="AE323771" s="251"/>
      <c r="AH323771" s="251"/>
      <c r="AK323771" s="251"/>
    </row>
    <row r="323886" spans="25:37" x14ac:dyDescent="0.2">
      <c r="Y323886" s="5"/>
      <c r="AB323886" s="5"/>
      <c r="AE323886" s="5"/>
      <c r="AH323886" s="5"/>
      <c r="AK323886" s="5"/>
    </row>
    <row r="323896" spans="25:37" x14ac:dyDescent="0.2">
      <c r="Y323896" s="251"/>
      <c r="AB323896" s="251"/>
      <c r="AE323896" s="251"/>
      <c r="AH323896" s="251"/>
      <c r="AK323896" s="251"/>
    </row>
    <row r="324011" spans="25:37" x14ac:dyDescent="0.2">
      <c r="Y324011" s="5"/>
      <c r="AB324011" s="5"/>
      <c r="AE324011" s="5"/>
      <c r="AH324011" s="5"/>
      <c r="AK324011" s="5"/>
    </row>
    <row r="324021" spans="25:37" x14ac:dyDescent="0.2">
      <c r="Y324021" s="251"/>
      <c r="AB324021" s="251"/>
      <c r="AE324021" s="251"/>
      <c r="AH324021" s="251"/>
      <c r="AK324021" s="251"/>
    </row>
    <row r="324136" spans="25:37" x14ac:dyDescent="0.2">
      <c r="Y324136" s="5"/>
      <c r="AB324136" s="5"/>
      <c r="AE324136" s="5"/>
      <c r="AH324136" s="5"/>
      <c r="AK324136" s="5"/>
    </row>
    <row r="324146" spans="25:37" x14ac:dyDescent="0.2">
      <c r="Y324146" s="251"/>
      <c r="AB324146" s="251"/>
      <c r="AE324146" s="251"/>
      <c r="AH324146" s="251"/>
      <c r="AK324146" s="251"/>
    </row>
    <row r="324261" spans="25:37" x14ac:dyDescent="0.2">
      <c r="Y324261" s="5"/>
      <c r="AB324261" s="5"/>
      <c r="AE324261" s="5"/>
      <c r="AH324261" s="5"/>
      <c r="AK324261" s="5"/>
    </row>
    <row r="324271" spans="25:37" x14ac:dyDescent="0.2">
      <c r="Y324271" s="251"/>
      <c r="AB324271" s="251"/>
      <c r="AE324271" s="251"/>
      <c r="AH324271" s="251"/>
      <c r="AK324271" s="251"/>
    </row>
    <row r="324386" spans="25:37" x14ac:dyDescent="0.2">
      <c r="Y324386" s="5"/>
      <c r="AB324386" s="5"/>
      <c r="AE324386" s="5"/>
      <c r="AH324386" s="5"/>
      <c r="AK324386" s="5"/>
    </row>
    <row r="324396" spans="25:37" x14ac:dyDescent="0.2">
      <c r="Y324396" s="251"/>
      <c r="AB324396" s="251"/>
      <c r="AE324396" s="251"/>
      <c r="AH324396" s="251"/>
      <c r="AK324396" s="251"/>
    </row>
    <row r="324511" spans="25:37" x14ac:dyDescent="0.2">
      <c r="Y324511" s="5"/>
      <c r="AB324511" s="5"/>
      <c r="AE324511" s="5"/>
      <c r="AH324511" s="5"/>
      <c r="AK324511" s="5"/>
    </row>
    <row r="324521" spans="25:37" x14ac:dyDescent="0.2">
      <c r="Y324521" s="251"/>
      <c r="AB324521" s="251"/>
      <c r="AE324521" s="251"/>
      <c r="AH324521" s="251"/>
      <c r="AK324521" s="251"/>
    </row>
    <row r="324636" spans="25:37" x14ac:dyDescent="0.2">
      <c r="Y324636" s="5"/>
      <c r="AB324636" s="5"/>
      <c r="AE324636" s="5"/>
      <c r="AH324636" s="5"/>
      <c r="AK324636" s="5"/>
    </row>
    <row r="324646" spans="25:37" x14ac:dyDescent="0.2">
      <c r="Y324646" s="251"/>
      <c r="AB324646" s="251"/>
      <c r="AE324646" s="251"/>
      <c r="AH324646" s="251"/>
      <c r="AK324646" s="251"/>
    </row>
    <row r="324761" spans="25:37" x14ac:dyDescent="0.2">
      <c r="Y324761" s="5"/>
      <c r="AB324761" s="5"/>
      <c r="AE324761" s="5"/>
      <c r="AH324761" s="5"/>
      <c r="AK324761" s="5"/>
    </row>
    <row r="324771" spans="25:37" x14ac:dyDescent="0.2">
      <c r="Y324771" s="251"/>
      <c r="AB324771" s="251"/>
      <c r="AE324771" s="251"/>
      <c r="AH324771" s="251"/>
      <c r="AK324771" s="251"/>
    </row>
    <row r="324886" spans="25:37" x14ac:dyDescent="0.2">
      <c r="Y324886" s="5"/>
      <c r="AB324886" s="5"/>
      <c r="AE324886" s="5"/>
      <c r="AH324886" s="5"/>
      <c r="AK324886" s="5"/>
    </row>
    <row r="324896" spans="25:37" x14ac:dyDescent="0.2">
      <c r="Y324896" s="251"/>
      <c r="AB324896" s="251"/>
      <c r="AE324896" s="251"/>
      <c r="AH324896" s="251"/>
      <c r="AK324896" s="251"/>
    </row>
    <row r="325011" spans="25:37" x14ac:dyDescent="0.2">
      <c r="Y325011" s="5"/>
      <c r="AB325011" s="5"/>
      <c r="AE325011" s="5"/>
      <c r="AH325011" s="5"/>
      <c r="AK325011" s="5"/>
    </row>
    <row r="325021" spans="25:37" x14ac:dyDescent="0.2">
      <c r="Y325021" s="251"/>
      <c r="AB325021" s="251"/>
      <c r="AE325021" s="251"/>
      <c r="AH325021" s="251"/>
      <c r="AK325021" s="251"/>
    </row>
    <row r="325136" spans="25:37" x14ac:dyDescent="0.2">
      <c r="Y325136" s="5"/>
      <c r="AB325136" s="5"/>
      <c r="AE325136" s="5"/>
      <c r="AH325136" s="5"/>
      <c r="AK325136" s="5"/>
    </row>
    <row r="325146" spans="25:37" x14ac:dyDescent="0.2">
      <c r="Y325146" s="251"/>
      <c r="AB325146" s="251"/>
      <c r="AE325146" s="251"/>
      <c r="AH325146" s="251"/>
      <c r="AK325146" s="251"/>
    </row>
    <row r="325261" spans="25:37" x14ac:dyDescent="0.2">
      <c r="Y325261" s="5"/>
      <c r="AB325261" s="5"/>
      <c r="AE325261" s="5"/>
      <c r="AH325261" s="5"/>
      <c r="AK325261" s="5"/>
    </row>
    <row r="325271" spans="25:37" x14ac:dyDescent="0.2">
      <c r="Y325271" s="251"/>
      <c r="AB325271" s="251"/>
      <c r="AE325271" s="251"/>
      <c r="AH325271" s="251"/>
      <c r="AK325271" s="251"/>
    </row>
    <row r="325386" spans="25:37" x14ac:dyDescent="0.2">
      <c r="Y325386" s="5"/>
      <c r="AB325386" s="5"/>
      <c r="AE325386" s="5"/>
      <c r="AH325386" s="5"/>
      <c r="AK325386" s="5"/>
    </row>
    <row r="325396" spans="25:37" x14ac:dyDescent="0.2">
      <c r="Y325396" s="251"/>
      <c r="AB325396" s="251"/>
      <c r="AE325396" s="251"/>
      <c r="AH325396" s="251"/>
      <c r="AK325396" s="251"/>
    </row>
    <row r="325511" spans="25:37" x14ac:dyDescent="0.2">
      <c r="Y325511" s="5"/>
      <c r="AB325511" s="5"/>
      <c r="AE325511" s="5"/>
      <c r="AH325511" s="5"/>
      <c r="AK325511" s="5"/>
    </row>
    <row r="325521" spans="25:37" x14ac:dyDescent="0.2">
      <c r="Y325521" s="251"/>
      <c r="AB325521" s="251"/>
      <c r="AE325521" s="251"/>
      <c r="AH325521" s="251"/>
      <c r="AK325521" s="251"/>
    </row>
    <row r="325636" spans="25:37" x14ac:dyDescent="0.2">
      <c r="Y325636" s="5"/>
      <c r="AB325636" s="5"/>
      <c r="AE325636" s="5"/>
      <c r="AH325636" s="5"/>
      <c r="AK325636" s="5"/>
    </row>
    <row r="325646" spans="25:37" x14ac:dyDescent="0.2">
      <c r="Y325646" s="251"/>
      <c r="AB325646" s="251"/>
      <c r="AE325646" s="251"/>
      <c r="AH325646" s="251"/>
      <c r="AK325646" s="251"/>
    </row>
    <row r="325761" spans="25:37" x14ac:dyDescent="0.2">
      <c r="Y325761" s="5"/>
      <c r="AB325761" s="5"/>
      <c r="AE325761" s="5"/>
      <c r="AH325761" s="5"/>
      <c r="AK325761" s="5"/>
    </row>
    <row r="325771" spans="25:37" x14ac:dyDescent="0.2">
      <c r="Y325771" s="251"/>
      <c r="AB325771" s="251"/>
      <c r="AE325771" s="251"/>
      <c r="AH325771" s="251"/>
      <c r="AK325771" s="251"/>
    </row>
    <row r="325886" spans="25:37" x14ac:dyDescent="0.2">
      <c r="Y325886" s="5"/>
      <c r="AB325886" s="5"/>
      <c r="AE325886" s="5"/>
      <c r="AH325886" s="5"/>
      <c r="AK325886" s="5"/>
    </row>
    <row r="325896" spans="25:37" x14ac:dyDescent="0.2">
      <c r="Y325896" s="251"/>
      <c r="AB325896" s="251"/>
      <c r="AE325896" s="251"/>
      <c r="AH325896" s="251"/>
      <c r="AK325896" s="251"/>
    </row>
    <row r="326011" spans="25:37" x14ac:dyDescent="0.2">
      <c r="Y326011" s="5"/>
      <c r="AB326011" s="5"/>
      <c r="AE326011" s="5"/>
      <c r="AH326011" s="5"/>
      <c r="AK326011" s="5"/>
    </row>
    <row r="326021" spans="25:37" x14ac:dyDescent="0.2">
      <c r="Y326021" s="251"/>
      <c r="AB326021" s="251"/>
      <c r="AE326021" s="251"/>
      <c r="AH326021" s="251"/>
      <c r="AK326021" s="251"/>
    </row>
    <row r="326136" spans="25:37" x14ac:dyDescent="0.2">
      <c r="Y326136" s="5"/>
      <c r="AB326136" s="5"/>
      <c r="AE326136" s="5"/>
      <c r="AH326136" s="5"/>
      <c r="AK326136" s="5"/>
    </row>
    <row r="326146" spans="25:37" x14ac:dyDescent="0.2">
      <c r="Y326146" s="251"/>
      <c r="AB326146" s="251"/>
      <c r="AE326146" s="251"/>
      <c r="AH326146" s="251"/>
      <c r="AK326146" s="251"/>
    </row>
    <row r="326261" spans="25:37" x14ac:dyDescent="0.2">
      <c r="Y326261" s="5"/>
      <c r="AB326261" s="5"/>
      <c r="AE326261" s="5"/>
      <c r="AH326261" s="5"/>
      <c r="AK326261" s="5"/>
    </row>
    <row r="326271" spans="25:37" x14ac:dyDescent="0.2">
      <c r="Y326271" s="251"/>
      <c r="AB326271" s="251"/>
      <c r="AE326271" s="251"/>
      <c r="AH326271" s="251"/>
      <c r="AK326271" s="251"/>
    </row>
    <row r="326386" spans="25:37" x14ac:dyDescent="0.2">
      <c r="Y326386" s="5"/>
      <c r="AB326386" s="5"/>
      <c r="AE326386" s="5"/>
      <c r="AH326386" s="5"/>
      <c r="AK326386" s="5"/>
    </row>
    <row r="326396" spans="25:37" x14ac:dyDescent="0.2">
      <c r="Y326396" s="251"/>
      <c r="AB326396" s="251"/>
      <c r="AE326396" s="251"/>
      <c r="AH326396" s="251"/>
      <c r="AK326396" s="251"/>
    </row>
    <row r="326511" spans="25:37" x14ac:dyDescent="0.2">
      <c r="Y326511" s="5"/>
      <c r="AB326511" s="5"/>
      <c r="AE326511" s="5"/>
      <c r="AH326511" s="5"/>
      <c r="AK326511" s="5"/>
    </row>
    <row r="326521" spans="25:37" x14ac:dyDescent="0.2">
      <c r="Y326521" s="251"/>
      <c r="AB326521" s="251"/>
      <c r="AE326521" s="251"/>
      <c r="AH326521" s="251"/>
      <c r="AK326521" s="251"/>
    </row>
    <row r="326636" spans="25:37" x14ac:dyDescent="0.2">
      <c r="Y326636" s="5"/>
      <c r="AB326636" s="5"/>
      <c r="AE326636" s="5"/>
      <c r="AH326636" s="5"/>
      <c r="AK326636" s="5"/>
    </row>
    <row r="326646" spans="25:37" x14ac:dyDescent="0.2">
      <c r="Y326646" s="251"/>
      <c r="AB326646" s="251"/>
      <c r="AE326646" s="251"/>
      <c r="AH326646" s="251"/>
      <c r="AK326646" s="251"/>
    </row>
    <row r="326761" spans="25:37" x14ac:dyDescent="0.2">
      <c r="Y326761" s="5"/>
      <c r="AB326761" s="5"/>
      <c r="AE326761" s="5"/>
      <c r="AH326761" s="5"/>
      <c r="AK326761" s="5"/>
    </row>
    <row r="326771" spans="25:37" x14ac:dyDescent="0.2">
      <c r="Y326771" s="251"/>
      <c r="AB326771" s="251"/>
      <c r="AE326771" s="251"/>
      <c r="AH326771" s="251"/>
      <c r="AK326771" s="251"/>
    </row>
    <row r="326886" spans="25:37" x14ac:dyDescent="0.2">
      <c r="Y326886" s="5"/>
      <c r="AB326886" s="5"/>
      <c r="AE326886" s="5"/>
      <c r="AH326886" s="5"/>
      <c r="AK326886" s="5"/>
    </row>
    <row r="326896" spans="25:37" x14ac:dyDescent="0.2">
      <c r="Y326896" s="251"/>
      <c r="AB326896" s="251"/>
      <c r="AE326896" s="251"/>
      <c r="AH326896" s="251"/>
      <c r="AK326896" s="251"/>
    </row>
    <row r="327011" spans="25:37" x14ac:dyDescent="0.2">
      <c r="Y327011" s="5"/>
      <c r="AB327011" s="5"/>
      <c r="AE327011" s="5"/>
      <c r="AH327011" s="5"/>
      <c r="AK327011" s="5"/>
    </row>
    <row r="327021" spans="25:37" x14ac:dyDescent="0.2">
      <c r="Y327021" s="251"/>
      <c r="AB327021" s="251"/>
      <c r="AE327021" s="251"/>
      <c r="AH327021" s="251"/>
      <c r="AK327021" s="251"/>
    </row>
    <row r="327136" spans="25:37" x14ac:dyDescent="0.2">
      <c r="Y327136" s="5"/>
      <c r="AB327136" s="5"/>
      <c r="AE327136" s="5"/>
      <c r="AH327136" s="5"/>
      <c r="AK327136" s="5"/>
    </row>
    <row r="327146" spans="25:37" x14ac:dyDescent="0.2">
      <c r="Y327146" s="251"/>
      <c r="AB327146" s="251"/>
      <c r="AE327146" s="251"/>
      <c r="AH327146" s="251"/>
      <c r="AK327146" s="251"/>
    </row>
    <row r="327261" spans="25:37" x14ac:dyDescent="0.2">
      <c r="Y327261" s="5"/>
      <c r="AB327261" s="5"/>
      <c r="AE327261" s="5"/>
      <c r="AH327261" s="5"/>
      <c r="AK327261" s="5"/>
    </row>
    <row r="327271" spans="25:37" x14ac:dyDescent="0.2">
      <c r="Y327271" s="251"/>
      <c r="AB327271" s="251"/>
      <c r="AE327271" s="251"/>
      <c r="AH327271" s="251"/>
      <c r="AK327271" s="251"/>
    </row>
    <row r="327386" spans="25:37" x14ac:dyDescent="0.2">
      <c r="Y327386" s="5"/>
      <c r="AB327386" s="5"/>
      <c r="AE327386" s="5"/>
      <c r="AH327386" s="5"/>
      <c r="AK327386" s="5"/>
    </row>
    <row r="327396" spans="25:37" x14ac:dyDescent="0.2">
      <c r="Y327396" s="251"/>
      <c r="AB327396" s="251"/>
      <c r="AE327396" s="251"/>
      <c r="AH327396" s="251"/>
      <c r="AK327396" s="251"/>
    </row>
    <row r="327511" spans="25:37" x14ac:dyDescent="0.2">
      <c r="Y327511" s="5"/>
      <c r="AB327511" s="5"/>
      <c r="AE327511" s="5"/>
      <c r="AH327511" s="5"/>
      <c r="AK327511" s="5"/>
    </row>
    <row r="327521" spans="25:37" x14ac:dyDescent="0.2">
      <c r="Y327521" s="251"/>
      <c r="AB327521" s="251"/>
      <c r="AE327521" s="251"/>
      <c r="AH327521" s="251"/>
      <c r="AK327521" s="251"/>
    </row>
    <row r="327636" spans="25:37" x14ac:dyDescent="0.2">
      <c r="Y327636" s="5"/>
      <c r="AB327636" s="5"/>
      <c r="AE327636" s="5"/>
      <c r="AH327636" s="5"/>
      <c r="AK327636" s="5"/>
    </row>
    <row r="327646" spans="25:37" x14ac:dyDescent="0.2">
      <c r="Y327646" s="251"/>
      <c r="AB327646" s="251"/>
      <c r="AE327646" s="251"/>
      <c r="AH327646" s="251"/>
      <c r="AK327646" s="251"/>
    </row>
    <row r="327761" spans="25:37" x14ac:dyDescent="0.2">
      <c r="Y327761" s="5"/>
      <c r="AB327761" s="5"/>
      <c r="AE327761" s="5"/>
      <c r="AH327761" s="5"/>
      <c r="AK327761" s="5"/>
    </row>
    <row r="327771" spans="25:37" x14ac:dyDescent="0.2">
      <c r="Y327771" s="251"/>
      <c r="AB327771" s="251"/>
      <c r="AE327771" s="251"/>
      <c r="AH327771" s="251"/>
      <c r="AK327771" s="251"/>
    </row>
    <row r="327886" spans="25:37" x14ac:dyDescent="0.2">
      <c r="Y327886" s="5"/>
      <c r="AB327886" s="5"/>
      <c r="AE327886" s="5"/>
      <c r="AH327886" s="5"/>
      <c r="AK327886" s="5"/>
    </row>
    <row r="327896" spans="25:37" x14ac:dyDescent="0.2">
      <c r="Y327896" s="251"/>
      <c r="AB327896" s="251"/>
      <c r="AE327896" s="251"/>
      <c r="AH327896" s="251"/>
      <c r="AK327896" s="251"/>
    </row>
    <row r="328011" spans="25:37" x14ac:dyDescent="0.2">
      <c r="Y328011" s="5"/>
      <c r="AB328011" s="5"/>
      <c r="AE328011" s="5"/>
      <c r="AH328011" s="5"/>
      <c r="AK328011" s="5"/>
    </row>
    <row r="328021" spans="25:37" x14ac:dyDescent="0.2">
      <c r="Y328021" s="251"/>
      <c r="AB328021" s="251"/>
      <c r="AE328021" s="251"/>
      <c r="AH328021" s="251"/>
      <c r="AK328021" s="251"/>
    </row>
    <row r="328136" spans="25:37" x14ac:dyDescent="0.2">
      <c r="Y328136" s="5"/>
      <c r="AB328136" s="5"/>
      <c r="AE328136" s="5"/>
      <c r="AH328136" s="5"/>
      <c r="AK328136" s="5"/>
    </row>
    <row r="328146" spans="25:37" x14ac:dyDescent="0.2">
      <c r="Y328146" s="251"/>
      <c r="AB328146" s="251"/>
      <c r="AE328146" s="251"/>
      <c r="AH328146" s="251"/>
      <c r="AK328146" s="251"/>
    </row>
    <row r="328261" spans="25:37" x14ac:dyDescent="0.2">
      <c r="Y328261" s="5"/>
      <c r="AB328261" s="5"/>
      <c r="AE328261" s="5"/>
      <c r="AH328261" s="5"/>
      <c r="AK328261" s="5"/>
    </row>
    <row r="328271" spans="25:37" x14ac:dyDescent="0.2">
      <c r="Y328271" s="251"/>
      <c r="AB328271" s="251"/>
      <c r="AE328271" s="251"/>
      <c r="AH328271" s="251"/>
      <c r="AK328271" s="251"/>
    </row>
    <row r="328386" spans="25:37" x14ac:dyDescent="0.2">
      <c r="Y328386" s="5"/>
      <c r="AB328386" s="5"/>
      <c r="AE328386" s="5"/>
      <c r="AH328386" s="5"/>
      <c r="AK328386" s="5"/>
    </row>
    <row r="328396" spans="25:37" x14ac:dyDescent="0.2">
      <c r="Y328396" s="251"/>
      <c r="AB328396" s="251"/>
      <c r="AE328396" s="251"/>
      <c r="AH328396" s="251"/>
      <c r="AK328396" s="251"/>
    </row>
    <row r="328511" spans="25:37" x14ac:dyDescent="0.2">
      <c r="Y328511" s="5"/>
      <c r="AB328511" s="5"/>
      <c r="AE328511" s="5"/>
      <c r="AH328511" s="5"/>
      <c r="AK328511" s="5"/>
    </row>
    <row r="328521" spans="25:37" x14ac:dyDescent="0.2">
      <c r="Y328521" s="251"/>
      <c r="AB328521" s="251"/>
      <c r="AE328521" s="251"/>
      <c r="AH328521" s="251"/>
      <c r="AK328521" s="251"/>
    </row>
    <row r="328636" spans="25:37" x14ac:dyDescent="0.2">
      <c r="Y328636" s="5"/>
      <c r="AB328636" s="5"/>
      <c r="AE328636" s="5"/>
      <c r="AH328636" s="5"/>
      <c r="AK328636" s="5"/>
    </row>
    <row r="328646" spans="25:37" x14ac:dyDescent="0.2">
      <c r="Y328646" s="251"/>
      <c r="AB328646" s="251"/>
      <c r="AE328646" s="251"/>
      <c r="AH328646" s="251"/>
      <c r="AK328646" s="251"/>
    </row>
    <row r="328761" spans="25:37" x14ac:dyDescent="0.2">
      <c r="Y328761" s="5"/>
      <c r="AB328761" s="5"/>
      <c r="AE328761" s="5"/>
      <c r="AH328761" s="5"/>
      <c r="AK328761" s="5"/>
    </row>
    <row r="328771" spans="25:37" x14ac:dyDescent="0.2">
      <c r="Y328771" s="251"/>
      <c r="AB328771" s="251"/>
      <c r="AE328771" s="251"/>
      <c r="AH328771" s="251"/>
      <c r="AK328771" s="251"/>
    </row>
    <row r="328886" spans="25:37" x14ac:dyDescent="0.2">
      <c r="Y328886" s="5"/>
      <c r="AB328886" s="5"/>
      <c r="AE328886" s="5"/>
      <c r="AH328886" s="5"/>
      <c r="AK328886" s="5"/>
    </row>
    <row r="328896" spans="25:37" x14ac:dyDescent="0.2">
      <c r="Y328896" s="251"/>
      <c r="AB328896" s="251"/>
      <c r="AE328896" s="251"/>
      <c r="AH328896" s="251"/>
      <c r="AK328896" s="251"/>
    </row>
    <row r="329011" spans="25:37" x14ac:dyDescent="0.2">
      <c r="Y329011" s="5"/>
      <c r="AB329011" s="5"/>
      <c r="AE329011" s="5"/>
      <c r="AH329011" s="5"/>
      <c r="AK329011" s="5"/>
    </row>
    <row r="329021" spans="25:37" x14ac:dyDescent="0.2">
      <c r="Y329021" s="251"/>
      <c r="AB329021" s="251"/>
      <c r="AE329021" s="251"/>
      <c r="AH329021" s="251"/>
      <c r="AK329021" s="251"/>
    </row>
    <row r="329136" spans="25:37" x14ac:dyDescent="0.2">
      <c r="Y329136" s="5"/>
      <c r="AB329136" s="5"/>
      <c r="AE329136" s="5"/>
      <c r="AH329136" s="5"/>
      <c r="AK329136" s="5"/>
    </row>
    <row r="329146" spans="25:37" x14ac:dyDescent="0.2">
      <c r="Y329146" s="251"/>
      <c r="AB329146" s="251"/>
      <c r="AE329146" s="251"/>
      <c r="AH329146" s="251"/>
      <c r="AK329146" s="251"/>
    </row>
    <row r="329261" spans="25:37" x14ac:dyDescent="0.2">
      <c r="Y329261" s="5"/>
      <c r="AB329261" s="5"/>
      <c r="AE329261" s="5"/>
      <c r="AH329261" s="5"/>
      <c r="AK329261" s="5"/>
    </row>
    <row r="329271" spans="25:37" x14ac:dyDescent="0.2">
      <c r="Y329271" s="251"/>
      <c r="AB329271" s="251"/>
      <c r="AE329271" s="251"/>
      <c r="AH329271" s="251"/>
      <c r="AK329271" s="251"/>
    </row>
    <row r="329386" spans="25:37" x14ac:dyDescent="0.2">
      <c r="Y329386" s="5"/>
      <c r="AB329386" s="5"/>
      <c r="AE329386" s="5"/>
      <c r="AH329386" s="5"/>
      <c r="AK329386" s="5"/>
    </row>
    <row r="329396" spans="25:37" x14ac:dyDescent="0.2">
      <c r="Y329396" s="251"/>
      <c r="AB329396" s="251"/>
      <c r="AE329396" s="251"/>
      <c r="AH329396" s="251"/>
      <c r="AK329396" s="251"/>
    </row>
    <row r="329511" spans="25:37" x14ac:dyDescent="0.2">
      <c r="Y329511" s="5"/>
      <c r="AB329511" s="5"/>
      <c r="AE329511" s="5"/>
      <c r="AH329511" s="5"/>
      <c r="AK329511" s="5"/>
    </row>
    <row r="329521" spans="25:37" x14ac:dyDescent="0.2">
      <c r="Y329521" s="251"/>
      <c r="AB329521" s="251"/>
      <c r="AE329521" s="251"/>
      <c r="AH329521" s="251"/>
      <c r="AK329521" s="251"/>
    </row>
    <row r="329636" spans="25:37" x14ac:dyDescent="0.2">
      <c r="Y329636" s="5"/>
      <c r="AB329636" s="5"/>
      <c r="AE329636" s="5"/>
      <c r="AH329636" s="5"/>
      <c r="AK329636" s="5"/>
    </row>
    <row r="329646" spans="25:37" x14ac:dyDescent="0.2">
      <c r="Y329646" s="251"/>
      <c r="AB329646" s="251"/>
      <c r="AE329646" s="251"/>
      <c r="AH329646" s="251"/>
      <c r="AK329646" s="251"/>
    </row>
    <row r="329761" spans="25:37" x14ac:dyDescent="0.2">
      <c r="Y329761" s="5"/>
      <c r="AB329761" s="5"/>
      <c r="AE329761" s="5"/>
      <c r="AH329761" s="5"/>
      <c r="AK329761" s="5"/>
    </row>
    <row r="329771" spans="25:37" x14ac:dyDescent="0.2">
      <c r="Y329771" s="251"/>
      <c r="AB329771" s="251"/>
      <c r="AE329771" s="251"/>
      <c r="AH329771" s="251"/>
      <c r="AK329771" s="251"/>
    </row>
    <row r="329886" spans="25:37" x14ac:dyDescent="0.2">
      <c r="Y329886" s="5"/>
      <c r="AB329886" s="5"/>
      <c r="AE329886" s="5"/>
      <c r="AH329886" s="5"/>
      <c r="AK329886" s="5"/>
    </row>
    <row r="329896" spans="25:37" x14ac:dyDescent="0.2">
      <c r="Y329896" s="251"/>
      <c r="AB329896" s="251"/>
      <c r="AE329896" s="251"/>
      <c r="AH329896" s="251"/>
      <c r="AK329896" s="251"/>
    </row>
    <row r="330011" spans="25:37" x14ac:dyDescent="0.2">
      <c r="Y330011" s="5"/>
      <c r="AB330011" s="5"/>
      <c r="AE330011" s="5"/>
      <c r="AH330011" s="5"/>
      <c r="AK330011" s="5"/>
    </row>
    <row r="330021" spans="25:37" x14ac:dyDescent="0.2">
      <c r="Y330021" s="251"/>
      <c r="AB330021" s="251"/>
      <c r="AE330021" s="251"/>
      <c r="AH330021" s="251"/>
      <c r="AK330021" s="251"/>
    </row>
    <row r="330136" spans="25:37" x14ac:dyDescent="0.2">
      <c r="Y330136" s="5"/>
      <c r="AB330136" s="5"/>
      <c r="AE330136" s="5"/>
      <c r="AH330136" s="5"/>
      <c r="AK330136" s="5"/>
    </row>
    <row r="330146" spans="25:37" x14ac:dyDescent="0.2">
      <c r="Y330146" s="251"/>
      <c r="AB330146" s="251"/>
      <c r="AE330146" s="251"/>
      <c r="AH330146" s="251"/>
      <c r="AK330146" s="251"/>
    </row>
    <row r="330261" spans="25:37" x14ac:dyDescent="0.2">
      <c r="Y330261" s="5"/>
      <c r="AB330261" s="5"/>
      <c r="AE330261" s="5"/>
      <c r="AH330261" s="5"/>
      <c r="AK330261" s="5"/>
    </row>
    <row r="330271" spans="25:37" x14ac:dyDescent="0.2">
      <c r="Y330271" s="251"/>
      <c r="AB330271" s="251"/>
      <c r="AE330271" s="251"/>
      <c r="AH330271" s="251"/>
      <c r="AK330271" s="251"/>
    </row>
    <row r="330386" spans="25:37" x14ac:dyDescent="0.2">
      <c r="Y330386" s="5"/>
      <c r="AB330386" s="5"/>
      <c r="AE330386" s="5"/>
      <c r="AH330386" s="5"/>
      <c r="AK330386" s="5"/>
    </row>
    <row r="330396" spans="25:37" x14ac:dyDescent="0.2">
      <c r="Y330396" s="251"/>
      <c r="AB330396" s="251"/>
      <c r="AE330396" s="251"/>
      <c r="AH330396" s="251"/>
      <c r="AK330396" s="251"/>
    </row>
    <row r="330511" spans="25:37" x14ac:dyDescent="0.2">
      <c r="Y330511" s="5"/>
      <c r="AB330511" s="5"/>
      <c r="AE330511" s="5"/>
      <c r="AH330511" s="5"/>
      <c r="AK330511" s="5"/>
    </row>
    <row r="330521" spans="25:37" x14ac:dyDescent="0.2">
      <c r="Y330521" s="251"/>
      <c r="AB330521" s="251"/>
      <c r="AE330521" s="251"/>
      <c r="AH330521" s="251"/>
      <c r="AK330521" s="251"/>
    </row>
    <row r="330636" spans="25:37" x14ac:dyDescent="0.2">
      <c r="Y330636" s="5"/>
      <c r="AB330636" s="5"/>
      <c r="AE330636" s="5"/>
      <c r="AH330636" s="5"/>
      <c r="AK330636" s="5"/>
    </row>
    <row r="330646" spans="25:37" x14ac:dyDescent="0.2">
      <c r="Y330646" s="251"/>
      <c r="AB330646" s="251"/>
      <c r="AE330646" s="251"/>
      <c r="AH330646" s="251"/>
      <c r="AK330646" s="251"/>
    </row>
    <row r="330761" spans="25:37" x14ac:dyDescent="0.2">
      <c r="Y330761" s="5"/>
      <c r="AB330761" s="5"/>
      <c r="AE330761" s="5"/>
      <c r="AH330761" s="5"/>
      <c r="AK330761" s="5"/>
    </row>
    <row r="330771" spans="25:37" x14ac:dyDescent="0.2">
      <c r="Y330771" s="251"/>
      <c r="AB330771" s="251"/>
      <c r="AE330771" s="251"/>
      <c r="AH330771" s="251"/>
      <c r="AK330771" s="251"/>
    </row>
    <row r="330886" spans="25:37" x14ac:dyDescent="0.2">
      <c r="Y330886" s="5"/>
      <c r="AB330886" s="5"/>
      <c r="AE330886" s="5"/>
      <c r="AH330886" s="5"/>
      <c r="AK330886" s="5"/>
    </row>
    <row r="330896" spans="25:37" x14ac:dyDescent="0.2">
      <c r="Y330896" s="251"/>
      <c r="AB330896" s="251"/>
      <c r="AE330896" s="251"/>
      <c r="AH330896" s="251"/>
      <c r="AK330896" s="251"/>
    </row>
    <row r="331011" spans="25:37" x14ac:dyDescent="0.2">
      <c r="Y331011" s="5"/>
      <c r="AB331011" s="5"/>
      <c r="AE331011" s="5"/>
      <c r="AH331011" s="5"/>
      <c r="AK331011" s="5"/>
    </row>
    <row r="331021" spans="25:37" x14ac:dyDescent="0.2">
      <c r="Y331021" s="251"/>
      <c r="AB331021" s="251"/>
      <c r="AE331021" s="251"/>
      <c r="AH331021" s="251"/>
      <c r="AK331021" s="251"/>
    </row>
    <row r="331136" spans="25:37" x14ac:dyDescent="0.2">
      <c r="Y331136" s="5"/>
      <c r="AB331136" s="5"/>
      <c r="AE331136" s="5"/>
      <c r="AH331136" s="5"/>
      <c r="AK331136" s="5"/>
    </row>
    <row r="331146" spans="25:37" x14ac:dyDescent="0.2">
      <c r="Y331146" s="251"/>
      <c r="AB331146" s="251"/>
      <c r="AE331146" s="251"/>
      <c r="AH331146" s="251"/>
      <c r="AK331146" s="251"/>
    </row>
    <row r="331261" spans="25:37" x14ac:dyDescent="0.2">
      <c r="Y331261" s="5"/>
      <c r="AB331261" s="5"/>
      <c r="AE331261" s="5"/>
      <c r="AH331261" s="5"/>
      <c r="AK331261" s="5"/>
    </row>
    <row r="331271" spans="25:37" x14ac:dyDescent="0.2">
      <c r="Y331271" s="251"/>
      <c r="AB331271" s="251"/>
      <c r="AE331271" s="251"/>
      <c r="AH331271" s="251"/>
      <c r="AK331271" s="251"/>
    </row>
    <row r="331386" spans="25:37" x14ac:dyDescent="0.2">
      <c r="Y331386" s="5"/>
      <c r="AB331386" s="5"/>
      <c r="AE331386" s="5"/>
      <c r="AH331386" s="5"/>
      <c r="AK331386" s="5"/>
    </row>
    <row r="331396" spans="25:37" x14ac:dyDescent="0.2">
      <c r="Y331396" s="251"/>
      <c r="AB331396" s="251"/>
      <c r="AE331396" s="251"/>
      <c r="AH331396" s="251"/>
      <c r="AK331396" s="251"/>
    </row>
    <row r="331511" spans="25:37" x14ac:dyDescent="0.2">
      <c r="Y331511" s="5"/>
      <c r="AB331511" s="5"/>
      <c r="AE331511" s="5"/>
      <c r="AH331511" s="5"/>
      <c r="AK331511" s="5"/>
    </row>
    <row r="331521" spans="25:37" x14ac:dyDescent="0.2">
      <c r="Y331521" s="251"/>
      <c r="AB331521" s="251"/>
      <c r="AE331521" s="251"/>
      <c r="AH331521" s="251"/>
      <c r="AK331521" s="251"/>
    </row>
    <row r="331636" spans="25:37" x14ac:dyDescent="0.2">
      <c r="Y331636" s="5"/>
      <c r="AB331636" s="5"/>
      <c r="AE331636" s="5"/>
      <c r="AH331636" s="5"/>
      <c r="AK331636" s="5"/>
    </row>
    <row r="331646" spans="25:37" x14ac:dyDescent="0.2">
      <c r="Y331646" s="251"/>
      <c r="AB331646" s="251"/>
      <c r="AE331646" s="251"/>
      <c r="AH331646" s="251"/>
      <c r="AK331646" s="251"/>
    </row>
    <row r="331761" spans="25:37" x14ac:dyDescent="0.2">
      <c r="Y331761" s="5"/>
      <c r="AB331761" s="5"/>
      <c r="AE331761" s="5"/>
      <c r="AH331761" s="5"/>
      <c r="AK331761" s="5"/>
    </row>
    <row r="331771" spans="25:37" x14ac:dyDescent="0.2">
      <c r="Y331771" s="251"/>
      <c r="AB331771" s="251"/>
      <c r="AE331771" s="251"/>
      <c r="AH331771" s="251"/>
      <c r="AK331771" s="251"/>
    </row>
    <row r="331886" spans="25:37" x14ac:dyDescent="0.2">
      <c r="Y331886" s="5"/>
      <c r="AB331886" s="5"/>
      <c r="AE331886" s="5"/>
      <c r="AH331886" s="5"/>
      <c r="AK331886" s="5"/>
    </row>
    <row r="331896" spans="25:37" x14ac:dyDescent="0.2">
      <c r="Y331896" s="251"/>
      <c r="AB331896" s="251"/>
      <c r="AE331896" s="251"/>
      <c r="AH331896" s="251"/>
      <c r="AK331896" s="251"/>
    </row>
    <row r="332011" spans="25:37" x14ac:dyDescent="0.2">
      <c r="Y332011" s="5"/>
      <c r="AB332011" s="5"/>
      <c r="AE332011" s="5"/>
      <c r="AH332011" s="5"/>
      <c r="AK332011" s="5"/>
    </row>
    <row r="332021" spans="25:37" x14ac:dyDescent="0.2">
      <c r="Y332021" s="251"/>
      <c r="AB332021" s="251"/>
      <c r="AE332021" s="251"/>
      <c r="AH332021" s="251"/>
      <c r="AK332021" s="251"/>
    </row>
    <row r="332136" spans="25:37" x14ac:dyDescent="0.2">
      <c r="Y332136" s="5"/>
      <c r="AB332136" s="5"/>
      <c r="AE332136" s="5"/>
      <c r="AH332136" s="5"/>
      <c r="AK332136" s="5"/>
    </row>
    <row r="332146" spans="25:37" x14ac:dyDescent="0.2">
      <c r="Y332146" s="251"/>
      <c r="AB332146" s="251"/>
      <c r="AE332146" s="251"/>
      <c r="AH332146" s="251"/>
      <c r="AK332146" s="251"/>
    </row>
    <row r="332261" spans="25:37" x14ac:dyDescent="0.2">
      <c r="Y332261" s="5"/>
      <c r="AB332261" s="5"/>
      <c r="AE332261" s="5"/>
      <c r="AH332261" s="5"/>
      <c r="AK332261" s="5"/>
    </row>
    <row r="332271" spans="25:37" x14ac:dyDescent="0.2">
      <c r="Y332271" s="251"/>
      <c r="AB332271" s="251"/>
      <c r="AE332271" s="251"/>
      <c r="AH332271" s="251"/>
      <c r="AK332271" s="251"/>
    </row>
    <row r="332386" spans="25:37" x14ac:dyDescent="0.2">
      <c r="Y332386" s="5"/>
      <c r="AB332386" s="5"/>
      <c r="AE332386" s="5"/>
      <c r="AH332386" s="5"/>
      <c r="AK332386" s="5"/>
    </row>
    <row r="332396" spans="25:37" x14ac:dyDescent="0.2">
      <c r="Y332396" s="251"/>
      <c r="AB332396" s="251"/>
      <c r="AE332396" s="251"/>
      <c r="AH332396" s="251"/>
      <c r="AK332396" s="251"/>
    </row>
    <row r="332511" spans="25:37" x14ac:dyDescent="0.2">
      <c r="Y332511" s="5"/>
      <c r="AB332511" s="5"/>
      <c r="AE332511" s="5"/>
      <c r="AH332511" s="5"/>
      <c r="AK332511" s="5"/>
    </row>
    <row r="332521" spans="25:37" x14ac:dyDescent="0.2">
      <c r="Y332521" s="251"/>
      <c r="AB332521" s="251"/>
      <c r="AE332521" s="251"/>
      <c r="AH332521" s="251"/>
      <c r="AK332521" s="251"/>
    </row>
    <row r="332636" spans="25:37" x14ac:dyDescent="0.2">
      <c r="Y332636" s="5"/>
      <c r="AB332636" s="5"/>
      <c r="AE332636" s="5"/>
      <c r="AH332636" s="5"/>
      <c r="AK332636" s="5"/>
    </row>
    <row r="332646" spans="25:37" x14ac:dyDescent="0.2">
      <c r="Y332646" s="251"/>
      <c r="AB332646" s="251"/>
      <c r="AE332646" s="251"/>
      <c r="AH332646" s="251"/>
      <c r="AK332646" s="251"/>
    </row>
    <row r="332761" spans="25:37" x14ac:dyDescent="0.2">
      <c r="Y332761" s="5"/>
      <c r="AB332761" s="5"/>
      <c r="AE332761" s="5"/>
      <c r="AH332761" s="5"/>
      <c r="AK332761" s="5"/>
    </row>
    <row r="332771" spans="25:37" x14ac:dyDescent="0.2">
      <c r="Y332771" s="251"/>
      <c r="AB332771" s="251"/>
      <c r="AE332771" s="251"/>
      <c r="AH332771" s="251"/>
      <c r="AK332771" s="251"/>
    </row>
    <row r="332886" spans="25:37" x14ac:dyDescent="0.2">
      <c r="Y332886" s="5"/>
      <c r="AB332886" s="5"/>
      <c r="AE332886" s="5"/>
      <c r="AH332886" s="5"/>
      <c r="AK332886" s="5"/>
    </row>
    <row r="332896" spans="25:37" x14ac:dyDescent="0.2">
      <c r="Y332896" s="251"/>
      <c r="AB332896" s="251"/>
      <c r="AE332896" s="251"/>
      <c r="AH332896" s="251"/>
      <c r="AK332896" s="251"/>
    </row>
    <row r="333011" spans="25:37" x14ac:dyDescent="0.2">
      <c r="Y333011" s="5"/>
      <c r="AB333011" s="5"/>
      <c r="AE333011" s="5"/>
      <c r="AH333011" s="5"/>
      <c r="AK333011" s="5"/>
    </row>
    <row r="333021" spans="25:37" x14ac:dyDescent="0.2">
      <c r="Y333021" s="251"/>
      <c r="AB333021" s="251"/>
      <c r="AE333021" s="251"/>
      <c r="AH333021" s="251"/>
      <c r="AK333021" s="251"/>
    </row>
    <row r="333136" spans="25:37" x14ac:dyDescent="0.2">
      <c r="Y333136" s="5"/>
      <c r="AB333136" s="5"/>
      <c r="AE333136" s="5"/>
      <c r="AH333136" s="5"/>
      <c r="AK333136" s="5"/>
    </row>
    <row r="333146" spans="25:37" x14ac:dyDescent="0.2">
      <c r="Y333146" s="251"/>
      <c r="AB333146" s="251"/>
      <c r="AE333146" s="251"/>
      <c r="AH333146" s="251"/>
      <c r="AK333146" s="251"/>
    </row>
    <row r="333261" spans="25:37" x14ac:dyDescent="0.2">
      <c r="Y333261" s="5"/>
      <c r="AB333261" s="5"/>
      <c r="AE333261" s="5"/>
      <c r="AH333261" s="5"/>
      <c r="AK333261" s="5"/>
    </row>
    <row r="333271" spans="25:37" x14ac:dyDescent="0.2">
      <c r="Y333271" s="251"/>
      <c r="AB333271" s="251"/>
      <c r="AE333271" s="251"/>
      <c r="AH333271" s="251"/>
      <c r="AK333271" s="251"/>
    </row>
    <row r="333386" spans="25:37" x14ac:dyDescent="0.2">
      <c r="Y333386" s="5"/>
      <c r="AB333386" s="5"/>
      <c r="AE333386" s="5"/>
      <c r="AH333386" s="5"/>
      <c r="AK333386" s="5"/>
    </row>
    <row r="333396" spans="25:37" x14ac:dyDescent="0.2">
      <c r="Y333396" s="251"/>
      <c r="AB333396" s="251"/>
      <c r="AE333396" s="251"/>
      <c r="AH333396" s="251"/>
      <c r="AK333396" s="251"/>
    </row>
    <row r="333511" spans="25:37" x14ac:dyDescent="0.2">
      <c r="Y333511" s="5"/>
      <c r="AB333511" s="5"/>
      <c r="AE333511" s="5"/>
      <c r="AH333511" s="5"/>
      <c r="AK333511" s="5"/>
    </row>
    <row r="333521" spans="25:37" x14ac:dyDescent="0.2">
      <c r="Y333521" s="251"/>
      <c r="AB333521" s="251"/>
      <c r="AE333521" s="251"/>
      <c r="AH333521" s="251"/>
      <c r="AK333521" s="251"/>
    </row>
    <row r="333636" spans="25:37" x14ac:dyDescent="0.2">
      <c r="Y333636" s="5"/>
      <c r="AB333636" s="5"/>
      <c r="AE333636" s="5"/>
      <c r="AH333636" s="5"/>
      <c r="AK333636" s="5"/>
    </row>
    <row r="333646" spans="25:37" x14ac:dyDescent="0.2">
      <c r="Y333646" s="251"/>
      <c r="AB333646" s="251"/>
      <c r="AE333646" s="251"/>
      <c r="AH333646" s="251"/>
      <c r="AK333646" s="251"/>
    </row>
    <row r="333761" spans="25:37" x14ac:dyDescent="0.2">
      <c r="Y333761" s="5"/>
      <c r="AB333761" s="5"/>
      <c r="AE333761" s="5"/>
      <c r="AH333761" s="5"/>
      <c r="AK333761" s="5"/>
    </row>
    <row r="333771" spans="25:37" x14ac:dyDescent="0.2">
      <c r="Y333771" s="251"/>
      <c r="AB333771" s="251"/>
      <c r="AE333771" s="251"/>
      <c r="AH333771" s="251"/>
      <c r="AK333771" s="251"/>
    </row>
    <row r="333886" spans="25:37" x14ac:dyDescent="0.2">
      <c r="Y333886" s="5"/>
      <c r="AB333886" s="5"/>
      <c r="AE333886" s="5"/>
      <c r="AH333886" s="5"/>
      <c r="AK333886" s="5"/>
    </row>
    <row r="333896" spans="25:37" x14ac:dyDescent="0.2">
      <c r="Y333896" s="251"/>
      <c r="AB333896" s="251"/>
      <c r="AE333896" s="251"/>
      <c r="AH333896" s="251"/>
      <c r="AK333896" s="251"/>
    </row>
    <row r="334011" spans="25:37" x14ac:dyDescent="0.2">
      <c r="Y334011" s="5"/>
      <c r="AB334011" s="5"/>
      <c r="AE334011" s="5"/>
      <c r="AH334011" s="5"/>
      <c r="AK334011" s="5"/>
    </row>
    <row r="334021" spans="25:37" x14ac:dyDescent="0.2">
      <c r="Y334021" s="251"/>
      <c r="AB334021" s="251"/>
      <c r="AE334021" s="251"/>
      <c r="AH334021" s="251"/>
      <c r="AK334021" s="251"/>
    </row>
    <row r="334136" spans="25:37" x14ac:dyDescent="0.2">
      <c r="Y334136" s="5"/>
      <c r="AB334136" s="5"/>
      <c r="AE334136" s="5"/>
      <c r="AH334136" s="5"/>
      <c r="AK334136" s="5"/>
    </row>
    <row r="334146" spans="25:37" x14ac:dyDescent="0.2">
      <c r="Y334146" s="251"/>
      <c r="AB334146" s="251"/>
      <c r="AE334146" s="251"/>
      <c r="AH334146" s="251"/>
      <c r="AK334146" s="251"/>
    </row>
    <row r="334261" spans="25:37" x14ac:dyDescent="0.2">
      <c r="Y334261" s="5"/>
      <c r="AB334261" s="5"/>
      <c r="AE334261" s="5"/>
      <c r="AH334261" s="5"/>
      <c r="AK334261" s="5"/>
    </row>
    <row r="334271" spans="25:37" x14ac:dyDescent="0.2">
      <c r="Y334271" s="251"/>
      <c r="AB334271" s="251"/>
      <c r="AE334271" s="251"/>
      <c r="AH334271" s="251"/>
      <c r="AK334271" s="251"/>
    </row>
    <row r="334386" spans="25:37" x14ac:dyDescent="0.2">
      <c r="Y334386" s="5"/>
      <c r="AB334386" s="5"/>
      <c r="AE334386" s="5"/>
      <c r="AH334386" s="5"/>
      <c r="AK334386" s="5"/>
    </row>
    <row r="334396" spans="25:37" x14ac:dyDescent="0.2">
      <c r="Y334396" s="251"/>
      <c r="AB334396" s="251"/>
      <c r="AE334396" s="251"/>
      <c r="AH334396" s="251"/>
      <c r="AK334396" s="251"/>
    </row>
    <row r="334511" spans="25:37" x14ac:dyDescent="0.2">
      <c r="Y334511" s="5"/>
      <c r="AB334511" s="5"/>
      <c r="AE334511" s="5"/>
      <c r="AH334511" s="5"/>
      <c r="AK334511" s="5"/>
    </row>
    <row r="334521" spans="25:37" x14ac:dyDescent="0.2">
      <c r="Y334521" s="251"/>
      <c r="AB334521" s="251"/>
      <c r="AE334521" s="251"/>
      <c r="AH334521" s="251"/>
      <c r="AK334521" s="251"/>
    </row>
    <row r="334636" spans="25:37" x14ac:dyDescent="0.2">
      <c r="Y334636" s="5"/>
      <c r="AB334636" s="5"/>
      <c r="AE334636" s="5"/>
      <c r="AH334636" s="5"/>
      <c r="AK334636" s="5"/>
    </row>
    <row r="334646" spans="25:37" x14ac:dyDescent="0.2">
      <c r="Y334646" s="251"/>
      <c r="AB334646" s="251"/>
      <c r="AE334646" s="251"/>
      <c r="AH334646" s="251"/>
      <c r="AK334646" s="251"/>
    </row>
    <row r="334761" spans="25:37" x14ac:dyDescent="0.2">
      <c r="Y334761" s="5"/>
      <c r="AB334761" s="5"/>
      <c r="AE334761" s="5"/>
      <c r="AH334761" s="5"/>
      <c r="AK334761" s="5"/>
    </row>
    <row r="334771" spans="25:37" x14ac:dyDescent="0.2">
      <c r="Y334771" s="251"/>
      <c r="AB334771" s="251"/>
      <c r="AE334771" s="251"/>
      <c r="AH334771" s="251"/>
      <c r="AK334771" s="251"/>
    </row>
    <row r="334886" spans="25:37" x14ac:dyDescent="0.2">
      <c r="Y334886" s="5"/>
      <c r="AB334886" s="5"/>
      <c r="AE334886" s="5"/>
      <c r="AH334886" s="5"/>
      <c r="AK334886" s="5"/>
    </row>
    <row r="334896" spans="25:37" x14ac:dyDescent="0.2">
      <c r="Y334896" s="251"/>
      <c r="AB334896" s="251"/>
      <c r="AE334896" s="251"/>
      <c r="AH334896" s="251"/>
      <c r="AK334896" s="251"/>
    </row>
    <row r="335011" spans="25:37" x14ac:dyDescent="0.2">
      <c r="Y335011" s="5"/>
      <c r="AB335011" s="5"/>
      <c r="AE335011" s="5"/>
      <c r="AH335011" s="5"/>
      <c r="AK335011" s="5"/>
    </row>
    <row r="335021" spans="25:37" x14ac:dyDescent="0.2">
      <c r="Y335021" s="251"/>
      <c r="AB335021" s="251"/>
      <c r="AE335021" s="251"/>
      <c r="AH335021" s="251"/>
      <c r="AK335021" s="251"/>
    </row>
    <row r="335136" spans="25:37" x14ac:dyDescent="0.2">
      <c r="Y335136" s="5"/>
      <c r="AB335136" s="5"/>
      <c r="AE335136" s="5"/>
      <c r="AH335136" s="5"/>
      <c r="AK335136" s="5"/>
    </row>
    <row r="335146" spans="25:37" x14ac:dyDescent="0.2">
      <c r="Y335146" s="251"/>
      <c r="AB335146" s="251"/>
      <c r="AE335146" s="251"/>
      <c r="AH335146" s="251"/>
      <c r="AK335146" s="251"/>
    </row>
    <row r="335261" spans="25:37" x14ac:dyDescent="0.2">
      <c r="Y335261" s="5"/>
      <c r="AB335261" s="5"/>
      <c r="AE335261" s="5"/>
      <c r="AH335261" s="5"/>
      <c r="AK335261" s="5"/>
    </row>
    <row r="335271" spans="25:37" x14ac:dyDescent="0.2">
      <c r="Y335271" s="251"/>
      <c r="AB335271" s="251"/>
      <c r="AE335271" s="251"/>
      <c r="AH335271" s="251"/>
      <c r="AK335271" s="251"/>
    </row>
    <row r="335386" spans="25:37" x14ac:dyDescent="0.2">
      <c r="Y335386" s="5"/>
      <c r="AB335386" s="5"/>
      <c r="AE335386" s="5"/>
      <c r="AH335386" s="5"/>
      <c r="AK335386" s="5"/>
    </row>
    <row r="335396" spans="25:37" x14ac:dyDescent="0.2">
      <c r="Y335396" s="251"/>
      <c r="AB335396" s="251"/>
      <c r="AE335396" s="251"/>
      <c r="AH335396" s="251"/>
      <c r="AK335396" s="251"/>
    </row>
    <row r="335511" spans="25:37" x14ac:dyDescent="0.2">
      <c r="Y335511" s="5"/>
      <c r="AB335511" s="5"/>
      <c r="AE335511" s="5"/>
      <c r="AH335511" s="5"/>
      <c r="AK335511" s="5"/>
    </row>
    <row r="335521" spans="25:37" x14ac:dyDescent="0.2">
      <c r="Y335521" s="251"/>
      <c r="AB335521" s="251"/>
      <c r="AE335521" s="251"/>
      <c r="AH335521" s="251"/>
      <c r="AK335521" s="251"/>
    </row>
    <row r="335636" spans="25:37" x14ac:dyDescent="0.2">
      <c r="Y335636" s="5"/>
      <c r="AB335636" s="5"/>
      <c r="AE335636" s="5"/>
      <c r="AH335636" s="5"/>
      <c r="AK335636" s="5"/>
    </row>
    <row r="335646" spans="25:37" x14ac:dyDescent="0.2">
      <c r="Y335646" s="251"/>
      <c r="AB335646" s="251"/>
      <c r="AE335646" s="251"/>
      <c r="AH335646" s="251"/>
      <c r="AK335646" s="251"/>
    </row>
    <row r="335761" spans="25:37" x14ac:dyDescent="0.2">
      <c r="Y335761" s="5"/>
      <c r="AB335761" s="5"/>
      <c r="AE335761" s="5"/>
      <c r="AH335761" s="5"/>
      <c r="AK335761" s="5"/>
    </row>
    <row r="335771" spans="25:37" x14ac:dyDescent="0.2">
      <c r="Y335771" s="251"/>
      <c r="AB335771" s="251"/>
      <c r="AE335771" s="251"/>
      <c r="AH335771" s="251"/>
      <c r="AK335771" s="251"/>
    </row>
    <row r="335886" spans="25:37" x14ac:dyDescent="0.2">
      <c r="Y335886" s="5"/>
      <c r="AB335886" s="5"/>
      <c r="AE335886" s="5"/>
      <c r="AH335886" s="5"/>
      <c r="AK335886" s="5"/>
    </row>
    <row r="335896" spans="25:37" x14ac:dyDescent="0.2">
      <c r="Y335896" s="251"/>
      <c r="AB335896" s="251"/>
      <c r="AE335896" s="251"/>
      <c r="AH335896" s="251"/>
      <c r="AK335896" s="251"/>
    </row>
    <row r="336011" spans="25:37" x14ac:dyDescent="0.2">
      <c r="Y336011" s="5"/>
      <c r="AB336011" s="5"/>
      <c r="AE336011" s="5"/>
      <c r="AH336011" s="5"/>
      <c r="AK336011" s="5"/>
    </row>
    <row r="336021" spans="25:37" x14ac:dyDescent="0.2">
      <c r="Y336021" s="251"/>
      <c r="AB336021" s="251"/>
      <c r="AE336021" s="251"/>
      <c r="AH336021" s="251"/>
      <c r="AK336021" s="251"/>
    </row>
    <row r="336136" spans="25:37" x14ac:dyDescent="0.2">
      <c r="Y336136" s="5"/>
      <c r="AB336136" s="5"/>
      <c r="AE336136" s="5"/>
      <c r="AH336136" s="5"/>
      <c r="AK336136" s="5"/>
    </row>
    <row r="336146" spans="25:37" x14ac:dyDescent="0.2">
      <c r="Y336146" s="251"/>
      <c r="AB336146" s="251"/>
      <c r="AE336146" s="251"/>
      <c r="AH336146" s="251"/>
      <c r="AK336146" s="251"/>
    </row>
    <row r="336261" spans="25:37" x14ac:dyDescent="0.2">
      <c r="Y336261" s="5"/>
      <c r="AB336261" s="5"/>
      <c r="AE336261" s="5"/>
      <c r="AH336261" s="5"/>
      <c r="AK336261" s="5"/>
    </row>
    <row r="336271" spans="25:37" x14ac:dyDescent="0.2">
      <c r="Y336271" s="251"/>
      <c r="AB336271" s="251"/>
      <c r="AE336271" s="251"/>
      <c r="AH336271" s="251"/>
      <c r="AK336271" s="251"/>
    </row>
    <row r="336386" spans="25:37" x14ac:dyDescent="0.2">
      <c r="Y336386" s="5"/>
      <c r="AB336386" s="5"/>
      <c r="AE336386" s="5"/>
      <c r="AH336386" s="5"/>
      <c r="AK336386" s="5"/>
    </row>
    <row r="336396" spans="25:37" x14ac:dyDescent="0.2">
      <c r="Y336396" s="251"/>
      <c r="AB336396" s="251"/>
      <c r="AE336396" s="251"/>
      <c r="AH336396" s="251"/>
      <c r="AK336396" s="251"/>
    </row>
    <row r="336511" spans="25:37" x14ac:dyDescent="0.2">
      <c r="Y336511" s="5"/>
      <c r="AB336511" s="5"/>
      <c r="AE336511" s="5"/>
      <c r="AH336511" s="5"/>
      <c r="AK336511" s="5"/>
    </row>
    <row r="336521" spans="25:37" x14ac:dyDescent="0.2">
      <c r="Y336521" s="251"/>
      <c r="AB336521" s="251"/>
      <c r="AE336521" s="251"/>
      <c r="AH336521" s="251"/>
      <c r="AK336521" s="251"/>
    </row>
    <row r="336636" spans="25:37" x14ac:dyDescent="0.2">
      <c r="Y336636" s="5"/>
      <c r="AB336636" s="5"/>
      <c r="AE336636" s="5"/>
      <c r="AH336636" s="5"/>
      <c r="AK336636" s="5"/>
    </row>
    <row r="336646" spans="25:37" x14ac:dyDescent="0.2">
      <c r="Y336646" s="251"/>
      <c r="AB336646" s="251"/>
      <c r="AE336646" s="251"/>
      <c r="AH336646" s="251"/>
      <c r="AK336646" s="251"/>
    </row>
    <row r="336761" spans="25:37" x14ac:dyDescent="0.2">
      <c r="Y336761" s="5"/>
      <c r="AB336761" s="5"/>
      <c r="AE336761" s="5"/>
      <c r="AH336761" s="5"/>
      <c r="AK336761" s="5"/>
    </row>
    <row r="336771" spans="25:37" x14ac:dyDescent="0.2">
      <c r="Y336771" s="251"/>
      <c r="AB336771" s="251"/>
      <c r="AE336771" s="251"/>
      <c r="AH336771" s="251"/>
      <c r="AK336771" s="251"/>
    </row>
    <row r="336886" spans="25:37" x14ac:dyDescent="0.2">
      <c r="Y336886" s="5"/>
      <c r="AB336886" s="5"/>
      <c r="AE336886" s="5"/>
      <c r="AH336886" s="5"/>
      <c r="AK336886" s="5"/>
    </row>
    <row r="336896" spans="25:37" x14ac:dyDescent="0.2">
      <c r="Y336896" s="251"/>
      <c r="AB336896" s="251"/>
      <c r="AE336896" s="251"/>
      <c r="AH336896" s="251"/>
      <c r="AK336896" s="251"/>
    </row>
    <row r="337011" spans="25:37" x14ac:dyDescent="0.2">
      <c r="Y337011" s="5"/>
      <c r="AB337011" s="5"/>
      <c r="AE337011" s="5"/>
      <c r="AH337011" s="5"/>
      <c r="AK337011" s="5"/>
    </row>
    <row r="337021" spans="25:37" x14ac:dyDescent="0.2">
      <c r="Y337021" s="251"/>
      <c r="AB337021" s="251"/>
      <c r="AE337021" s="251"/>
      <c r="AH337021" s="251"/>
      <c r="AK337021" s="251"/>
    </row>
    <row r="337136" spans="25:37" x14ac:dyDescent="0.2">
      <c r="Y337136" s="5"/>
      <c r="AB337136" s="5"/>
      <c r="AE337136" s="5"/>
      <c r="AH337136" s="5"/>
      <c r="AK337136" s="5"/>
    </row>
    <row r="337146" spans="25:37" x14ac:dyDescent="0.2">
      <c r="Y337146" s="251"/>
      <c r="AB337146" s="251"/>
      <c r="AE337146" s="251"/>
      <c r="AH337146" s="251"/>
      <c r="AK337146" s="251"/>
    </row>
    <row r="337261" spans="25:37" x14ac:dyDescent="0.2">
      <c r="Y337261" s="5"/>
      <c r="AB337261" s="5"/>
      <c r="AE337261" s="5"/>
      <c r="AH337261" s="5"/>
      <c r="AK337261" s="5"/>
    </row>
    <row r="337271" spans="25:37" x14ac:dyDescent="0.2">
      <c r="Y337271" s="251"/>
      <c r="AB337271" s="251"/>
      <c r="AE337271" s="251"/>
      <c r="AH337271" s="251"/>
      <c r="AK337271" s="251"/>
    </row>
    <row r="337386" spans="25:37" x14ac:dyDescent="0.2">
      <c r="Y337386" s="5"/>
      <c r="AB337386" s="5"/>
      <c r="AE337386" s="5"/>
      <c r="AH337386" s="5"/>
      <c r="AK337386" s="5"/>
    </row>
    <row r="337396" spans="25:37" x14ac:dyDescent="0.2">
      <c r="Y337396" s="251"/>
      <c r="AB337396" s="251"/>
      <c r="AE337396" s="251"/>
      <c r="AH337396" s="251"/>
      <c r="AK337396" s="251"/>
    </row>
    <row r="337511" spans="25:37" x14ac:dyDescent="0.2">
      <c r="Y337511" s="5"/>
      <c r="AB337511" s="5"/>
      <c r="AE337511" s="5"/>
      <c r="AH337511" s="5"/>
      <c r="AK337511" s="5"/>
    </row>
    <row r="337521" spans="25:37" x14ac:dyDescent="0.2">
      <c r="Y337521" s="251"/>
      <c r="AB337521" s="251"/>
      <c r="AE337521" s="251"/>
      <c r="AH337521" s="251"/>
      <c r="AK337521" s="251"/>
    </row>
    <row r="337636" spans="25:37" x14ac:dyDescent="0.2">
      <c r="Y337636" s="5"/>
      <c r="AB337636" s="5"/>
      <c r="AE337636" s="5"/>
      <c r="AH337636" s="5"/>
      <c r="AK337636" s="5"/>
    </row>
    <row r="337646" spans="25:37" x14ac:dyDescent="0.2">
      <c r="Y337646" s="251"/>
      <c r="AB337646" s="251"/>
      <c r="AE337646" s="251"/>
      <c r="AH337646" s="251"/>
      <c r="AK337646" s="251"/>
    </row>
    <row r="337761" spans="25:37" x14ac:dyDescent="0.2">
      <c r="Y337761" s="5"/>
      <c r="AB337761" s="5"/>
      <c r="AE337761" s="5"/>
      <c r="AH337761" s="5"/>
      <c r="AK337761" s="5"/>
    </row>
    <row r="337771" spans="25:37" x14ac:dyDescent="0.2">
      <c r="Y337771" s="251"/>
      <c r="AB337771" s="251"/>
      <c r="AE337771" s="251"/>
      <c r="AH337771" s="251"/>
      <c r="AK337771" s="251"/>
    </row>
    <row r="337886" spans="25:37" x14ac:dyDescent="0.2">
      <c r="Y337886" s="5"/>
      <c r="AB337886" s="5"/>
      <c r="AE337886" s="5"/>
      <c r="AH337886" s="5"/>
      <c r="AK337886" s="5"/>
    </row>
    <row r="337896" spans="25:37" x14ac:dyDescent="0.2">
      <c r="Y337896" s="251"/>
      <c r="AB337896" s="251"/>
      <c r="AE337896" s="251"/>
      <c r="AH337896" s="251"/>
      <c r="AK337896" s="251"/>
    </row>
    <row r="338011" spans="25:37" x14ac:dyDescent="0.2">
      <c r="Y338011" s="5"/>
      <c r="AB338011" s="5"/>
      <c r="AE338011" s="5"/>
      <c r="AH338011" s="5"/>
      <c r="AK338011" s="5"/>
    </row>
    <row r="338021" spans="25:37" x14ac:dyDescent="0.2">
      <c r="Y338021" s="251"/>
      <c r="AB338021" s="251"/>
      <c r="AE338021" s="251"/>
      <c r="AH338021" s="251"/>
      <c r="AK338021" s="251"/>
    </row>
    <row r="338136" spans="25:37" x14ac:dyDescent="0.2">
      <c r="Y338136" s="5"/>
      <c r="AB338136" s="5"/>
      <c r="AE338136" s="5"/>
      <c r="AH338136" s="5"/>
      <c r="AK338136" s="5"/>
    </row>
    <row r="338146" spans="25:37" x14ac:dyDescent="0.2">
      <c r="Y338146" s="251"/>
      <c r="AB338146" s="251"/>
      <c r="AE338146" s="251"/>
      <c r="AH338146" s="251"/>
      <c r="AK338146" s="251"/>
    </row>
    <row r="338261" spans="25:37" x14ac:dyDescent="0.2">
      <c r="Y338261" s="5"/>
      <c r="AB338261" s="5"/>
      <c r="AE338261" s="5"/>
      <c r="AH338261" s="5"/>
      <c r="AK338261" s="5"/>
    </row>
    <row r="338271" spans="25:37" x14ac:dyDescent="0.2">
      <c r="Y338271" s="251"/>
      <c r="AB338271" s="251"/>
      <c r="AE338271" s="251"/>
      <c r="AH338271" s="251"/>
      <c r="AK338271" s="251"/>
    </row>
    <row r="338386" spans="25:37" x14ac:dyDescent="0.2">
      <c r="Y338386" s="5"/>
      <c r="AB338386" s="5"/>
      <c r="AE338386" s="5"/>
      <c r="AH338386" s="5"/>
      <c r="AK338386" s="5"/>
    </row>
    <row r="338396" spans="25:37" x14ac:dyDescent="0.2">
      <c r="Y338396" s="251"/>
      <c r="AB338396" s="251"/>
      <c r="AE338396" s="251"/>
      <c r="AH338396" s="251"/>
      <c r="AK338396" s="251"/>
    </row>
    <row r="338511" spans="25:37" x14ac:dyDescent="0.2">
      <c r="Y338511" s="5"/>
      <c r="AB338511" s="5"/>
      <c r="AE338511" s="5"/>
      <c r="AH338511" s="5"/>
      <c r="AK338511" s="5"/>
    </row>
    <row r="338521" spans="25:37" x14ac:dyDescent="0.2">
      <c r="Y338521" s="251"/>
      <c r="AB338521" s="251"/>
      <c r="AE338521" s="251"/>
      <c r="AH338521" s="251"/>
      <c r="AK338521" s="251"/>
    </row>
    <row r="338636" spans="25:37" x14ac:dyDescent="0.2">
      <c r="Y338636" s="5"/>
      <c r="AB338636" s="5"/>
      <c r="AE338636" s="5"/>
      <c r="AH338636" s="5"/>
      <c r="AK338636" s="5"/>
    </row>
    <row r="338646" spans="25:37" x14ac:dyDescent="0.2">
      <c r="Y338646" s="251"/>
      <c r="AB338646" s="251"/>
      <c r="AE338646" s="251"/>
      <c r="AH338646" s="251"/>
      <c r="AK338646" s="251"/>
    </row>
    <row r="338761" spans="25:37" x14ac:dyDescent="0.2">
      <c r="Y338761" s="5"/>
      <c r="AB338761" s="5"/>
      <c r="AE338761" s="5"/>
      <c r="AH338761" s="5"/>
      <c r="AK338761" s="5"/>
    </row>
    <row r="338771" spans="25:37" x14ac:dyDescent="0.2">
      <c r="Y338771" s="251"/>
      <c r="AB338771" s="251"/>
      <c r="AE338771" s="251"/>
      <c r="AH338771" s="251"/>
      <c r="AK338771" s="251"/>
    </row>
    <row r="338886" spans="25:37" x14ac:dyDescent="0.2">
      <c r="Y338886" s="5"/>
      <c r="AB338886" s="5"/>
      <c r="AE338886" s="5"/>
      <c r="AH338886" s="5"/>
      <c r="AK338886" s="5"/>
    </row>
    <row r="338896" spans="25:37" x14ac:dyDescent="0.2">
      <c r="Y338896" s="251"/>
      <c r="AB338896" s="251"/>
      <c r="AE338896" s="251"/>
      <c r="AH338896" s="251"/>
      <c r="AK338896" s="251"/>
    </row>
    <row r="339011" spans="25:37" x14ac:dyDescent="0.2">
      <c r="Y339011" s="5"/>
      <c r="AB339011" s="5"/>
      <c r="AE339011" s="5"/>
      <c r="AH339011" s="5"/>
      <c r="AK339011" s="5"/>
    </row>
    <row r="339021" spans="25:37" x14ac:dyDescent="0.2">
      <c r="Y339021" s="251"/>
      <c r="AB339021" s="251"/>
      <c r="AE339021" s="251"/>
      <c r="AH339021" s="251"/>
      <c r="AK339021" s="251"/>
    </row>
    <row r="339136" spans="25:37" x14ac:dyDescent="0.2">
      <c r="Y339136" s="5"/>
      <c r="AB339136" s="5"/>
      <c r="AE339136" s="5"/>
      <c r="AH339136" s="5"/>
      <c r="AK339136" s="5"/>
    </row>
    <row r="339146" spans="25:37" x14ac:dyDescent="0.2">
      <c r="Y339146" s="251"/>
      <c r="AB339146" s="251"/>
      <c r="AE339146" s="251"/>
      <c r="AH339146" s="251"/>
      <c r="AK339146" s="251"/>
    </row>
    <row r="339261" spans="25:37" x14ac:dyDescent="0.2">
      <c r="Y339261" s="5"/>
      <c r="AB339261" s="5"/>
      <c r="AE339261" s="5"/>
      <c r="AH339261" s="5"/>
      <c r="AK339261" s="5"/>
    </row>
    <row r="339271" spans="25:37" x14ac:dyDescent="0.2">
      <c r="Y339271" s="251"/>
      <c r="AB339271" s="251"/>
      <c r="AE339271" s="251"/>
      <c r="AH339271" s="251"/>
      <c r="AK339271" s="251"/>
    </row>
    <row r="339386" spans="25:37" x14ac:dyDescent="0.2">
      <c r="Y339386" s="5"/>
      <c r="AB339386" s="5"/>
      <c r="AE339386" s="5"/>
      <c r="AH339386" s="5"/>
      <c r="AK339386" s="5"/>
    </row>
    <row r="339396" spans="25:37" x14ac:dyDescent="0.2">
      <c r="Y339396" s="251"/>
      <c r="AB339396" s="251"/>
      <c r="AE339396" s="251"/>
      <c r="AH339396" s="251"/>
      <c r="AK339396" s="251"/>
    </row>
    <row r="339511" spans="25:37" x14ac:dyDescent="0.2">
      <c r="Y339511" s="5"/>
      <c r="AB339511" s="5"/>
      <c r="AE339511" s="5"/>
      <c r="AH339511" s="5"/>
      <c r="AK339511" s="5"/>
    </row>
    <row r="339521" spans="25:37" x14ac:dyDescent="0.2">
      <c r="Y339521" s="251"/>
      <c r="AB339521" s="251"/>
      <c r="AE339521" s="251"/>
      <c r="AH339521" s="251"/>
      <c r="AK339521" s="251"/>
    </row>
    <row r="339636" spans="25:37" x14ac:dyDescent="0.2">
      <c r="Y339636" s="5"/>
      <c r="AB339636" s="5"/>
      <c r="AE339636" s="5"/>
      <c r="AH339636" s="5"/>
      <c r="AK339636" s="5"/>
    </row>
    <row r="339646" spans="25:37" x14ac:dyDescent="0.2">
      <c r="Y339646" s="251"/>
      <c r="AB339646" s="251"/>
      <c r="AE339646" s="251"/>
      <c r="AH339646" s="251"/>
      <c r="AK339646" s="251"/>
    </row>
    <row r="339761" spans="25:37" x14ac:dyDescent="0.2">
      <c r="Y339761" s="5"/>
      <c r="AB339761" s="5"/>
      <c r="AE339761" s="5"/>
      <c r="AH339761" s="5"/>
      <c r="AK339761" s="5"/>
    </row>
    <row r="339771" spans="25:37" x14ac:dyDescent="0.2">
      <c r="Y339771" s="251"/>
      <c r="AB339771" s="251"/>
      <c r="AE339771" s="251"/>
      <c r="AH339771" s="251"/>
      <c r="AK339771" s="251"/>
    </row>
    <row r="339886" spans="25:37" x14ac:dyDescent="0.2">
      <c r="Y339886" s="5"/>
      <c r="AB339886" s="5"/>
      <c r="AE339886" s="5"/>
      <c r="AH339886" s="5"/>
      <c r="AK339886" s="5"/>
    </row>
    <row r="339896" spans="25:37" x14ac:dyDescent="0.2">
      <c r="Y339896" s="251"/>
      <c r="AB339896" s="251"/>
      <c r="AE339896" s="251"/>
      <c r="AH339896" s="251"/>
      <c r="AK339896" s="251"/>
    </row>
    <row r="340011" spans="25:37" x14ac:dyDescent="0.2">
      <c r="Y340011" s="5"/>
      <c r="AB340011" s="5"/>
      <c r="AE340011" s="5"/>
      <c r="AH340011" s="5"/>
      <c r="AK340011" s="5"/>
    </row>
    <row r="340021" spans="25:37" x14ac:dyDescent="0.2">
      <c r="Y340021" s="251"/>
      <c r="AB340021" s="251"/>
      <c r="AE340021" s="251"/>
      <c r="AH340021" s="251"/>
      <c r="AK340021" s="251"/>
    </row>
    <row r="340136" spans="25:37" x14ac:dyDescent="0.2">
      <c r="Y340136" s="5"/>
      <c r="AB340136" s="5"/>
      <c r="AE340136" s="5"/>
      <c r="AH340136" s="5"/>
      <c r="AK340136" s="5"/>
    </row>
    <row r="340146" spans="25:37" x14ac:dyDescent="0.2">
      <c r="Y340146" s="251"/>
      <c r="AB340146" s="251"/>
      <c r="AE340146" s="251"/>
      <c r="AH340146" s="251"/>
      <c r="AK340146" s="251"/>
    </row>
    <row r="340261" spans="25:37" x14ac:dyDescent="0.2">
      <c r="Y340261" s="5"/>
      <c r="AB340261" s="5"/>
      <c r="AE340261" s="5"/>
      <c r="AH340261" s="5"/>
      <c r="AK340261" s="5"/>
    </row>
    <row r="340271" spans="25:37" x14ac:dyDescent="0.2">
      <c r="Y340271" s="251"/>
      <c r="AB340271" s="251"/>
      <c r="AE340271" s="251"/>
      <c r="AH340271" s="251"/>
      <c r="AK340271" s="251"/>
    </row>
    <row r="340386" spans="25:37" x14ac:dyDescent="0.2">
      <c r="Y340386" s="5"/>
      <c r="AB340386" s="5"/>
      <c r="AE340386" s="5"/>
      <c r="AH340386" s="5"/>
      <c r="AK340386" s="5"/>
    </row>
    <row r="340396" spans="25:37" x14ac:dyDescent="0.2">
      <c r="Y340396" s="251"/>
      <c r="AB340396" s="251"/>
      <c r="AE340396" s="251"/>
      <c r="AH340396" s="251"/>
      <c r="AK340396" s="251"/>
    </row>
    <row r="340511" spans="25:37" x14ac:dyDescent="0.2">
      <c r="Y340511" s="5"/>
      <c r="AB340511" s="5"/>
      <c r="AE340511" s="5"/>
      <c r="AH340511" s="5"/>
      <c r="AK340511" s="5"/>
    </row>
    <row r="340521" spans="25:37" x14ac:dyDescent="0.2">
      <c r="Y340521" s="251"/>
      <c r="AB340521" s="251"/>
      <c r="AE340521" s="251"/>
      <c r="AH340521" s="251"/>
      <c r="AK340521" s="251"/>
    </row>
    <row r="340636" spans="25:37" x14ac:dyDescent="0.2">
      <c r="Y340636" s="5"/>
      <c r="AB340636" s="5"/>
      <c r="AE340636" s="5"/>
      <c r="AH340636" s="5"/>
      <c r="AK340636" s="5"/>
    </row>
    <row r="340646" spans="25:37" x14ac:dyDescent="0.2">
      <c r="Y340646" s="251"/>
      <c r="AB340646" s="251"/>
      <c r="AE340646" s="251"/>
      <c r="AH340646" s="251"/>
      <c r="AK340646" s="251"/>
    </row>
    <row r="340761" spans="25:37" x14ac:dyDescent="0.2">
      <c r="Y340761" s="5"/>
      <c r="AB340761" s="5"/>
      <c r="AE340761" s="5"/>
      <c r="AH340761" s="5"/>
      <c r="AK340761" s="5"/>
    </row>
    <row r="340771" spans="25:37" x14ac:dyDescent="0.2">
      <c r="Y340771" s="251"/>
      <c r="AB340771" s="251"/>
      <c r="AE340771" s="251"/>
      <c r="AH340771" s="251"/>
      <c r="AK340771" s="251"/>
    </row>
    <row r="340886" spans="25:37" x14ac:dyDescent="0.2">
      <c r="Y340886" s="5"/>
      <c r="AB340886" s="5"/>
      <c r="AE340886" s="5"/>
      <c r="AH340886" s="5"/>
      <c r="AK340886" s="5"/>
    </row>
    <row r="340896" spans="25:37" x14ac:dyDescent="0.2">
      <c r="Y340896" s="251"/>
      <c r="AB340896" s="251"/>
      <c r="AE340896" s="251"/>
      <c r="AH340896" s="251"/>
      <c r="AK340896" s="251"/>
    </row>
    <row r="341011" spans="25:37" x14ac:dyDescent="0.2">
      <c r="Y341011" s="5"/>
      <c r="AB341011" s="5"/>
      <c r="AE341011" s="5"/>
      <c r="AH341011" s="5"/>
      <c r="AK341011" s="5"/>
    </row>
    <row r="341021" spans="25:37" x14ac:dyDescent="0.2">
      <c r="Y341021" s="251"/>
      <c r="AB341021" s="251"/>
      <c r="AE341021" s="251"/>
      <c r="AH341021" s="251"/>
      <c r="AK341021" s="251"/>
    </row>
    <row r="341136" spans="25:37" x14ac:dyDescent="0.2">
      <c r="Y341136" s="5"/>
      <c r="AB341136" s="5"/>
      <c r="AE341136" s="5"/>
      <c r="AH341136" s="5"/>
      <c r="AK341136" s="5"/>
    </row>
    <row r="341146" spans="25:37" x14ac:dyDescent="0.2">
      <c r="Y341146" s="251"/>
      <c r="AB341146" s="251"/>
      <c r="AE341146" s="251"/>
      <c r="AH341146" s="251"/>
      <c r="AK341146" s="251"/>
    </row>
    <row r="341261" spans="25:37" x14ac:dyDescent="0.2">
      <c r="Y341261" s="5"/>
      <c r="AB341261" s="5"/>
      <c r="AE341261" s="5"/>
      <c r="AH341261" s="5"/>
      <c r="AK341261" s="5"/>
    </row>
    <row r="341271" spans="25:37" x14ac:dyDescent="0.2">
      <c r="Y341271" s="251"/>
      <c r="AB341271" s="251"/>
      <c r="AE341271" s="251"/>
      <c r="AH341271" s="251"/>
      <c r="AK341271" s="251"/>
    </row>
    <row r="341386" spans="25:37" x14ac:dyDescent="0.2">
      <c r="Y341386" s="5"/>
      <c r="AB341386" s="5"/>
      <c r="AE341386" s="5"/>
      <c r="AH341386" s="5"/>
      <c r="AK341386" s="5"/>
    </row>
    <row r="341396" spans="25:37" x14ac:dyDescent="0.2">
      <c r="Y341396" s="251"/>
      <c r="AB341396" s="251"/>
      <c r="AE341396" s="251"/>
      <c r="AH341396" s="251"/>
      <c r="AK341396" s="251"/>
    </row>
    <row r="341511" spans="25:37" x14ac:dyDescent="0.2">
      <c r="Y341511" s="5"/>
      <c r="AB341511" s="5"/>
      <c r="AE341511" s="5"/>
      <c r="AH341511" s="5"/>
      <c r="AK341511" s="5"/>
    </row>
    <row r="341521" spans="25:37" x14ac:dyDescent="0.2">
      <c r="Y341521" s="251"/>
      <c r="AB341521" s="251"/>
      <c r="AE341521" s="251"/>
      <c r="AH341521" s="251"/>
      <c r="AK341521" s="251"/>
    </row>
    <row r="341636" spans="25:37" x14ac:dyDescent="0.2">
      <c r="Y341636" s="5"/>
      <c r="AB341636" s="5"/>
      <c r="AE341636" s="5"/>
      <c r="AH341636" s="5"/>
      <c r="AK341636" s="5"/>
    </row>
    <row r="341646" spans="25:37" x14ac:dyDescent="0.2">
      <c r="Y341646" s="251"/>
      <c r="AB341646" s="251"/>
      <c r="AE341646" s="251"/>
      <c r="AH341646" s="251"/>
      <c r="AK341646" s="251"/>
    </row>
    <row r="341761" spans="25:37" x14ac:dyDescent="0.2">
      <c r="Y341761" s="5"/>
      <c r="AB341761" s="5"/>
      <c r="AE341761" s="5"/>
      <c r="AH341761" s="5"/>
      <c r="AK341761" s="5"/>
    </row>
    <row r="341771" spans="25:37" x14ac:dyDescent="0.2">
      <c r="Y341771" s="251"/>
      <c r="AB341771" s="251"/>
      <c r="AE341771" s="251"/>
      <c r="AH341771" s="251"/>
      <c r="AK341771" s="251"/>
    </row>
    <row r="341886" spans="25:37" x14ac:dyDescent="0.2">
      <c r="Y341886" s="5"/>
      <c r="AB341886" s="5"/>
      <c r="AE341886" s="5"/>
      <c r="AH341886" s="5"/>
      <c r="AK341886" s="5"/>
    </row>
    <row r="341896" spans="25:37" x14ac:dyDescent="0.2">
      <c r="Y341896" s="251"/>
      <c r="AB341896" s="251"/>
      <c r="AE341896" s="251"/>
      <c r="AH341896" s="251"/>
      <c r="AK341896" s="251"/>
    </row>
    <row r="342011" spans="25:37" x14ac:dyDescent="0.2">
      <c r="Y342011" s="5"/>
      <c r="AB342011" s="5"/>
      <c r="AE342011" s="5"/>
      <c r="AH342011" s="5"/>
      <c r="AK342011" s="5"/>
    </row>
    <row r="342021" spans="25:37" x14ac:dyDescent="0.2">
      <c r="Y342021" s="251"/>
      <c r="AB342021" s="251"/>
      <c r="AE342021" s="251"/>
      <c r="AH342021" s="251"/>
      <c r="AK342021" s="251"/>
    </row>
    <row r="342136" spans="25:37" x14ac:dyDescent="0.2">
      <c r="Y342136" s="5"/>
      <c r="AB342136" s="5"/>
      <c r="AE342136" s="5"/>
      <c r="AH342136" s="5"/>
      <c r="AK342136" s="5"/>
    </row>
    <row r="342146" spans="25:37" x14ac:dyDescent="0.2">
      <c r="Y342146" s="251"/>
      <c r="AB342146" s="251"/>
      <c r="AE342146" s="251"/>
      <c r="AH342146" s="251"/>
      <c r="AK342146" s="251"/>
    </row>
    <row r="342261" spans="25:37" x14ac:dyDescent="0.2">
      <c r="Y342261" s="5"/>
      <c r="AB342261" s="5"/>
      <c r="AE342261" s="5"/>
      <c r="AH342261" s="5"/>
      <c r="AK342261" s="5"/>
    </row>
    <row r="342271" spans="25:37" x14ac:dyDescent="0.2">
      <c r="Y342271" s="251"/>
      <c r="AB342271" s="251"/>
      <c r="AE342271" s="251"/>
      <c r="AH342271" s="251"/>
      <c r="AK342271" s="251"/>
    </row>
    <row r="342386" spans="25:37" x14ac:dyDescent="0.2">
      <c r="Y342386" s="5"/>
      <c r="AB342386" s="5"/>
      <c r="AE342386" s="5"/>
      <c r="AH342386" s="5"/>
      <c r="AK342386" s="5"/>
    </row>
    <row r="342396" spans="25:37" x14ac:dyDescent="0.2">
      <c r="Y342396" s="251"/>
      <c r="AB342396" s="251"/>
      <c r="AE342396" s="251"/>
      <c r="AH342396" s="251"/>
      <c r="AK342396" s="251"/>
    </row>
    <row r="342511" spans="25:37" x14ac:dyDescent="0.2">
      <c r="Y342511" s="5"/>
      <c r="AB342511" s="5"/>
      <c r="AE342511" s="5"/>
      <c r="AH342511" s="5"/>
      <c r="AK342511" s="5"/>
    </row>
    <row r="342521" spans="25:37" x14ac:dyDescent="0.2">
      <c r="Y342521" s="251"/>
      <c r="AB342521" s="251"/>
      <c r="AE342521" s="251"/>
      <c r="AH342521" s="251"/>
      <c r="AK342521" s="251"/>
    </row>
    <row r="342636" spans="25:37" x14ac:dyDescent="0.2">
      <c r="Y342636" s="5"/>
      <c r="AB342636" s="5"/>
      <c r="AE342636" s="5"/>
      <c r="AH342636" s="5"/>
      <c r="AK342636" s="5"/>
    </row>
    <row r="342646" spans="25:37" x14ac:dyDescent="0.2">
      <c r="Y342646" s="251"/>
      <c r="AB342646" s="251"/>
      <c r="AE342646" s="251"/>
      <c r="AH342646" s="251"/>
      <c r="AK342646" s="251"/>
    </row>
    <row r="342761" spans="25:37" x14ac:dyDescent="0.2">
      <c r="Y342761" s="5"/>
      <c r="AB342761" s="5"/>
      <c r="AE342761" s="5"/>
      <c r="AH342761" s="5"/>
      <c r="AK342761" s="5"/>
    </row>
    <row r="342771" spans="25:37" x14ac:dyDescent="0.2">
      <c r="Y342771" s="251"/>
      <c r="AB342771" s="251"/>
      <c r="AE342771" s="251"/>
      <c r="AH342771" s="251"/>
      <c r="AK342771" s="251"/>
    </row>
    <row r="342886" spans="25:37" x14ac:dyDescent="0.2">
      <c r="Y342886" s="5"/>
      <c r="AB342886" s="5"/>
      <c r="AE342886" s="5"/>
      <c r="AH342886" s="5"/>
      <c r="AK342886" s="5"/>
    </row>
    <row r="342896" spans="25:37" x14ac:dyDescent="0.2">
      <c r="Y342896" s="251"/>
      <c r="AB342896" s="251"/>
      <c r="AE342896" s="251"/>
      <c r="AH342896" s="251"/>
      <c r="AK342896" s="251"/>
    </row>
    <row r="343011" spans="25:37" x14ac:dyDescent="0.2">
      <c r="Y343011" s="5"/>
      <c r="AB343011" s="5"/>
      <c r="AE343011" s="5"/>
      <c r="AH343011" s="5"/>
      <c r="AK343011" s="5"/>
    </row>
    <row r="343021" spans="25:37" x14ac:dyDescent="0.2">
      <c r="Y343021" s="251"/>
      <c r="AB343021" s="251"/>
      <c r="AE343021" s="251"/>
      <c r="AH343021" s="251"/>
      <c r="AK343021" s="251"/>
    </row>
    <row r="343136" spans="25:37" x14ac:dyDescent="0.2">
      <c r="Y343136" s="5"/>
      <c r="AB343136" s="5"/>
      <c r="AE343136" s="5"/>
      <c r="AH343136" s="5"/>
      <c r="AK343136" s="5"/>
    </row>
    <row r="343146" spans="25:37" x14ac:dyDescent="0.2">
      <c r="Y343146" s="251"/>
      <c r="AB343146" s="251"/>
      <c r="AE343146" s="251"/>
      <c r="AH343146" s="251"/>
      <c r="AK343146" s="251"/>
    </row>
    <row r="343261" spans="25:37" x14ac:dyDescent="0.2">
      <c r="Y343261" s="5"/>
      <c r="AB343261" s="5"/>
      <c r="AE343261" s="5"/>
      <c r="AH343261" s="5"/>
      <c r="AK343261" s="5"/>
    </row>
    <row r="343271" spans="25:37" x14ac:dyDescent="0.2">
      <c r="Y343271" s="251"/>
      <c r="AB343271" s="251"/>
      <c r="AE343271" s="251"/>
      <c r="AH343271" s="251"/>
      <c r="AK343271" s="251"/>
    </row>
    <row r="343386" spans="25:37" x14ac:dyDescent="0.2">
      <c r="Y343386" s="5"/>
      <c r="AB343386" s="5"/>
      <c r="AE343386" s="5"/>
      <c r="AH343386" s="5"/>
      <c r="AK343386" s="5"/>
    </row>
    <row r="343396" spans="25:37" x14ac:dyDescent="0.2">
      <c r="Y343396" s="251"/>
      <c r="AB343396" s="251"/>
      <c r="AE343396" s="251"/>
      <c r="AH343396" s="251"/>
      <c r="AK343396" s="251"/>
    </row>
    <row r="343511" spans="25:37" x14ac:dyDescent="0.2">
      <c r="Y343511" s="5"/>
      <c r="AB343511" s="5"/>
      <c r="AE343511" s="5"/>
      <c r="AH343511" s="5"/>
      <c r="AK343511" s="5"/>
    </row>
    <row r="343521" spans="25:37" x14ac:dyDescent="0.2">
      <c r="Y343521" s="251"/>
      <c r="AB343521" s="251"/>
      <c r="AE343521" s="251"/>
      <c r="AH343521" s="251"/>
      <c r="AK343521" s="251"/>
    </row>
    <row r="343636" spans="25:37" x14ac:dyDescent="0.2">
      <c r="Y343636" s="5"/>
      <c r="AB343636" s="5"/>
      <c r="AE343636" s="5"/>
      <c r="AH343636" s="5"/>
      <c r="AK343636" s="5"/>
    </row>
    <row r="343646" spans="25:37" x14ac:dyDescent="0.2">
      <c r="Y343646" s="251"/>
      <c r="AB343646" s="251"/>
      <c r="AE343646" s="251"/>
      <c r="AH343646" s="251"/>
      <c r="AK343646" s="251"/>
    </row>
    <row r="343761" spans="25:37" x14ac:dyDescent="0.2">
      <c r="Y343761" s="5"/>
      <c r="AB343761" s="5"/>
      <c r="AE343761" s="5"/>
      <c r="AH343761" s="5"/>
      <c r="AK343761" s="5"/>
    </row>
    <row r="343771" spans="25:37" x14ac:dyDescent="0.2">
      <c r="Y343771" s="251"/>
      <c r="AB343771" s="251"/>
      <c r="AE343771" s="251"/>
      <c r="AH343771" s="251"/>
      <c r="AK343771" s="251"/>
    </row>
    <row r="343886" spans="25:37" x14ac:dyDescent="0.2">
      <c r="Y343886" s="5"/>
      <c r="AB343886" s="5"/>
      <c r="AE343886" s="5"/>
      <c r="AH343886" s="5"/>
      <c r="AK343886" s="5"/>
    </row>
    <row r="343896" spans="25:37" x14ac:dyDescent="0.2">
      <c r="Y343896" s="251"/>
      <c r="AB343896" s="251"/>
      <c r="AE343896" s="251"/>
      <c r="AH343896" s="251"/>
      <c r="AK343896" s="251"/>
    </row>
    <row r="344011" spans="25:37" x14ac:dyDescent="0.2">
      <c r="Y344011" s="5"/>
      <c r="AB344011" s="5"/>
      <c r="AE344011" s="5"/>
      <c r="AH344011" s="5"/>
      <c r="AK344011" s="5"/>
    </row>
    <row r="344021" spans="25:37" x14ac:dyDescent="0.2">
      <c r="Y344021" s="251"/>
      <c r="AB344021" s="251"/>
      <c r="AE344021" s="251"/>
      <c r="AH344021" s="251"/>
      <c r="AK344021" s="251"/>
    </row>
    <row r="344136" spans="25:37" x14ac:dyDescent="0.2">
      <c r="Y344136" s="5"/>
      <c r="AB344136" s="5"/>
      <c r="AE344136" s="5"/>
      <c r="AH344136" s="5"/>
      <c r="AK344136" s="5"/>
    </row>
    <row r="344146" spans="25:37" x14ac:dyDescent="0.2">
      <c r="Y344146" s="251"/>
      <c r="AB344146" s="251"/>
      <c r="AE344146" s="251"/>
      <c r="AH344146" s="251"/>
      <c r="AK344146" s="251"/>
    </row>
    <row r="344261" spans="25:37" x14ac:dyDescent="0.2">
      <c r="Y344261" s="5"/>
      <c r="AB344261" s="5"/>
      <c r="AE344261" s="5"/>
      <c r="AH344261" s="5"/>
      <c r="AK344261" s="5"/>
    </row>
    <row r="344271" spans="25:37" x14ac:dyDescent="0.2">
      <c r="Y344271" s="251"/>
      <c r="AB344271" s="251"/>
      <c r="AE344271" s="251"/>
      <c r="AH344271" s="251"/>
      <c r="AK344271" s="251"/>
    </row>
    <row r="344386" spans="25:37" x14ac:dyDescent="0.2">
      <c r="Y344386" s="5"/>
      <c r="AB344386" s="5"/>
      <c r="AE344386" s="5"/>
      <c r="AH344386" s="5"/>
      <c r="AK344386" s="5"/>
    </row>
    <row r="344396" spans="25:37" x14ac:dyDescent="0.2">
      <c r="Y344396" s="251"/>
      <c r="AB344396" s="251"/>
      <c r="AE344396" s="251"/>
      <c r="AH344396" s="251"/>
      <c r="AK344396" s="251"/>
    </row>
    <row r="344511" spans="25:37" x14ac:dyDescent="0.2">
      <c r="Y344511" s="5"/>
      <c r="AB344511" s="5"/>
      <c r="AE344511" s="5"/>
      <c r="AH344511" s="5"/>
      <c r="AK344511" s="5"/>
    </row>
    <row r="344521" spans="25:37" x14ac:dyDescent="0.2">
      <c r="Y344521" s="251"/>
      <c r="AB344521" s="251"/>
      <c r="AE344521" s="251"/>
      <c r="AH344521" s="251"/>
      <c r="AK344521" s="251"/>
    </row>
    <row r="344636" spans="25:37" x14ac:dyDescent="0.2">
      <c r="Y344636" s="5"/>
      <c r="AB344636" s="5"/>
      <c r="AE344636" s="5"/>
      <c r="AH344636" s="5"/>
      <c r="AK344636" s="5"/>
    </row>
    <row r="344646" spans="25:37" x14ac:dyDescent="0.2">
      <c r="Y344646" s="251"/>
      <c r="AB344646" s="251"/>
      <c r="AE344646" s="251"/>
      <c r="AH344646" s="251"/>
      <c r="AK344646" s="251"/>
    </row>
    <row r="344761" spans="25:37" x14ac:dyDescent="0.2">
      <c r="Y344761" s="5"/>
      <c r="AB344761" s="5"/>
      <c r="AE344761" s="5"/>
      <c r="AH344761" s="5"/>
      <c r="AK344761" s="5"/>
    </row>
    <row r="344771" spans="25:37" x14ac:dyDescent="0.2">
      <c r="Y344771" s="251"/>
      <c r="AB344771" s="251"/>
      <c r="AE344771" s="251"/>
      <c r="AH344771" s="251"/>
      <c r="AK344771" s="251"/>
    </row>
    <row r="344886" spans="25:37" x14ac:dyDescent="0.2">
      <c r="Y344886" s="5"/>
      <c r="AB344886" s="5"/>
      <c r="AE344886" s="5"/>
      <c r="AH344886" s="5"/>
      <c r="AK344886" s="5"/>
    </row>
    <row r="344896" spans="25:37" x14ac:dyDescent="0.2">
      <c r="Y344896" s="251"/>
      <c r="AB344896" s="251"/>
      <c r="AE344896" s="251"/>
      <c r="AH344896" s="251"/>
      <c r="AK344896" s="251"/>
    </row>
    <row r="345011" spans="25:37" x14ac:dyDescent="0.2">
      <c r="Y345011" s="5"/>
      <c r="AB345011" s="5"/>
      <c r="AE345011" s="5"/>
      <c r="AH345011" s="5"/>
      <c r="AK345011" s="5"/>
    </row>
    <row r="345021" spans="25:37" x14ac:dyDescent="0.2">
      <c r="Y345021" s="251"/>
      <c r="AB345021" s="251"/>
      <c r="AE345021" s="251"/>
      <c r="AH345021" s="251"/>
      <c r="AK345021" s="251"/>
    </row>
    <row r="345136" spans="25:37" x14ac:dyDescent="0.2">
      <c r="Y345136" s="5"/>
      <c r="AB345136" s="5"/>
      <c r="AE345136" s="5"/>
      <c r="AH345136" s="5"/>
      <c r="AK345136" s="5"/>
    </row>
    <row r="345146" spans="25:37" x14ac:dyDescent="0.2">
      <c r="Y345146" s="251"/>
      <c r="AB345146" s="251"/>
      <c r="AE345146" s="251"/>
      <c r="AH345146" s="251"/>
      <c r="AK345146" s="251"/>
    </row>
    <row r="345261" spans="25:37" x14ac:dyDescent="0.2">
      <c r="Y345261" s="5"/>
      <c r="AB345261" s="5"/>
      <c r="AE345261" s="5"/>
      <c r="AH345261" s="5"/>
      <c r="AK345261" s="5"/>
    </row>
    <row r="345271" spans="25:37" x14ac:dyDescent="0.2">
      <c r="Y345271" s="251"/>
      <c r="AB345271" s="251"/>
      <c r="AE345271" s="251"/>
      <c r="AH345271" s="251"/>
      <c r="AK345271" s="251"/>
    </row>
    <row r="345386" spans="25:37" x14ac:dyDescent="0.2">
      <c r="Y345386" s="5"/>
      <c r="AB345386" s="5"/>
      <c r="AE345386" s="5"/>
      <c r="AH345386" s="5"/>
      <c r="AK345386" s="5"/>
    </row>
    <row r="345396" spans="25:37" x14ac:dyDescent="0.2">
      <c r="Y345396" s="251"/>
      <c r="AB345396" s="251"/>
      <c r="AE345396" s="251"/>
      <c r="AH345396" s="251"/>
      <c r="AK345396" s="251"/>
    </row>
    <row r="345511" spans="25:37" x14ac:dyDescent="0.2">
      <c r="Y345511" s="5"/>
      <c r="AB345511" s="5"/>
      <c r="AE345511" s="5"/>
      <c r="AH345511" s="5"/>
      <c r="AK345511" s="5"/>
    </row>
    <row r="345521" spans="25:37" x14ac:dyDescent="0.2">
      <c r="Y345521" s="251"/>
      <c r="AB345521" s="251"/>
      <c r="AE345521" s="251"/>
      <c r="AH345521" s="251"/>
      <c r="AK345521" s="251"/>
    </row>
    <row r="345636" spans="25:37" x14ac:dyDescent="0.2">
      <c r="Y345636" s="5"/>
      <c r="AB345636" s="5"/>
      <c r="AE345636" s="5"/>
      <c r="AH345636" s="5"/>
      <c r="AK345636" s="5"/>
    </row>
    <row r="345646" spans="25:37" x14ac:dyDescent="0.2">
      <c r="Y345646" s="251"/>
      <c r="AB345646" s="251"/>
      <c r="AE345646" s="251"/>
      <c r="AH345646" s="251"/>
      <c r="AK345646" s="251"/>
    </row>
    <row r="345761" spans="25:37" x14ac:dyDescent="0.2">
      <c r="Y345761" s="5"/>
      <c r="AB345761" s="5"/>
      <c r="AE345761" s="5"/>
      <c r="AH345761" s="5"/>
      <c r="AK345761" s="5"/>
    </row>
    <row r="345771" spans="25:37" x14ac:dyDescent="0.2">
      <c r="Y345771" s="251"/>
      <c r="AB345771" s="251"/>
      <c r="AE345771" s="251"/>
      <c r="AH345771" s="251"/>
      <c r="AK345771" s="251"/>
    </row>
    <row r="345886" spans="25:37" x14ac:dyDescent="0.2">
      <c r="Y345886" s="5"/>
      <c r="AB345886" s="5"/>
      <c r="AE345886" s="5"/>
      <c r="AH345886" s="5"/>
      <c r="AK345886" s="5"/>
    </row>
    <row r="345896" spans="25:37" x14ac:dyDescent="0.2">
      <c r="Y345896" s="251"/>
      <c r="AB345896" s="251"/>
      <c r="AE345896" s="251"/>
      <c r="AH345896" s="251"/>
      <c r="AK345896" s="251"/>
    </row>
    <row r="346011" spans="25:37" x14ac:dyDescent="0.2">
      <c r="Y346011" s="5"/>
      <c r="AB346011" s="5"/>
      <c r="AE346011" s="5"/>
      <c r="AH346011" s="5"/>
      <c r="AK346011" s="5"/>
    </row>
    <row r="346021" spans="25:37" x14ac:dyDescent="0.2">
      <c r="Y346021" s="251"/>
      <c r="AB346021" s="251"/>
      <c r="AE346021" s="251"/>
      <c r="AH346021" s="251"/>
      <c r="AK346021" s="251"/>
    </row>
    <row r="346136" spans="25:37" x14ac:dyDescent="0.2">
      <c r="Y346136" s="5"/>
      <c r="AB346136" s="5"/>
      <c r="AE346136" s="5"/>
      <c r="AH346136" s="5"/>
      <c r="AK346136" s="5"/>
    </row>
    <row r="346146" spans="25:37" x14ac:dyDescent="0.2">
      <c r="Y346146" s="251"/>
      <c r="AB346146" s="251"/>
      <c r="AE346146" s="251"/>
      <c r="AH346146" s="251"/>
      <c r="AK346146" s="251"/>
    </row>
    <row r="346261" spans="25:37" x14ac:dyDescent="0.2">
      <c r="Y346261" s="5"/>
      <c r="AB346261" s="5"/>
      <c r="AE346261" s="5"/>
      <c r="AH346261" s="5"/>
      <c r="AK346261" s="5"/>
    </row>
    <row r="346271" spans="25:37" x14ac:dyDescent="0.2">
      <c r="Y346271" s="251"/>
      <c r="AB346271" s="251"/>
      <c r="AE346271" s="251"/>
      <c r="AH346271" s="251"/>
      <c r="AK346271" s="251"/>
    </row>
    <row r="346386" spans="25:37" x14ac:dyDescent="0.2">
      <c r="Y346386" s="5"/>
      <c r="AB346386" s="5"/>
      <c r="AE346386" s="5"/>
      <c r="AH346386" s="5"/>
      <c r="AK346386" s="5"/>
    </row>
    <row r="346396" spans="25:37" x14ac:dyDescent="0.2">
      <c r="Y346396" s="251"/>
      <c r="AB346396" s="251"/>
      <c r="AE346396" s="251"/>
      <c r="AH346396" s="251"/>
      <c r="AK346396" s="251"/>
    </row>
    <row r="346511" spans="25:37" x14ac:dyDescent="0.2">
      <c r="Y346511" s="5"/>
      <c r="AB346511" s="5"/>
      <c r="AE346511" s="5"/>
      <c r="AH346511" s="5"/>
      <c r="AK346511" s="5"/>
    </row>
    <row r="346521" spans="25:37" x14ac:dyDescent="0.2">
      <c r="Y346521" s="251"/>
      <c r="AB346521" s="251"/>
      <c r="AE346521" s="251"/>
      <c r="AH346521" s="251"/>
      <c r="AK346521" s="251"/>
    </row>
    <row r="346636" spans="25:37" x14ac:dyDescent="0.2">
      <c r="Y346636" s="5"/>
      <c r="AB346636" s="5"/>
      <c r="AE346636" s="5"/>
      <c r="AH346636" s="5"/>
      <c r="AK346636" s="5"/>
    </row>
    <row r="346646" spans="25:37" x14ac:dyDescent="0.2">
      <c r="Y346646" s="251"/>
      <c r="AB346646" s="251"/>
      <c r="AE346646" s="251"/>
      <c r="AH346646" s="251"/>
      <c r="AK346646" s="251"/>
    </row>
    <row r="346761" spans="25:37" x14ac:dyDescent="0.2">
      <c r="Y346761" s="5"/>
      <c r="AB346761" s="5"/>
      <c r="AE346761" s="5"/>
      <c r="AH346761" s="5"/>
      <c r="AK346761" s="5"/>
    </row>
    <row r="346771" spans="25:37" x14ac:dyDescent="0.2">
      <c r="Y346771" s="251"/>
      <c r="AB346771" s="251"/>
      <c r="AE346771" s="251"/>
      <c r="AH346771" s="251"/>
      <c r="AK346771" s="251"/>
    </row>
    <row r="346886" spans="25:37" x14ac:dyDescent="0.2">
      <c r="Y346886" s="5"/>
      <c r="AB346886" s="5"/>
      <c r="AE346886" s="5"/>
      <c r="AH346886" s="5"/>
      <c r="AK346886" s="5"/>
    </row>
    <row r="346896" spans="25:37" x14ac:dyDescent="0.2">
      <c r="Y346896" s="251"/>
      <c r="AB346896" s="251"/>
      <c r="AE346896" s="251"/>
      <c r="AH346896" s="251"/>
      <c r="AK346896" s="251"/>
    </row>
    <row r="347011" spans="25:37" x14ac:dyDescent="0.2">
      <c r="Y347011" s="5"/>
      <c r="AB347011" s="5"/>
      <c r="AE347011" s="5"/>
      <c r="AH347011" s="5"/>
      <c r="AK347011" s="5"/>
    </row>
    <row r="347021" spans="25:37" x14ac:dyDescent="0.2">
      <c r="Y347021" s="251"/>
      <c r="AB347021" s="251"/>
      <c r="AE347021" s="251"/>
      <c r="AH347021" s="251"/>
      <c r="AK347021" s="251"/>
    </row>
    <row r="347136" spans="25:37" x14ac:dyDescent="0.2">
      <c r="Y347136" s="5"/>
      <c r="AB347136" s="5"/>
      <c r="AE347136" s="5"/>
      <c r="AH347136" s="5"/>
      <c r="AK347136" s="5"/>
    </row>
    <row r="347146" spans="25:37" x14ac:dyDescent="0.2">
      <c r="Y347146" s="251"/>
      <c r="AB347146" s="251"/>
      <c r="AE347146" s="251"/>
      <c r="AH347146" s="251"/>
      <c r="AK347146" s="251"/>
    </row>
    <row r="347261" spans="25:37" x14ac:dyDescent="0.2">
      <c r="Y347261" s="5"/>
      <c r="AB347261" s="5"/>
      <c r="AE347261" s="5"/>
      <c r="AH347261" s="5"/>
      <c r="AK347261" s="5"/>
    </row>
    <row r="347271" spans="25:37" x14ac:dyDescent="0.2">
      <c r="Y347271" s="251"/>
      <c r="AB347271" s="251"/>
      <c r="AE347271" s="251"/>
      <c r="AH347271" s="251"/>
      <c r="AK347271" s="251"/>
    </row>
    <row r="347386" spans="25:37" x14ac:dyDescent="0.2">
      <c r="Y347386" s="5"/>
      <c r="AB347386" s="5"/>
      <c r="AE347386" s="5"/>
      <c r="AH347386" s="5"/>
      <c r="AK347386" s="5"/>
    </row>
    <row r="347396" spans="25:37" x14ac:dyDescent="0.2">
      <c r="Y347396" s="251"/>
      <c r="AB347396" s="251"/>
      <c r="AE347396" s="251"/>
      <c r="AH347396" s="251"/>
      <c r="AK347396" s="251"/>
    </row>
    <row r="347511" spans="25:37" x14ac:dyDescent="0.2">
      <c r="Y347511" s="5"/>
      <c r="AB347511" s="5"/>
      <c r="AE347511" s="5"/>
      <c r="AH347511" s="5"/>
      <c r="AK347511" s="5"/>
    </row>
    <row r="347521" spans="25:37" x14ac:dyDescent="0.2">
      <c r="Y347521" s="251"/>
      <c r="AB347521" s="251"/>
      <c r="AE347521" s="251"/>
      <c r="AH347521" s="251"/>
      <c r="AK347521" s="251"/>
    </row>
    <row r="347636" spans="25:37" x14ac:dyDescent="0.2">
      <c r="Y347636" s="5"/>
      <c r="AB347636" s="5"/>
      <c r="AE347636" s="5"/>
      <c r="AH347636" s="5"/>
      <c r="AK347636" s="5"/>
    </row>
    <row r="347646" spans="25:37" x14ac:dyDescent="0.2">
      <c r="Y347646" s="251"/>
      <c r="AB347646" s="251"/>
      <c r="AE347646" s="251"/>
      <c r="AH347646" s="251"/>
      <c r="AK347646" s="251"/>
    </row>
    <row r="347761" spans="25:37" x14ac:dyDescent="0.2">
      <c r="Y347761" s="5"/>
      <c r="AB347761" s="5"/>
      <c r="AE347761" s="5"/>
      <c r="AH347761" s="5"/>
      <c r="AK347761" s="5"/>
    </row>
    <row r="347771" spans="25:37" x14ac:dyDescent="0.2">
      <c r="Y347771" s="251"/>
      <c r="AB347771" s="251"/>
      <c r="AE347771" s="251"/>
      <c r="AH347771" s="251"/>
      <c r="AK347771" s="251"/>
    </row>
    <row r="347886" spans="25:37" x14ac:dyDescent="0.2">
      <c r="Y347886" s="5"/>
      <c r="AB347886" s="5"/>
      <c r="AE347886" s="5"/>
      <c r="AH347886" s="5"/>
      <c r="AK347886" s="5"/>
    </row>
    <row r="347896" spans="25:37" x14ac:dyDescent="0.2">
      <c r="Y347896" s="251"/>
      <c r="AB347896" s="251"/>
      <c r="AE347896" s="251"/>
      <c r="AH347896" s="251"/>
      <c r="AK347896" s="251"/>
    </row>
    <row r="348011" spans="25:37" x14ac:dyDescent="0.2">
      <c r="Y348011" s="5"/>
      <c r="AB348011" s="5"/>
      <c r="AE348011" s="5"/>
      <c r="AH348011" s="5"/>
      <c r="AK348011" s="5"/>
    </row>
    <row r="348021" spans="25:37" x14ac:dyDescent="0.2">
      <c r="Y348021" s="251"/>
      <c r="AB348021" s="251"/>
      <c r="AE348021" s="251"/>
      <c r="AH348021" s="251"/>
      <c r="AK348021" s="251"/>
    </row>
    <row r="348136" spans="25:37" x14ac:dyDescent="0.2">
      <c r="Y348136" s="5"/>
      <c r="AB348136" s="5"/>
      <c r="AE348136" s="5"/>
      <c r="AH348136" s="5"/>
      <c r="AK348136" s="5"/>
    </row>
    <row r="348146" spans="25:37" x14ac:dyDescent="0.2">
      <c r="Y348146" s="251"/>
      <c r="AB348146" s="251"/>
      <c r="AE348146" s="251"/>
      <c r="AH348146" s="251"/>
      <c r="AK348146" s="251"/>
    </row>
    <row r="348261" spans="25:37" x14ac:dyDescent="0.2">
      <c r="Y348261" s="5"/>
      <c r="AB348261" s="5"/>
      <c r="AE348261" s="5"/>
      <c r="AH348261" s="5"/>
      <c r="AK348261" s="5"/>
    </row>
    <row r="348271" spans="25:37" x14ac:dyDescent="0.2">
      <c r="Y348271" s="251"/>
      <c r="AB348271" s="251"/>
      <c r="AE348271" s="251"/>
      <c r="AH348271" s="251"/>
      <c r="AK348271" s="251"/>
    </row>
    <row r="348386" spans="25:37" x14ac:dyDescent="0.2">
      <c r="Y348386" s="5"/>
      <c r="AB348386" s="5"/>
      <c r="AE348386" s="5"/>
      <c r="AH348386" s="5"/>
      <c r="AK348386" s="5"/>
    </row>
    <row r="348396" spans="25:37" x14ac:dyDescent="0.2">
      <c r="Y348396" s="251"/>
      <c r="AB348396" s="251"/>
      <c r="AE348396" s="251"/>
      <c r="AH348396" s="251"/>
      <c r="AK348396" s="251"/>
    </row>
    <row r="348511" spans="25:37" x14ac:dyDescent="0.2">
      <c r="Y348511" s="5"/>
      <c r="AB348511" s="5"/>
      <c r="AE348511" s="5"/>
      <c r="AH348511" s="5"/>
      <c r="AK348511" s="5"/>
    </row>
    <row r="348521" spans="25:37" x14ac:dyDescent="0.2">
      <c r="Y348521" s="251"/>
      <c r="AB348521" s="251"/>
      <c r="AE348521" s="251"/>
      <c r="AH348521" s="251"/>
      <c r="AK348521" s="251"/>
    </row>
    <row r="348636" spans="25:37" x14ac:dyDescent="0.2">
      <c r="Y348636" s="5"/>
      <c r="AB348636" s="5"/>
      <c r="AE348636" s="5"/>
      <c r="AH348636" s="5"/>
      <c r="AK348636" s="5"/>
    </row>
    <row r="348646" spans="25:37" x14ac:dyDescent="0.2">
      <c r="Y348646" s="251"/>
      <c r="AB348646" s="251"/>
      <c r="AE348646" s="251"/>
      <c r="AH348646" s="251"/>
      <c r="AK348646" s="251"/>
    </row>
    <row r="348761" spans="25:37" x14ac:dyDescent="0.2">
      <c r="Y348761" s="5"/>
      <c r="AB348761" s="5"/>
      <c r="AE348761" s="5"/>
      <c r="AH348761" s="5"/>
      <c r="AK348761" s="5"/>
    </row>
    <row r="348771" spans="25:37" x14ac:dyDescent="0.2">
      <c r="Y348771" s="251"/>
      <c r="AB348771" s="251"/>
      <c r="AE348771" s="251"/>
      <c r="AH348771" s="251"/>
      <c r="AK348771" s="251"/>
    </row>
    <row r="348886" spans="25:37" x14ac:dyDescent="0.2">
      <c r="Y348886" s="5"/>
      <c r="AB348886" s="5"/>
      <c r="AE348886" s="5"/>
      <c r="AH348886" s="5"/>
      <c r="AK348886" s="5"/>
    </row>
    <row r="348896" spans="25:37" x14ac:dyDescent="0.2">
      <c r="Y348896" s="251"/>
      <c r="AB348896" s="251"/>
      <c r="AE348896" s="251"/>
      <c r="AH348896" s="251"/>
      <c r="AK348896" s="251"/>
    </row>
    <row r="349011" spans="25:37" x14ac:dyDescent="0.2">
      <c r="Y349011" s="5"/>
      <c r="AB349011" s="5"/>
      <c r="AE349011" s="5"/>
      <c r="AH349011" s="5"/>
      <c r="AK349011" s="5"/>
    </row>
    <row r="349021" spans="25:37" x14ac:dyDescent="0.2">
      <c r="Y349021" s="251"/>
      <c r="AB349021" s="251"/>
      <c r="AE349021" s="251"/>
      <c r="AH349021" s="251"/>
      <c r="AK349021" s="251"/>
    </row>
    <row r="349136" spans="25:37" x14ac:dyDescent="0.2">
      <c r="Y349136" s="5"/>
      <c r="AB349136" s="5"/>
      <c r="AE349136" s="5"/>
      <c r="AH349136" s="5"/>
      <c r="AK349136" s="5"/>
    </row>
    <row r="349146" spans="25:37" x14ac:dyDescent="0.2">
      <c r="Y349146" s="251"/>
      <c r="AB349146" s="251"/>
      <c r="AE349146" s="251"/>
      <c r="AH349146" s="251"/>
      <c r="AK349146" s="251"/>
    </row>
    <row r="349261" spans="25:37" x14ac:dyDescent="0.2">
      <c r="Y349261" s="5"/>
      <c r="AB349261" s="5"/>
      <c r="AE349261" s="5"/>
      <c r="AH349261" s="5"/>
      <c r="AK349261" s="5"/>
    </row>
    <row r="349271" spans="25:37" x14ac:dyDescent="0.2">
      <c r="Y349271" s="251"/>
      <c r="AB349271" s="251"/>
      <c r="AE349271" s="251"/>
      <c r="AH349271" s="251"/>
      <c r="AK349271" s="251"/>
    </row>
    <row r="349386" spans="25:37" x14ac:dyDescent="0.2">
      <c r="Y349386" s="5"/>
      <c r="AB349386" s="5"/>
      <c r="AE349386" s="5"/>
      <c r="AH349386" s="5"/>
      <c r="AK349386" s="5"/>
    </row>
    <row r="349396" spans="25:37" x14ac:dyDescent="0.2">
      <c r="Y349396" s="251"/>
      <c r="AB349396" s="251"/>
      <c r="AE349396" s="251"/>
      <c r="AH349396" s="251"/>
      <c r="AK349396" s="251"/>
    </row>
    <row r="349511" spans="25:37" x14ac:dyDescent="0.2">
      <c r="Y349511" s="5"/>
      <c r="AB349511" s="5"/>
      <c r="AE349511" s="5"/>
      <c r="AH349511" s="5"/>
      <c r="AK349511" s="5"/>
    </row>
    <row r="349521" spans="25:37" x14ac:dyDescent="0.2">
      <c r="Y349521" s="251"/>
      <c r="AB349521" s="251"/>
      <c r="AE349521" s="251"/>
      <c r="AH349521" s="251"/>
      <c r="AK349521" s="251"/>
    </row>
    <row r="349636" spans="25:37" x14ac:dyDescent="0.2">
      <c r="Y349636" s="5"/>
      <c r="AB349636" s="5"/>
      <c r="AE349636" s="5"/>
      <c r="AH349636" s="5"/>
      <c r="AK349636" s="5"/>
    </row>
    <row r="349646" spans="25:37" x14ac:dyDescent="0.2">
      <c r="Y349646" s="251"/>
      <c r="AB349646" s="251"/>
      <c r="AE349646" s="251"/>
      <c r="AH349646" s="251"/>
      <c r="AK349646" s="251"/>
    </row>
    <row r="349761" spans="25:37" x14ac:dyDescent="0.2">
      <c r="Y349761" s="5"/>
      <c r="AB349761" s="5"/>
      <c r="AE349761" s="5"/>
      <c r="AH349761" s="5"/>
      <c r="AK349761" s="5"/>
    </row>
    <row r="349771" spans="25:37" x14ac:dyDescent="0.2">
      <c r="Y349771" s="251"/>
      <c r="AB349771" s="251"/>
      <c r="AE349771" s="251"/>
      <c r="AH349771" s="251"/>
      <c r="AK349771" s="251"/>
    </row>
    <row r="349886" spans="25:37" x14ac:dyDescent="0.2">
      <c r="Y349886" s="5"/>
      <c r="AB349886" s="5"/>
      <c r="AE349886" s="5"/>
      <c r="AH349886" s="5"/>
      <c r="AK349886" s="5"/>
    </row>
    <row r="349896" spans="25:37" x14ac:dyDescent="0.2">
      <c r="Y349896" s="251"/>
      <c r="AB349896" s="251"/>
      <c r="AE349896" s="251"/>
      <c r="AH349896" s="251"/>
      <c r="AK349896" s="251"/>
    </row>
    <row r="350011" spans="25:37" x14ac:dyDescent="0.2">
      <c r="Y350011" s="5"/>
      <c r="AB350011" s="5"/>
      <c r="AE350011" s="5"/>
      <c r="AH350011" s="5"/>
      <c r="AK350011" s="5"/>
    </row>
    <row r="350021" spans="25:37" x14ac:dyDescent="0.2">
      <c r="Y350021" s="251"/>
      <c r="AB350021" s="251"/>
      <c r="AE350021" s="251"/>
      <c r="AH350021" s="251"/>
      <c r="AK350021" s="251"/>
    </row>
    <row r="350136" spans="25:37" x14ac:dyDescent="0.2">
      <c r="Y350136" s="5"/>
      <c r="AB350136" s="5"/>
      <c r="AE350136" s="5"/>
      <c r="AH350136" s="5"/>
      <c r="AK350136" s="5"/>
    </row>
    <row r="350146" spans="25:37" x14ac:dyDescent="0.2">
      <c r="Y350146" s="251"/>
      <c r="AB350146" s="251"/>
      <c r="AE350146" s="251"/>
      <c r="AH350146" s="251"/>
      <c r="AK350146" s="251"/>
    </row>
    <row r="350261" spans="25:37" x14ac:dyDescent="0.2">
      <c r="Y350261" s="5"/>
      <c r="AB350261" s="5"/>
      <c r="AE350261" s="5"/>
      <c r="AH350261" s="5"/>
      <c r="AK350261" s="5"/>
    </row>
    <row r="350271" spans="25:37" x14ac:dyDescent="0.2">
      <c r="Y350271" s="251"/>
      <c r="AB350271" s="251"/>
      <c r="AE350271" s="251"/>
      <c r="AH350271" s="251"/>
      <c r="AK350271" s="251"/>
    </row>
    <row r="350386" spans="25:37" x14ac:dyDescent="0.2">
      <c r="Y350386" s="5"/>
      <c r="AB350386" s="5"/>
      <c r="AE350386" s="5"/>
      <c r="AH350386" s="5"/>
      <c r="AK350386" s="5"/>
    </row>
    <row r="350396" spans="25:37" x14ac:dyDescent="0.2">
      <c r="Y350396" s="251"/>
      <c r="AB350396" s="251"/>
      <c r="AE350396" s="251"/>
      <c r="AH350396" s="251"/>
      <c r="AK350396" s="251"/>
    </row>
    <row r="350511" spans="25:37" x14ac:dyDescent="0.2">
      <c r="Y350511" s="5"/>
      <c r="AB350511" s="5"/>
      <c r="AE350511" s="5"/>
      <c r="AH350511" s="5"/>
      <c r="AK350511" s="5"/>
    </row>
    <row r="350521" spans="25:37" x14ac:dyDescent="0.2">
      <c r="Y350521" s="251"/>
      <c r="AB350521" s="251"/>
      <c r="AE350521" s="251"/>
      <c r="AH350521" s="251"/>
      <c r="AK350521" s="251"/>
    </row>
    <row r="350636" spans="25:37" x14ac:dyDescent="0.2">
      <c r="Y350636" s="5"/>
      <c r="AB350636" s="5"/>
      <c r="AE350636" s="5"/>
      <c r="AH350636" s="5"/>
      <c r="AK350636" s="5"/>
    </row>
    <row r="350646" spans="25:37" x14ac:dyDescent="0.2">
      <c r="Y350646" s="251"/>
      <c r="AB350646" s="251"/>
      <c r="AE350646" s="251"/>
      <c r="AH350646" s="251"/>
      <c r="AK350646" s="251"/>
    </row>
    <row r="350761" spans="25:37" x14ac:dyDescent="0.2">
      <c r="Y350761" s="5"/>
      <c r="AB350761" s="5"/>
      <c r="AE350761" s="5"/>
      <c r="AH350761" s="5"/>
      <c r="AK350761" s="5"/>
    </row>
    <row r="350771" spans="25:37" x14ac:dyDescent="0.2">
      <c r="Y350771" s="251"/>
      <c r="AB350771" s="251"/>
      <c r="AE350771" s="251"/>
      <c r="AH350771" s="251"/>
      <c r="AK350771" s="251"/>
    </row>
    <row r="350886" spans="25:37" x14ac:dyDescent="0.2">
      <c r="Y350886" s="5"/>
      <c r="AB350886" s="5"/>
      <c r="AE350886" s="5"/>
      <c r="AH350886" s="5"/>
      <c r="AK350886" s="5"/>
    </row>
    <row r="350896" spans="25:37" x14ac:dyDescent="0.2">
      <c r="Y350896" s="251"/>
      <c r="AB350896" s="251"/>
      <c r="AE350896" s="251"/>
      <c r="AH350896" s="251"/>
      <c r="AK350896" s="251"/>
    </row>
    <row r="351011" spans="25:37" x14ac:dyDescent="0.2">
      <c r="Y351011" s="5"/>
      <c r="AB351011" s="5"/>
      <c r="AE351011" s="5"/>
      <c r="AH351011" s="5"/>
      <c r="AK351011" s="5"/>
    </row>
    <row r="351021" spans="25:37" x14ac:dyDescent="0.2">
      <c r="Y351021" s="251"/>
      <c r="AB351021" s="251"/>
      <c r="AE351021" s="251"/>
      <c r="AH351021" s="251"/>
      <c r="AK351021" s="251"/>
    </row>
    <row r="351136" spans="25:37" x14ac:dyDescent="0.2">
      <c r="Y351136" s="5"/>
      <c r="AB351136" s="5"/>
      <c r="AE351136" s="5"/>
      <c r="AH351136" s="5"/>
      <c r="AK351136" s="5"/>
    </row>
    <row r="351146" spans="25:37" x14ac:dyDescent="0.2">
      <c r="Y351146" s="251"/>
      <c r="AB351146" s="251"/>
      <c r="AE351146" s="251"/>
      <c r="AH351146" s="251"/>
      <c r="AK351146" s="251"/>
    </row>
    <row r="351261" spans="25:37" x14ac:dyDescent="0.2">
      <c r="Y351261" s="5"/>
      <c r="AB351261" s="5"/>
      <c r="AE351261" s="5"/>
      <c r="AH351261" s="5"/>
      <c r="AK351261" s="5"/>
    </row>
    <row r="351271" spans="25:37" x14ac:dyDescent="0.2">
      <c r="Y351271" s="251"/>
      <c r="AB351271" s="251"/>
      <c r="AE351271" s="251"/>
      <c r="AH351271" s="251"/>
      <c r="AK351271" s="251"/>
    </row>
    <row r="351386" spans="25:37" x14ac:dyDescent="0.2">
      <c r="Y351386" s="5"/>
      <c r="AB351386" s="5"/>
      <c r="AE351386" s="5"/>
      <c r="AH351386" s="5"/>
      <c r="AK351386" s="5"/>
    </row>
    <row r="351396" spans="25:37" x14ac:dyDescent="0.2">
      <c r="Y351396" s="251"/>
      <c r="AB351396" s="251"/>
      <c r="AE351396" s="251"/>
      <c r="AH351396" s="251"/>
      <c r="AK351396" s="251"/>
    </row>
    <row r="351511" spans="25:37" x14ac:dyDescent="0.2">
      <c r="Y351511" s="5"/>
      <c r="AB351511" s="5"/>
      <c r="AE351511" s="5"/>
      <c r="AH351511" s="5"/>
      <c r="AK351511" s="5"/>
    </row>
    <row r="351521" spans="25:37" x14ac:dyDescent="0.2">
      <c r="Y351521" s="251"/>
      <c r="AB351521" s="251"/>
      <c r="AE351521" s="251"/>
      <c r="AH351521" s="251"/>
      <c r="AK351521" s="251"/>
    </row>
    <row r="351636" spans="25:37" x14ac:dyDescent="0.2">
      <c r="Y351636" s="5"/>
      <c r="AB351636" s="5"/>
      <c r="AE351636" s="5"/>
      <c r="AH351636" s="5"/>
      <c r="AK351636" s="5"/>
    </row>
    <row r="351646" spans="25:37" x14ac:dyDescent="0.2">
      <c r="Y351646" s="251"/>
      <c r="AB351646" s="251"/>
      <c r="AE351646" s="251"/>
      <c r="AH351646" s="251"/>
      <c r="AK351646" s="251"/>
    </row>
    <row r="351761" spans="25:37" x14ac:dyDescent="0.2">
      <c r="Y351761" s="5"/>
      <c r="AB351761" s="5"/>
      <c r="AE351761" s="5"/>
      <c r="AH351761" s="5"/>
      <c r="AK351761" s="5"/>
    </row>
    <row r="351771" spans="25:37" x14ac:dyDescent="0.2">
      <c r="Y351771" s="251"/>
      <c r="AB351771" s="251"/>
      <c r="AE351771" s="251"/>
      <c r="AH351771" s="251"/>
      <c r="AK351771" s="251"/>
    </row>
    <row r="351886" spans="25:37" x14ac:dyDescent="0.2">
      <c r="Y351886" s="5"/>
      <c r="AB351886" s="5"/>
      <c r="AE351886" s="5"/>
      <c r="AH351886" s="5"/>
      <c r="AK351886" s="5"/>
    </row>
    <row r="351896" spans="25:37" x14ac:dyDescent="0.2">
      <c r="Y351896" s="251"/>
      <c r="AB351896" s="251"/>
      <c r="AE351896" s="251"/>
      <c r="AH351896" s="251"/>
      <c r="AK351896" s="251"/>
    </row>
    <row r="352011" spans="25:37" x14ac:dyDescent="0.2">
      <c r="Y352011" s="5"/>
      <c r="AB352011" s="5"/>
      <c r="AE352011" s="5"/>
      <c r="AH352011" s="5"/>
      <c r="AK352011" s="5"/>
    </row>
    <row r="352021" spans="25:37" x14ac:dyDescent="0.2">
      <c r="Y352021" s="251"/>
      <c r="AB352021" s="251"/>
      <c r="AE352021" s="251"/>
      <c r="AH352021" s="251"/>
      <c r="AK352021" s="251"/>
    </row>
    <row r="352136" spans="25:37" x14ac:dyDescent="0.2">
      <c r="Y352136" s="5"/>
      <c r="AB352136" s="5"/>
      <c r="AE352136" s="5"/>
      <c r="AH352136" s="5"/>
      <c r="AK352136" s="5"/>
    </row>
    <row r="352146" spans="25:37" x14ac:dyDescent="0.2">
      <c r="Y352146" s="251"/>
      <c r="AB352146" s="251"/>
      <c r="AE352146" s="251"/>
      <c r="AH352146" s="251"/>
      <c r="AK352146" s="251"/>
    </row>
    <row r="352261" spans="25:37" x14ac:dyDescent="0.2">
      <c r="Y352261" s="5"/>
      <c r="AB352261" s="5"/>
      <c r="AE352261" s="5"/>
      <c r="AH352261" s="5"/>
      <c r="AK352261" s="5"/>
    </row>
    <row r="352271" spans="25:37" x14ac:dyDescent="0.2">
      <c r="Y352271" s="251"/>
      <c r="AB352271" s="251"/>
      <c r="AE352271" s="251"/>
      <c r="AH352271" s="251"/>
      <c r="AK352271" s="251"/>
    </row>
    <row r="352386" spans="25:37" x14ac:dyDescent="0.2">
      <c r="Y352386" s="5"/>
      <c r="AB352386" s="5"/>
      <c r="AE352386" s="5"/>
      <c r="AH352386" s="5"/>
      <c r="AK352386" s="5"/>
    </row>
    <row r="352396" spans="25:37" x14ac:dyDescent="0.2">
      <c r="Y352396" s="251"/>
      <c r="AB352396" s="251"/>
      <c r="AE352396" s="251"/>
      <c r="AH352396" s="251"/>
      <c r="AK352396" s="251"/>
    </row>
    <row r="352511" spans="25:37" x14ac:dyDescent="0.2">
      <c r="Y352511" s="5"/>
      <c r="AB352511" s="5"/>
      <c r="AE352511" s="5"/>
      <c r="AH352511" s="5"/>
      <c r="AK352511" s="5"/>
    </row>
    <row r="352521" spans="25:37" x14ac:dyDescent="0.2">
      <c r="Y352521" s="251"/>
      <c r="AB352521" s="251"/>
      <c r="AE352521" s="251"/>
      <c r="AH352521" s="251"/>
      <c r="AK352521" s="251"/>
    </row>
    <row r="352636" spans="25:37" x14ac:dyDescent="0.2">
      <c r="Y352636" s="5"/>
      <c r="AB352636" s="5"/>
      <c r="AE352636" s="5"/>
      <c r="AH352636" s="5"/>
      <c r="AK352636" s="5"/>
    </row>
    <row r="352646" spans="25:37" x14ac:dyDescent="0.2">
      <c r="Y352646" s="251"/>
      <c r="AB352646" s="251"/>
      <c r="AE352646" s="251"/>
      <c r="AH352646" s="251"/>
      <c r="AK352646" s="251"/>
    </row>
    <row r="352761" spans="25:37" x14ac:dyDescent="0.2">
      <c r="Y352761" s="5"/>
      <c r="AB352761" s="5"/>
      <c r="AE352761" s="5"/>
      <c r="AH352761" s="5"/>
      <c r="AK352761" s="5"/>
    </row>
    <row r="352771" spans="25:37" x14ac:dyDescent="0.2">
      <c r="Y352771" s="251"/>
      <c r="AB352771" s="251"/>
      <c r="AE352771" s="251"/>
      <c r="AH352771" s="251"/>
      <c r="AK352771" s="251"/>
    </row>
    <row r="352886" spans="25:37" x14ac:dyDescent="0.2">
      <c r="Y352886" s="5"/>
      <c r="AB352886" s="5"/>
      <c r="AE352886" s="5"/>
      <c r="AH352886" s="5"/>
      <c r="AK352886" s="5"/>
    </row>
    <row r="352896" spans="25:37" x14ac:dyDescent="0.2">
      <c r="Y352896" s="251"/>
      <c r="AB352896" s="251"/>
      <c r="AE352896" s="251"/>
      <c r="AH352896" s="251"/>
      <c r="AK352896" s="251"/>
    </row>
    <row r="353011" spans="25:37" x14ac:dyDescent="0.2">
      <c r="Y353011" s="5"/>
      <c r="AB353011" s="5"/>
      <c r="AE353011" s="5"/>
      <c r="AH353011" s="5"/>
      <c r="AK353011" s="5"/>
    </row>
    <row r="353021" spans="25:37" x14ac:dyDescent="0.2">
      <c r="Y353021" s="251"/>
      <c r="AB353021" s="251"/>
      <c r="AE353021" s="251"/>
      <c r="AH353021" s="251"/>
      <c r="AK353021" s="251"/>
    </row>
    <row r="353136" spans="25:37" x14ac:dyDescent="0.2">
      <c r="Y353136" s="5"/>
      <c r="AB353136" s="5"/>
      <c r="AE353136" s="5"/>
      <c r="AH353136" s="5"/>
      <c r="AK353136" s="5"/>
    </row>
    <row r="353146" spans="25:37" x14ac:dyDescent="0.2">
      <c r="Y353146" s="251"/>
      <c r="AB353146" s="251"/>
      <c r="AE353146" s="251"/>
      <c r="AH353146" s="251"/>
      <c r="AK353146" s="251"/>
    </row>
    <row r="353261" spans="25:37" x14ac:dyDescent="0.2">
      <c r="Y353261" s="5"/>
      <c r="AB353261" s="5"/>
      <c r="AE353261" s="5"/>
      <c r="AH353261" s="5"/>
      <c r="AK353261" s="5"/>
    </row>
    <row r="353271" spans="25:37" x14ac:dyDescent="0.2">
      <c r="Y353271" s="251"/>
      <c r="AB353271" s="251"/>
      <c r="AE353271" s="251"/>
      <c r="AH353271" s="251"/>
      <c r="AK353271" s="251"/>
    </row>
    <row r="353386" spans="25:37" x14ac:dyDescent="0.2">
      <c r="Y353386" s="5"/>
      <c r="AB353386" s="5"/>
      <c r="AE353386" s="5"/>
      <c r="AH353386" s="5"/>
      <c r="AK353386" s="5"/>
    </row>
    <row r="353396" spans="25:37" x14ac:dyDescent="0.2">
      <c r="Y353396" s="251"/>
      <c r="AB353396" s="251"/>
      <c r="AE353396" s="251"/>
      <c r="AH353396" s="251"/>
      <c r="AK353396" s="251"/>
    </row>
    <row r="353511" spans="25:37" x14ac:dyDescent="0.2">
      <c r="Y353511" s="5"/>
      <c r="AB353511" s="5"/>
      <c r="AE353511" s="5"/>
      <c r="AH353511" s="5"/>
      <c r="AK353511" s="5"/>
    </row>
    <row r="353521" spans="25:37" x14ac:dyDescent="0.2">
      <c r="Y353521" s="251"/>
      <c r="AB353521" s="251"/>
      <c r="AE353521" s="251"/>
      <c r="AH353521" s="251"/>
      <c r="AK353521" s="251"/>
    </row>
    <row r="353636" spans="25:37" x14ac:dyDescent="0.2">
      <c r="Y353636" s="5"/>
      <c r="AB353636" s="5"/>
      <c r="AE353636" s="5"/>
      <c r="AH353636" s="5"/>
      <c r="AK353636" s="5"/>
    </row>
    <row r="353646" spans="25:37" x14ac:dyDescent="0.2">
      <c r="Y353646" s="251"/>
      <c r="AB353646" s="251"/>
      <c r="AE353646" s="251"/>
      <c r="AH353646" s="251"/>
      <c r="AK353646" s="251"/>
    </row>
    <row r="353761" spans="25:37" x14ac:dyDescent="0.2">
      <c r="Y353761" s="5"/>
      <c r="AB353761" s="5"/>
      <c r="AE353761" s="5"/>
      <c r="AH353761" s="5"/>
      <c r="AK353761" s="5"/>
    </row>
    <row r="353771" spans="25:37" x14ac:dyDescent="0.2">
      <c r="Y353771" s="251"/>
      <c r="AB353771" s="251"/>
      <c r="AE353771" s="251"/>
      <c r="AH353771" s="251"/>
      <c r="AK353771" s="251"/>
    </row>
    <row r="353886" spans="25:37" x14ac:dyDescent="0.2">
      <c r="Y353886" s="5"/>
      <c r="AB353886" s="5"/>
      <c r="AE353886" s="5"/>
      <c r="AH353886" s="5"/>
      <c r="AK353886" s="5"/>
    </row>
    <row r="353896" spans="25:37" x14ac:dyDescent="0.2">
      <c r="Y353896" s="251"/>
      <c r="AB353896" s="251"/>
      <c r="AE353896" s="251"/>
      <c r="AH353896" s="251"/>
      <c r="AK353896" s="251"/>
    </row>
    <row r="354011" spans="25:37" x14ac:dyDescent="0.2">
      <c r="Y354011" s="5"/>
      <c r="AB354011" s="5"/>
      <c r="AE354011" s="5"/>
      <c r="AH354011" s="5"/>
      <c r="AK354011" s="5"/>
    </row>
    <row r="354021" spans="25:37" x14ac:dyDescent="0.2">
      <c r="Y354021" s="251"/>
      <c r="AB354021" s="251"/>
      <c r="AE354021" s="251"/>
      <c r="AH354021" s="251"/>
      <c r="AK354021" s="251"/>
    </row>
    <row r="354136" spans="25:37" x14ac:dyDescent="0.2">
      <c r="Y354136" s="5"/>
      <c r="AB354136" s="5"/>
      <c r="AE354136" s="5"/>
      <c r="AH354136" s="5"/>
      <c r="AK354136" s="5"/>
    </row>
    <row r="354146" spans="25:37" x14ac:dyDescent="0.2">
      <c r="Y354146" s="251"/>
      <c r="AB354146" s="251"/>
      <c r="AE354146" s="251"/>
      <c r="AH354146" s="251"/>
      <c r="AK354146" s="251"/>
    </row>
    <row r="354261" spans="25:37" x14ac:dyDescent="0.2">
      <c r="Y354261" s="5"/>
      <c r="AB354261" s="5"/>
      <c r="AE354261" s="5"/>
      <c r="AH354261" s="5"/>
      <c r="AK354261" s="5"/>
    </row>
    <row r="354271" spans="25:37" x14ac:dyDescent="0.2">
      <c r="Y354271" s="251"/>
      <c r="AB354271" s="251"/>
      <c r="AE354271" s="251"/>
      <c r="AH354271" s="251"/>
      <c r="AK354271" s="251"/>
    </row>
    <row r="354386" spans="25:37" x14ac:dyDescent="0.2">
      <c r="Y354386" s="5"/>
      <c r="AB354386" s="5"/>
      <c r="AE354386" s="5"/>
      <c r="AH354386" s="5"/>
      <c r="AK354386" s="5"/>
    </row>
    <row r="354396" spans="25:37" x14ac:dyDescent="0.2">
      <c r="Y354396" s="251"/>
      <c r="AB354396" s="251"/>
      <c r="AE354396" s="251"/>
      <c r="AH354396" s="251"/>
      <c r="AK354396" s="251"/>
    </row>
    <row r="354511" spans="25:37" x14ac:dyDescent="0.2">
      <c r="Y354511" s="5"/>
      <c r="AB354511" s="5"/>
      <c r="AE354511" s="5"/>
      <c r="AH354511" s="5"/>
      <c r="AK354511" s="5"/>
    </row>
    <row r="354521" spans="25:37" x14ac:dyDescent="0.2">
      <c r="Y354521" s="251"/>
      <c r="AB354521" s="251"/>
      <c r="AE354521" s="251"/>
      <c r="AH354521" s="251"/>
      <c r="AK354521" s="251"/>
    </row>
    <row r="354636" spans="25:37" x14ac:dyDescent="0.2">
      <c r="Y354636" s="5"/>
      <c r="AB354636" s="5"/>
      <c r="AE354636" s="5"/>
      <c r="AH354636" s="5"/>
      <c r="AK354636" s="5"/>
    </row>
    <row r="354646" spans="25:37" x14ac:dyDescent="0.2">
      <c r="Y354646" s="251"/>
      <c r="AB354646" s="251"/>
      <c r="AE354646" s="251"/>
      <c r="AH354646" s="251"/>
      <c r="AK354646" s="251"/>
    </row>
    <row r="354761" spans="25:37" x14ac:dyDescent="0.2">
      <c r="Y354761" s="5"/>
      <c r="AB354761" s="5"/>
      <c r="AE354761" s="5"/>
      <c r="AH354761" s="5"/>
      <c r="AK354761" s="5"/>
    </row>
    <row r="354771" spans="25:37" x14ac:dyDescent="0.2">
      <c r="Y354771" s="251"/>
      <c r="AB354771" s="251"/>
      <c r="AE354771" s="251"/>
      <c r="AH354771" s="251"/>
      <c r="AK354771" s="251"/>
    </row>
    <row r="354886" spans="25:37" x14ac:dyDescent="0.2">
      <c r="Y354886" s="5"/>
      <c r="AB354886" s="5"/>
      <c r="AE354886" s="5"/>
      <c r="AH354886" s="5"/>
      <c r="AK354886" s="5"/>
    </row>
    <row r="354896" spans="25:37" x14ac:dyDescent="0.2">
      <c r="Y354896" s="251"/>
      <c r="AB354896" s="251"/>
      <c r="AE354896" s="251"/>
      <c r="AH354896" s="251"/>
      <c r="AK354896" s="251"/>
    </row>
    <row r="355011" spans="25:37" x14ac:dyDescent="0.2">
      <c r="Y355011" s="5"/>
      <c r="AB355011" s="5"/>
      <c r="AE355011" s="5"/>
      <c r="AH355011" s="5"/>
      <c r="AK355011" s="5"/>
    </row>
    <row r="355021" spans="25:37" x14ac:dyDescent="0.2">
      <c r="Y355021" s="251"/>
      <c r="AB355021" s="251"/>
      <c r="AE355021" s="251"/>
      <c r="AH355021" s="251"/>
      <c r="AK355021" s="251"/>
    </row>
    <row r="355136" spans="25:37" x14ac:dyDescent="0.2">
      <c r="Y355136" s="5"/>
      <c r="AB355136" s="5"/>
      <c r="AE355136" s="5"/>
      <c r="AH355136" s="5"/>
      <c r="AK355136" s="5"/>
    </row>
    <row r="355146" spans="25:37" x14ac:dyDescent="0.2">
      <c r="Y355146" s="251"/>
      <c r="AB355146" s="251"/>
      <c r="AE355146" s="251"/>
      <c r="AH355146" s="251"/>
      <c r="AK355146" s="251"/>
    </row>
    <row r="355261" spans="25:37" x14ac:dyDescent="0.2">
      <c r="Y355261" s="5"/>
      <c r="AB355261" s="5"/>
      <c r="AE355261" s="5"/>
      <c r="AH355261" s="5"/>
      <c r="AK355261" s="5"/>
    </row>
    <row r="355271" spans="25:37" x14ac:dyDescent="0.2">
      <c r="Y355271" s="251"/>
      <c r="AB355271" s="251"/>
      <c r="AE355271" s="251"/>
      <c r="AH355271" s="251"/>
      <c r="AK355271" s="251"/>
    </row>
    <row r="355386" spans="25:37" x14ac:dyDescent="0.2">
      <c r="Y355386" s="5"/>
      <c r="AB355386" s="5"/>
      <c r="AE355386" s="5"/>
      <c r="AH355386" s="5"/>
      <c r="AK355386" s="5"/>
    </row>
    <row r="355396" spans="25:37" x14ac:dyDescent="0.2">
      <c r="Y355396" s="251"/>
      <c r="AB355396" s="251"/>
      <c r="AE355396" s="251"/>
      <c r="AH355396" s="251"/>
      <c r="AK355396" s="251"/>
    </row>
    <row r="355511" spans="25:37" x14ac:dyDescent="0.2">
      <c r="Y355511" s="5"/>
      <c r="AB355511" s="5"/>
      <c r="AE355511" s="5"/>
      <c r="AH355511" s="5"/>
      <c r="AK355511" s="5"/>
    </row>
    <row r="355521" spans="25:37" x14ac:dyDescent="0.2">
      <c r="Y355521" s="251"/>
      <c r="AB355521" s="251"/>
      <c r="AE355521" s="251"/>
      <c r="AH355521" s="251"/>
      <c r="AK355521" s="251"/>
    </row>
    <row r="355636" spans="25:37" x14ac:dyDescent="0.2">
      <c r="Y355636" s="5"/>
      <c r="AB355636" s="5"/>
      <c r="AE355636" s="5"/>
      <c r="AH355636" s="5"/>
      <c r="AK355636" s="5"/>
    </row>
    <row r="355646" spans="25:37" x14ac:dyDescent="0.2">
      <c r="Y355646" s="251"/>
      <c r="AB355646" s="251"/>
      <c r="AE355646" s="251"/>
      <c r="AH355646" s="251"/>
      <c r="AK355646" s="251"/>
    </row>
    <row r="355761" spans="25:37" x14ac:dyDescent="0.2">
      <c r="Y355761" s="5"/>
      <c r="AB355761" s="5"/>
      <c r="AE355761" s="5"/>
      <c r="AH355761" s="5"/>
      <c r="AK355761" s="5"/>
    </row>
    <row r="355771" spans="25:37" x14ac:dyDescent="0.2">
      <c r="Y355771" s="251"/>
      <c r="AB355771" s="251"/>
      <c r="AE355771" s="251"/>
      <c r="AH355771" s="251"/>
      <c r="AK355771" s="251"/>
    </row>
    <row r="355886" spans="25:37" x14ac:dyDescent="0.2">
      <c r="Y355886" s="5"/>
      <c r="AB355886" s="5"/>
      <c r="AE355886" s="5"/>
      <c r="AH355886" s="5"/>
      <c r="AK355886" s="5"/>
    </row>
    <row r="355896" spans="25:37" x14ac:dyDescent="0.2">
      <c r="Y355896" s="251"/>
      <c r="AB355896" s="251"/>
      <c r="AE355896" s="251"/>
      <c r="AH355896" s="251"/>
      <c r="AK355896" s="251"/>
    </row>
    <row r="356011" spans="25:37" x14ac:dyDescent="0.2">
      <c r="Y356011" s="5"/>
      <c r="AB356011" s="5"/>
      <c r="AE356011" s="5"/>
      <c r="AH356011" s="5"/>
      <c r="AK356011" s="5"/>
    </row>
    <row r="356021" spans="25:37" x14ac:dyDescent="0.2">
      <c r="Y356021" s="251"/>
      <c r="AB356021" s="251"/>
      <c r="AE356021" s="251"/>
      <c r="AH356021" s="251"/>
      <c r="AK356021" s="251"/>
    </row>
    <row r="356136" spans="25:37" x14ac:dyDescent="0.2">
      <c r="Y356136" s="5"/>
      <c r="AB356136" s="5"/>
      <c r="AE356136" s="5"/>
      <c r="AH356136" s="5"/>
      <c r="AK356136" s="5"/>
    </row>
    <row r="356146" spans="25:37" x14ac:dyDescent="0.2">
      <c r="Y356146" s="251"/>
      <c r="AB356146" s="251"/>
      <c r="AE356146" s="251"/>
      <c r="AH356146" s="251"/>
      <c r="AK356146" s="251"/>
    </row>
    <row r="356261" spans="25:37" x14ac:dyDescent="0.2">
      <c r="Y356261" s="5"/>
      <c r="AB356261" s="5"/>
      <c r="AE356261" s="5"/>
      <c r="AH356261" s="5"/>
      <c r="AK356261" s="5"/>
    </row>
    <row r="356271" spans="25:37" x14ac:dyDescent="0.2">
      <c r="Y356271" s="251"/>
      <c r="AB356271" s="251"/>
      <c r="AE356271" s="251"/>
      <c r="AH356271" s="251"/>
      <c r="AK356271" s="251"/>
    </row>
    <row r="356386" spans="25:37" x14ac:dyDescent="0.2">
      <c r="Y356386" s="5"/>
      <c r="AB356386" s="5"/>
      <c r="AE356386" s="5"/>
      <c r="AH356386" s="5"/>
      <c r="AK356386" s="5"/>
    </row>
    <row r="356396" spans="25:37" x14ac:dyDescent="0.2">
      <c r="Y356396" s="251"/>
      <c r="AB356396" s="251"/>
      <c r="AE356396" s="251"/>
      <c r="AH356396" s="251"/>
      <c r="AK356396" s="251"/>
    </row>
    <row r="356511" spans="25:37" x14ac:dyDescent="0.2">
      <c r="Y356511" s="5"/>
      <c r="AB356511" s="5"/>
      <c r="AE356511" s="5"/>
      <c r="AH356511" s="5"/>
      <c r="AK356511" s="5"/>
    </row>
    <row r="356521" spans="25:37" x14ac:dyDescent="0.2">
      <c r="Y356521" s="251"/>
      <c r="AB356521" s="251"/>
      <c r="AE356521" s="251"/>
      <c r="AH356521" s="251"/>
      <c r="AK356521" s="251"/>
    </row>
    <row r="356636" spans="25:37" x14ac:dyDescent="0.2">
      <c r="Y356636" s="5"/>
      <c r="AB356636" s="5"/>
      <c r="AE356636" s="5"/>
      <c r="AH356636" s="5"/>
      <c r="AK356636" s="5"/>
    </row>
    <row r="356646" spans="25:37" x14ac:dyDescent="0.2">
      <c r="Y356646" s="251"/>
      <c r="AB356646" s="251"/>
      <c r="AE356646" s="251"/>
      <c r="AH356646" s="251"/>
      <c r="AK356646" s="251"/>
    </row>
    <row r="356761" spans="25:37" x14ac:dyDescent="0.2">
      <c r="Y356761" s="5"/>
      <c r="AB356761" s="5"/>
      <c r="AE356761" s="5"/>
      <c r="AH356761" s="5"/>
      <c r="AK356761" s="5"/>
    </row>
    <row r="356771" spans="25:37" x14ac:dyDescent="0.2">
      <c r="Y356771" s="251"/>
      <c r="AB356771" s="251"/>
      <c r="AE356771" s="251"/>
      <c r="AH356771" s="251"/>
      <c r="AK356771" s="251"/>
    </row>
    <row r="356886" spans="25:37" x14ac:dyDescent="0.2">
      <c r="Y356886" s="5"/>
      <c r="AB356886" s="5"/>
      <c r="AE356886" s="5"/>
      <c r="AH356886" s="5"/>
      <c r="AK356886" s="5"/>
    </row>
    <row r="356896" spans="25:37" x14ac:dyDescent="0.2">
      <c r="Y356896" s="251"/>
      <c r="AB356896" s="251"/>
      <c r="AE356896" s="251"/>
      <c r="AH356896" s="251"/>
      <c r="AK356896" s="251"/>
    </row>
    <row r="357011" spans="25:37" x14ac:dyDescent="0.2">
      <c r="Y357011" s="5"/>
      <c r="AB357011" s="5"/>
      <c r="AE357011" s="5"/>
      <c r="AH357011" s="5"/>
      <c r="AK357011" s="5"/>
    </row>
    <row r="357021" spans="25:37" x14ac:dyDescent="0.2">
      <c r="Y357021" s="251"/>
      <c r="AB357021" s="251"/>
      <c r="AE357021" s="251"/>
      <c r="AH357021" s="251"/>
      <c r="AK357021" s="251"/>
    </row>
    <row r="357136" spans="25:37" x14ac:dyDescent="0.2">
      <c r="Y357136" s="5"/>
      <c r="AB357136" s="5"/>
      <c r="AE357136" s="5"/>
      <c r="AH357136" s="5"/>
      <c r="AK357136" s="5"/>
    </row>
    <row r="357146" spans="25:37" x14ac:dyDescent="0.2">
      <c r="Y357146" s="251"/>
      <c r="AB357146" s="251"/>
      <c r="AE357146" s="251"/>
      <c r="AH357146" s="251"/>
      <c r="AK357146" s="251"/>
    </row>
    <row r="357261" spans="25:37" x14ac:dyDescent="0.2">
      <c r="Y357261" s="5"/>
      <c r="AB357261" s="5"/>
      <c r="AE357261" s="5"/>
      <c r="AH357261" s="5"/>
      <c r="AK357261" s="5"/>
    </row>
    <row r="357271" spans="25:37" x14ac:dyDescent="0.2">
      <c r="Y357271" s="251"/>
      <c r="AB357271" s="251"/>
      <c r="AE357271" s="251"/>
      <c r="AH357271" s="251"/>
      <c r="AK357271" s="251"/>
    </row>
    <row r="357386" spans="25:37" x14ac:dyDescent="0.2">
      <c r="Y357386" s="5"/>
      <c r="AB357386" s="5"/>
      <c r="AE357386" s="5"/>
      <c r="AH357386" s="5"/>
      <c r="AK357386" s="5"/>
    </row>
    <row r="357396" spans="25:37" x14ac:dyDescent="0.2">
      <c r="Y357396" s="251"/>
      <c r="AB357396" s="251"/>
      <c r="AE357396" s="251"/>
      <c r="AH357396" s="251"/>
      <c r="AK357396" s="251"/>
    </row>
    <row r="357511" spans="25:37" x14ac:dyDescent="0.2">
      <c r="Y357511" s="5"/>
      <c r="AB357511" s="5"/>
      <c r="AE357511" s="5"/>
      <c r="AH357511" s="5"/>
      <c r="AK357511" s="5"/>
    </row>
    <row r="357521" spans="25:37" x14ac:dyDescent="0.2">
      <c r="Y357521" s="251"/>
      <c r="AB357521" s="251"/>
      <c r="AE357521" s="251"/>
      <c r="AH357521" s="251"/>
      <c r="AK357521" s="251"/>
    </row>
    <row r="357636" spans="25:37" x14ac:dyDescent="0.2">
      <c r="Y357636" s="5"/>
      <c r="AB357636" s="5"/>
      <c r="AE357636" s="5"/>
      <c r="AH357636" s="5"/>
      <c r="AK357636" s="5"/>
    </row>
    <row r="357646" spans="25:37" x14ac:dyDescent="0.2">
      <c r="Y357646" s="251"/>
      <c r="AB357646" s="251"/>
      <c r="AE357646" s="251"/>
      <c r="AH357646" s="251"/>
      <c r="AK357646" s="251"/>
    </row>
    <row r="357761" spans="25:37" x14ac:dyDescent="0.2">
      <c r="Y357761" s="5"/>
      <c r="AB357761" s="5"/>
      <c r="AE357761" s="5"/>
      <c r="AH357761" s="5"/>
      <c r="AK357761" s="5"/>
    </row>
    <row r="357771" spans="25:37" x14ac:dyDescent="0.2">
      <c r="Y357771" s="251"/>
      <c r="AB357771" s="251"/>
      <c r="AE357771" s="251"/>
      <c r="AH357771" s="251"/>
      <c r="AK357771" s="251"/>
    </row>
    <row r="357886" spans="25:37" x14ac:dyDescent="0.2">
      <c r="Y357886" s="5"/>
      <c r="AB357886" s="5"/>
      <c r="AE357886" s="5"/>
      <c r="AH357886" s="5"/>
      <c r="AK357886" s="5"/>
    </row>
    <row r="357896" spans="25:37" x14ac:dyDescent="0.2">
      <c r="Y357896" s="251"/>
      <c r="AB357896" s="251"/>
      <c r="AE357896" s="251"/>
      <c r="AH357896" s="251"/>
      <c r="AK357896" s="251"/>
    </row>
    <row r="358011" spans="25:37" x14ac:dyDescent="0.2">
      <c r="Y358011" s="5"/>
      <c r="AB358011" s="5"/>
      <c r="AE358011" s="5"/>
      <c r="AH358011" s="5"/>
      <c r="AK358011" s="5"/>
    </row>
    <row r="358021" spans="25:37" x14ac:dyDescent="0.2">
      <c r="Y358021" s="251"/>
      <c r="AB358021" s="251"/>
      <c r="AE358021" s="251"/>
      <c r="AH358021" s="251"/>
      <c r="AK358021" s="251"/>
    </row>
    <row r="358136" spans="25:37" x14ac:dyDescent="0.2">
      <c r="Y358136" s="5"/>
      <c r="AB358136" s="5"/>
      <c r="AE358136" s="5"/>
      <c r="AH358136" s="5"/>
      <c r="AK358136" s="5"/>
    </row>
    <row r="358146" spans="25:37" x14ac:dyDescent="0.2">
      <c r="Y358146" s="251"/>
      <c r="AB358146" s="251"/>
      <c r="AE358146" s="251"/>
      <c r="AH358146" s="251"/>
      <c r="AK358146" s="251"/>
    </row>
    <row r="358261" spans="25:37" x14ac:dyDescent="0.2">
      <c r="Y358261" s="5"/>
      <c r="AB358261" s="5"/>
      <c r="AE358261" s="5"/>
      <c r="AH358261" s="5"/>
      <c r="AK358261" s="5"/>
    </row>
    <row r="358271" spans="25:37" x14ac:dyDescent="0.2">
      <c r="Y358271" s="251"/>
      <c r="AB358271" s="251"/>
      <c r="AE358271" s="251"/>
      <c r="AH358271" s="251"/>
      <c r="AK358271" s="251"/>
    </row>
    <row r="358386" spans="25:37" x14ac:dyDescent="0.2">
      <c r="Y358386" s="5"/>
      <c r="AB358386" s="5"/>
      <c r="AE358386" s="5"/>
      <c r="AH358386" s="5"/>
      <c r="AK358386" s="5"/>
    </row>
    <row r="358396" spans="25:37" x14ac:dyDescent="0.2">
      <c r="Y358396" s="251"/>
      <c r="AB358396" s="251"/>
      <c r="AE358396" s="251"/>
      <c r="AH358396" s="251"/>
      <c r="AK358396" s="251"/>
    </row>
    <row r="358511" spans="25:37" x14ac:dyDescent="0.2">
      <c r="Y358511" s="5"/>
      <c r="AB358511" s="5"/>
      <c r="AE358511" s="5"/>
      <c r="AH358511" s="5"/>
      <c r="AK358511" s="5"/>
    </row>
    <row r="358521" spans="25:37" x14ac:dyDescent="0.2">
      <c r="Y358521" s="251"/>
      <c r="AB358521" s="251"/>
      <c r="AE358521" s="251"/>
      <c r="AH358521" s="251"/>
      <c r="AK358521" s="251"/>
    </row>
    <row r="358636" spans="25:37" x14ac:dyDescent="0.2">
      <c r="Y358636" s="5"/>
      <c r="AB358636" s="5"/>
      <c r="AE358636" s="5"/>
      <c r="AH358636" s="5"/>
      <c r="AK358636" s="5"/>
    </row>
    <row r="358646" spans="25:37" x14ac:dyDescent="0.2">
      <c r="Y358646" s="251"/>
      <c r="AB358646" s="251"/>
      <c r="AE358646" s="251"/>
      <c r="AH358646" s="251"/>
      <c r="AK358646" s="251"/>
    </row>
    <row r="358761" spans="25:37" x14ac:dyDescent="0.2">
      <c r="Y358761" s="5"/>
      <c r="AB358761" s="5"/>
      <c r="AE358761" s="5"/>
      <c r="AH358761" s="5"/>
      <c r="AK358761" s="5"/>
    </row>
    <row r="358771" spans="25:37" x14ac:dyDescent="0.2">
      <c r="Y358771" s="251"/>
      <c r="AB358771" s="251"/>
      <c r="AE358771" s="251"/>
      <c r="AH358771" s="251"/>
      <c r="AK358771" s="251"/>
    </row>
    <row r="358886" spans="25:37" x14ac:dyDescent="0.2">
      <c r="Y358886" s="5"/>
      <c r="AB358886" s="5"/>
      <c r="AE358886" s="5"/>
      <c r="AH358886" s="5"/>
      <c r="AK358886" s="5"/>
    </row>
    <row r="358896" spans="25:37" x14ac:dyDescent="0.2">
      <c r="Y358896" s="251"/>
      <c r="AB358896" s="251"/>
      <c r="AE358896" s="251"/>
      <c r="AH358896" s="251"/>
      <c r="AK358896" s="251"/>
    </row>
    <row r="359011" spans="25:37" x14ac:dyDescent="0.2">
      <c r="Y359011" s="5"/>
      <c r="AB359011" s="5"/>
      <c r="AE359011" s="5"/>
      <c r="AH359011" s="5"/>
      <c r="AK359011" s="5"/>
    </row>
    <row r="359021" spans="25:37" x14ac:dyDescent="0.2">
      <c r="Y359021" s="251"/>
      <c r="AB359021" s="251"/>
      <c r="AE359021" s="251"/>
      <c r="AH359021" s="251"/>
      <c r="AK359021" s="251"/>
    </row>
    <row r="359136" spans="25:37" x14ac:dyDescent="0.2">
      <c r="Y359136" s="5"/>
      <c r="AB359136" s="5"/>
      <c r="AE359136" s="5"/>
      <c r="AH359136" s="5"/>
      <c r="AK359136" s="5"/>
    </row>
    <row r="359146" spans="25:37" x14ac:dyDescent="0.2">
      <c r="Y359146" s="251"/>
      <c r="AB359146" s="251"/>
      <c r="AE359146" s="251"/>
      <c r="AH359146" s="251"/>
      <c r="AK359146" s="251"/>
    </row>
    <row r="359261" spans="25:37" x14ac:dyDescent="0.2">
      <c r="Y359261" s="5"/>
      <c r="AB359261" s="5"/>
      <c r="AE359261" s="5"/>
      <c r="AH359261" s="5"/>
      <c r="AK359261" s="5"/>
    </row>
    <row r="359271" spans="25:37" x14ac:dyDescent="0.2">
      <c r="Y359271" s="251"/>
      <c r="AB359271" s="251"/>
      <c r="AE359271" s="251"/>
      <c r="AH359271" s="251"/>
      <c r="AK359271" s="251"/>
    </row>
    <row r="359386" spans="25:37" x14ac:dyDescent="0.2">
      <c r="Y359386" s="5"/>
      <c r="AB359386" s="5"/>
      <c r="AE359386" s="5"/>
      <c r="AH359386" s="5"/>
      <c r="AK359386" s="5"/>
    </row>
    <row r="359396" spans="25:37" x14ac:dyDescent="0.2">
      <c r="Y359396" s="251"/>
      <c r="AB359396" s="251"/>
      <c r="AE359396" s="251"/>
      <c r="AH359396" s="251"/>
      <c r="AK359396" s="251"/>
    </row>
    <row r="359511" spans="25:37" x14ac:dyDescent="0.2">
      <c r="Y359511" s="5"/>
      <c r="AB359511" s="5"/>
      <c r="AE359511" s="5"/>
      <c r="AH359511" s="5"/>
      <c r="AK359511" s="5"/>
    </row>
    <row r="359521" spans="25:37" x14ac:dyDescent="0.2">
      <c r="Y359521" s="251"/>
      <c r="AB359521" s="251"/>
      <c r="AE359521" s="251"/>
      <c r="AH359521" s="251"/>
      <c r="AK359521" s="251"/>
    </row>
    <row r="359636" spans="25:37" x14ac:dyDescent="0.2">
      <c r="Y359636" s="5"/>
      <c r="AB359636" s="5"/>
      <c r="AE359636" s="5"/>
      <c r="AH359636" s="5"/>
      <c r="AK359636" s="5"/>
    </row>
    <row r="359646" spans="25:37" x14ac:dyDescent="0.2">
      <c r="Y359646" s="251"/>
      <c r="AB359646" s="251"/>
      <c r="AE359646" s="251"/>
      <c r="AH359646" s="251"/>
      <c r="AK359646" s="251"/>
    </row>
    <row r="359761" spans="25:37" x14ac:dyDescent="0.2">
      <c r="Y359761" s="5"/>
      <c r="AB359761" s="5"/>
      <c r="AE359761" s="5"/>
      <c r="AH359761" s="5"/>
      <c r="AK359761" s="5"/>
    </row>
    <row r="359771" spans="25:37" x14ac:dyDescent="0.2">
      <c r="Y359771" s="251"/>
      <c r="AB359771" s="251"/>
      <c r="AE359771" s="251"/>
      <c r="AH359771" s="251"/>
      <c r="AK359771" s="251"/>
    </row>
    <row r="359886" spans="25:37" x14ac:dyDescent="0.2">
      <c r="Y359886" s="5"/>
      <c r="AB359886" s="5"/>
      <c r="AE359886" s="5"/>
      <c r="AH359886" s="5"/>
      <c r="AK359886" s="5"/>
    </row>
    <row r="359896" spans="25:37" x14ac:dyDescent="0.2">
      <c r="Y359896" s="251"/>
      <c r="AB359896" s="251"/>
      <c r="AE359896" s="251"/>
      <c r="AH359896" s="251"/>
      <c r="AK359896" s="251"/>
    </row>
    <row r="360011" spans="25:37" x14ac:dyDescent="0.2">
      <c r="Y360011" s="5"/>
      <c r="AB360011" s="5"/>
      <c r="AE360011" s="5"/>
      <c r="AH360011" s="5"/>
      <c r="AK360011" s="5"/>
    </row>
    <row r="360021" spans="25:37" x14ac:dyDescent="0.2">
      <c r="Y360021" s="251"/>
      <c r="AB360021" s="251"/>
      <c r="AE360021" s="251"/>
      <c r="AH360021" s="251"/>
      <c r="AK360021" s="251"/>
    </row>
    <row r="360136" spans="25:37" x14ac:dyDescent="0.2">
      <c r="Y360136" s="5"/>
      <c r="AB360136" s="5"/>
      <c r="AE360136" s="5"/>
      <c r="AH360136" s="5"/>
      <c r="AK360136" s="5"/>
    </row>
    <row r="360146" spans="25:37" x14ac:dyDescent="0.2">
      <c r="Y360146" s="251"/>
      <c r="AB360146" s="251"/>
      <c r="AE360146" s="251"/>
      <c r="AH360146" s="251"/>
      <c r="AK360146" s="251"/>
    </row>
    <row r="360261" spans="25:37" x14ac:dyDescent="0.2">
      <c r="Y360261" s="5"/>
      <c r="AB360261" s="5"/>
      <c r="AE360261" s="5"/>
      <c r="AH360261" s="5"/>
      <c r="AK360261" s="5"/>
    </row>
    <row r="360271" spans="25:37" x14ac:dyDescent="0.2">
      <c r="Y360271" s="251"/>
      <c r="AB360271" s="251"/>
      <c r="AE360271" s="251"/>
      <c r="AH360271" s="251"/>
      <c r="AK360271" s="251"/>
    </row>
    <row r="360386" spans="25:37" x14ac:dyDescent="0.2">
      <c r="Y360386" s="5"/>
      <c r="AB360386" s="5"/>
      <c r="AE360386" s="5"/>
      <c r="AH360386" s="5"/>
      <c r="AK360386" s="5"/>
    </row>
    <row r="360396" spans="25:37" x14ac:dyDescent="0.2">
      <c r="Y360396" s="251"/>
      <c r="AB360396" s="251"/>
      <c r="AE360396" s="251"/>
      <c r="AH360396" s="251"/>
      <c r="AK360396" s="251"/>
    </row>
    <row r="360511" spans="25:37" x14ac:dyDescent="0.2">
      <c r="Y360511" s="5"/>
      <c r="AB360511" s="5"/>
      <c r="AE360511" s="5"/>
      <c r="AH360511" s="5"/>
      <c r="AK360511" s="5"/>
    </row>
    <row r="360521" spans="25:37" x14ac:dyDescent="0.2">
      <c r="Y360521" s="251"/>
      <c r="AB360521" s="251"/>
      <c r="AE360521" s="251"/>
      <c r="AH360521" s="251"/>
      <c r="AK360521" s="251"/>
    </row>
    <row r="360636" spans="25:37" x14ac:dyDescent="0.2">
      <c r="Y360636" s="5"/>
      <c r="AB360636" s="5"/>
      <c r="AE360636" s="5"/>
      <c r="AH360636" s="5"/>
      <c r="AK360636" s="5"/>
    </row>
    <row r="360646" spans="25:37" x14ac:dyDescent="0.2">
      <c r="Y360646" s="251"/>
      <c r="AB360646" s="251"/>
      <c r="AE360646" s="251"/>
      <c r="AH360646" s="251"/>
      <c r="AK360646" s="251"/>
    </row>
    <row r="360761" spans="25:37" x14ac:dyDescent="0.2">
      <c r="Y360761" s="5"/>
      <c r="AB360761" s="5"/>
      <c r="AE360761" s="5"/>
      <c r="AH360761" s="5"/>
      <c r="AK360761" s="5"/>
    </row>
    <row r="360771" spans="25:37" x14ac:dyDescent="0.2">
      <c r="Y360771" s="251"/>
      <c r="AB360771" s="251"/>
      <c r="AE360771" s="251"/>
      <c r="AH360771" s="251"/>
      <c r="AK360771" s="251"/>
    </row>
    <row r="360886" spans="25:37" x14ac:dyDescent="0.2">
      <c r="Y360886" s="5"/>
      <c r="AB360886" s="5"/>
      <c r="AE360886" s="5"/>
      <c r="AH360886" s="5"/>
      <c r="AK360886" s="5"/>
    </row>
    <row r="360896" spans="25:37" x14ac:dyDescent="0.2">
      <c r="Y360896" s="251"/>
      <c r="AB360896" s="251"/>
      <c r="AE360896" s="251"/>
      <c r="AH360896" s="251"/>
      <c r="AK360896" s="251"/>
    </row>
    <row r="361011" spans="25:37" x14ac:dyDescent="0.2">
      <c r="Y361011" s="5"/>
      <c r="AB361011" s="5"/>
      <c r="AE361011" s="5"/>
      <c r="AH361011" s="5"/>
      <c r="AK361011" s="5"/>
    </row>
    <row r="361021" spans="25:37" x14ac:dyDescent="0.2">
      <c r="Y361021" s="251"/>
      <c r="AB361021" s="251"/>
      <c r="AE361021" s="251"/>
      <c r="AH361021" s="251"/>
      <c r="AK361021" s="251"/>
    </row>
    <row r="361136" spans="25:37" x14ac:dyDescent="0.2">
      <c r="Y361136" s="5"/>
      <c r="AB361136" s="5"/>
      <c r="AE361136" s="5"/>
      <c r="AH361136" s="5"/>
      <c r="AK361136" s="5"/>
    </row>
    <row r="361146" spans="25:37" x14ac:dyDescent="0.2">
      <c r="Y361146" s="251"/>
      <c r="AB361146" s="251"/>
      <c r="AE361146" s="251"/>
      <c r="AH361146" s="251"/>
      <c r="AK361146" s="251"/>
    </row>
    <row r="361261" spans="25:37" x14ac:dyDescent="0.2">
      <c r="Y361261" s="5"/>
      <c r="AB361261" s="5"/>
      <c r="AE361261" s="5"/>
      <c r="AH361261" s="5"/>
      <c r="AK361261" s="5"/>
    </row>
    <row r="361271" spans="25:37" x14ac:dyDescent="0.2">
      <c r="Y361271" s="251"/>
      <c r="AB361271" s="251"/>
      <c r="AE361271" s="251"/>
      <c r="AH361271" s="251"/>
      <c r="AK361271" s="251"/>
    </row>
    <row r="361386" spans="25:37" x14ac:dyDescent="0.2">
      <c r="Y361386" s="5"/>
      <c r="AB361386" s="5"/>
      <c r="AE361386" s="5"/>
      <c r="AH361386" s="5"/>
      <c r="AK361386" s="5"/>
    </row>
    <row r="361396" spans="25:37" x14ac:dyDescent="0.2">
      <c r="Y361396" s="251"/>
      <c r="AB361396" s="251"/>
      <c r="AE361396" s="251"/>
      <c r="AH361396" s="251"/>
      <c r="AK361396" s="251"/>
    </row>
    <row r="361511" spans="25:37" x14ac:dyDescent="0.2">
      <c r="Y361511" s="5"/>
      <c r="AB361511" s="5"/>
      <c r="AE361511" s="5"/>
      <c r="AH361511" s="5"/>
      <c r="AK361511" s="5"/>
    </row>
    <row r="361521" spans="25:37" x14ac:dyDescent="0.2">
      <c r="Y361521" s="251"/>
      <c r="AB361521" s="251"/>
      <c r="AE361521" s="251"/>
      <c r="AH361521" s="251"/>
      <c r="AK361521" s="251"/>
    </row>
    <row r="361636" spans="25:37" x14ac:dyDescent="0.2">
      <c r="Y361636" s="5"/>
      <c r="AB361636" s="5"/>
      <c r="AE361636" s="5"/>
      <c r="AH361636" s="5"/>
      <c r="AK361636" s="5"/>
    </row>
    <row r="361646" spans="25:37" x14ac:dyDescent="0.2">
      <c r="Y361646" s="251"/>
      <c r="AB361646" s="251"/>
      <c r="AE361646" s="251"/>
      <c r="AH361646" s="251"/>
      <c r="AK361646" s="251"/>
    </row>
    <row r="361761" spans="25:37" x14ac:dyDescent="0.2">
      <c r="Y361761" s="5"/>
      <c r="AB361761" s="5"/>
      <c r="AE361761" s="5"/>
      <c r="AH361761" s="5"/>
      <c r="AK361761" s="5"/>
    </row>
    <row r="361771" spans="25:37" x14ac:dyDescent="0.2">
      <c r="Y361771" s="251"/>
      <c r="AB361771" s="251"/>
      <c r="AE361771" s="251"/>
      <c r="AH361771" s="251"/>
      <c r="AK361771" s="251"/>
    </row>
    <row r="361886" spans="25:37" x14ac:dyDescent="0.2">
      <c r="Y361886" s="5"/>
      <c r="AB361886" s="5"/>
      <c r="AE361886" s="5"/>
      <c r="AH361886" s="5"/>
      <c r="AK361886" s="5"/>
    </row>
    <row r="361896" spans="25:37" x14ac:dyDescent="0.2">
      <c r="Y361896" s="251"/>
      <c r="AB361896" s="251"/>
      <c r="AE361896" s="251"/>
      <c r="AH361896" s="251"/>
      <c r="AK361896" s="251"/>
    </row>
    <row r="362011" spans="25:37" x14ac:dyDescent="0.2">
      <c r="Y362011" s="5"/>
      <c r="AB362011" s="5"/>
      <c r="AE362011" s="5"/>
      <c r="AH362011" s="5"/>
      <c r="AK362011" s="5"/>
    </row>
    <row r="362021" spans="25:37" x14ac:dyDescent="0.2">
      <c r="Y362021" s="251"/>
      <c r="AB362021" s="251"/>
      <c r="AE362021" s="251"/>
      <c r="AH362021" s="251"/>
      <c r="AK362021" s="251"/>
    </row>
    <row r="362136" spans="25:37" x14ac:dyDescent="0.2">
      <c r="Y362136" s="5"/>
      <c r="AB362136" s="5"/>
      <c r="AE362136" s="5"/>
      <c r="AH362136" s="5"/>
      <c r="AK362136" s="5"/>
    </row>
    <row r="362146" spans="25:37" x14ac:dyDescent="0.2">
      <c r="Y362146" s="251"/>
      <c r="AB362146" s="251"/>
      <c r="AE362146" s="251"/>
      <c r="AH362146" s="251"/>
      <c r="AK362146" s="251"/>
    </row>
    <row r="362261" spans="25:37" x14ac:dyDescent="0.2">
      <c r="Y362261" s="5"/>
      <c r="AB362261" s="5"/>
      <c r="AE362261" s="5"/>
      <c r="AH362261" s="5"/>
      <c r="AK362261" s="5"/>
    </row>
    <row r="362271" spans="25:37" x14ac:dyDescent="0.2">
      <c r="Y362271" s="251"/>
      <c r="AB362271" s="251"/>
      <c r="AE362271" s="251"/>
      <c r="AH362271" s="251"/>
      <c r="AK362271" s="251"/>
    </row>
    <row r="362386" spans="25:37" x14ac:dyDescent="0.2">
      <c r="Y362386" s="5"/>
      <c r="AB362386" s="5"/>
      <c r="AE362386" s="5"/>
      <c r="AH362386" s="5"/>
      <c r="AK362386" s="5"/>
    </row>
    <row r="362396" spans="25:37" x14ac:dyDescent="0.2">
      <c r="Y362396" s="251"/>
      <c r="AB362396" s="251"/>
      <c r="AE362396" s="251"/>
      <c r="AH362396" s="251"/>
      <c r="AK362396" s="251"/>
    </row>
    <row r="362511" spans="25:37" x14ac:dyDescent="0.2">
      <c r="Y362511" s="5"/>
      <c r="AB362511" s="5"/>
      <c r="AE362511" s="5"/>
      <c r="AH362511" s="5"/>
      <c r="AK362511" s="5"/>
    </row>
    <row r="362521" spans="25:37" x14ac:dyDescent="0.2">
      <c r="Y362521" s="251"/>
      <c r="AB362521" s="251"/>
      <c r="AE362521" s="251"/>
      <c r="AH362521" s="251"/>
      <c r="AK362521" s="251"/>
    </row>
    <row r="362636" spans="25:37" x14ac:dyDescent="0.2">
      <c r="Y362636" s="5"/>
      <c r="AB362636" s="5"/>
      <c r="AE362636" s="5"/>
      <c r="AH362636" s="5"/>
      <c r="AK362636" s="5"/>
    </row>
    <row r="362646" spans="25:37" x14ac:dyDescent="0.2">
      <c r="Y362646" s="251"/>
      <c r="AB362646" s="251"/>
      <c r="AE362646" s="251"/>
      <c r="AH362646" s="251"/>
      <c r="AK362646" s="251"/>
    </row>
    <row r="362761" spans="25:37" x14ac:dyDescent="0.2">
      <c r="Y362761" s="5"/>
      <c r="AB362761" s="5"/>
      <c r="AE362761" s="5"/>
      <c r="AH362761" s="5"/>
      <c r="AK362761" s="5"/>
    </row>
    <row r="362771" spans="25:37" x14ac:dyDescent="0.2">
      <c r="Y362771" s="251"/>
      <c r="AB362771" s="251"/>
      <c r="AE362771" s="251"/>
      <c r="AH362771" s="251"/>
      <c r="AK362771" s="251"/>
    </row>
    <row r="362886" spans="25:37" x14ac:dyDescent="0.2">
      <c r="Y362886" s="5"/>
      <c r="AB362886" s="5"/>
      <c r="AE362886" s="5"/>
      <c r="AH362886" s="5"/>
      <c r="AK362886" s="5"/>
    </row>
    <row r="362896" spans="25:37" x14ac:dyDescent="0.2">
      <c r="Y362896" s="251"/>
      <c r="AB362896" s="251"/>
      <c r="AE362896" s="251"/>
      <c r="AH362896" s="251"/>
      <c r="AK362896" s="251"/>
    </row>
    <row r="363011" spans="25:37" x14ac:dyDescent="0.2">
      <c r="Y363011" s="5"/>
      <c r="AB363011" s="5"/>
      <c r="AE363011" s="5"/>
      <c r="AH363011" s="5"/>
      <c r="AK363011" s="5"/>
    </row>
    <row r="363021" spans="25:37" x14ac:dyDescent="0.2">
      <c r="Y363021" s="251"/>
      <c r="AB363021" s="251"/>
      <c r="AE363021" s="251"/>
      <c r="AH363021" s="251"/>
      <c r="AK363021" s="251"/>
    </row>
    <row r="363136" spans="25:37" x14ac:dyDescent="0.2">
      <c r="Y363136" s="5"/>
      <c r="AB363136" s="5"/>
      <c r="AE363136" s="5"/>
      <c r="AH363136" s="5"/>
      <c r="AK363136" s="5"/>
    </row>
    <row r="363146" spans="25:37" x14ac:dyDescent="0.2">
      <c r="Y363146" s="251"/>
      <c r="AB363146" s="251"/>
      <c r="AE363146" s="251"/>
      <c r="AH363146" s="251"/>
      <c r="AK363146" s="251"/>
    </row>
    <row r="363261" spans="25:37" x14ac:dyDescent="0.2">
      <c r="Y363261" s="5"/>
      <c r="AB363261" s="5"/>
      <c r="AE363261" s="5"/>
      <c r="AH363261" s="5"/>
      <c r="AK363261" s="5"/>
    </row>
    <row r="363271" spans="25:37" x14ac:dyDescent="0.2">
      <c r="Y363271" s="251"/>
      <c r="AB363271" s="251"/>
      <c r="AE363271" s="251"/>
      <c r="AH363271" s="251"/>
      <c r="AK363271" s="251"/>
    </row>
    <row r="363386" spans="25:37" x14ac:dyDescent="0.2">
      <c r="Y363386" s="5"/>
      <c r="AB363386" s="5"/>
      <c r="AE363386" s="5"/>
      <c r="AH363386" s="5"/>
      <c r="AK363386" s="5"/>
    </row>
    <row r="363396" spans="25:37" x14ac:dyDescent="0.2">
      <c r="Y363396" s="251"/>
      <c r="AB363396" s="251"/>
      <c r="AE363396" s="251"/>
      <c r="AH363396" s="251"/>
      <c r="AK363396" s="251"/>
    </row>
    <row r="363511" spans="25:37" x14ac:dyDescent="0.2">
      <c r="Y363511" s="5"/>
      <c r="AB363511" s="5"/>
      <c r="AE363511" s="5"/>
      <c r="AH363511" s="5"/>
      <c r="AK363511" s="5"/>
    </row>
    <row r="363521" spans="25:37" x14ac:dyDescent="0.2">
      <c r="Y363521" s="251"/>
      <c r="AB363521" s="251"/>
      <c r="AE363521" s="251"/>
      <c r="AH363521" s="251"/>
      <c r="AK363521" s="251"/>
    </row>
    <row r="363636" spans="25:37" x14ac:dyDescent="0.2">
      <c r="Y363636" s="5"/>
      <c r="AB363636" s="5"/>
      <c r="AE363636" s="5"/>
      <c r="AH363636" s="5"/>
      <c r="AK363636" s="5"/>
    </row>
    <row r="363646" spans="25:37" x14ac:dyDescent="0.2">
      <c r="Y363646" s="251"/>
      <c r="AB363646" s="251"/>
      <c r="AE363646" s="251"/>
      <c r="AH363646" s="251"/>
      <c r="AK363646" s="251"/>
    </row>
    <row r="363761" spans="25:37" x14ac:dyDescent="0.2">
      <c r="Y363761" s="5"/>
      <c r="AB363761" s="5"/>
      <c r="AE363761" s="5"/>
      <c r="AH363761" s="5"/>
      <c r="AK363761" s="5"/>
    </row>
    <row r="363771" spans="25:37" x14ac:dyDescent="0.2">
      <c r="Y363771" s="251"/>
      <c r="AB363771" s="251"/>
      <c r="AE363771" s="251"/>
      <c r="AH363771" s="251"/>
      <c r="AK363771" s="251"/>
    </row>
    <row r="363886" spans="25:37" x14ac:dyDescent="0.2">
      <c r="Y363886" s="5"/>
      <c r="AB363886" s="5"/>
      <c r="AE363886" s="5"/>
      <c r="AH363886" s="5"/>
      <c r="AK363886" s="5"/>
    </row>
    <row r="363896" spans="25:37" x14ac:dyDescent="0.2">
      <c r="Y363896" s="251"/>
      <c r="AB363896" s="251"/>
      <c r="AE363896" s="251"/>
      <c r="AH363896" s="251"/>
      <c r="AK363896" s="251"/>
    </row>
    <row r="364011" spans="25:37" x14ac:dyDescent="0.2">
      <c r="Y364011" s="5"/>
      <c r="AB364011" s="5"/>
      <c r="AE364011" s="5"/>
      <c r="AH364011" s="5"/>
      <c r="AK364011" s="5"/>
    </row>
    <row r="364021" spans="25:37" x14ac:dyDescent="0.2">
      <c r="Y364021" s="251"/>
      <c r="AB364021" s="251"/>
      <c r="AE364021" s="251"/>
      <c r="AH364021" s="251"/>
      <c r="AK364021" s="251"/>
    </row>
    <row r="364136" spans="25:37" x14ac:dyDescent="0.2">
      <c r="Y364136" s="5"/>
      <c r="AB364136" s="5"/>
      <c r="AE364136" s="5"/>
      <c r="AH364136" s="5"/>
      <c r="AK364136" s="5"/>
    </row>
    <row r="364146" spans="25:37" x14ac:dyDescent="0.2">
      <c r="Y364146" s="251"/>
      <c r="AB364146" s="251"/>
      <c r="AE364146" s="251"/>
      <c r="AH364146" s="251"/>
      <c r="AK364146" s="251"/>
    </row>
    <row r="364261" spans="25:37" x14ac:dyDescent="0.2">
      <c r="Y364261" s="5"/>
      <c r="AB364261" s="5"/>
      <c r="AE364261" s="5"/>
      <c r="AH364261" s="5"/>
      <c r="AK364261" s="5"/>
    </row>
    <row r="364271" spans="25:37" x14ac:dyDescent="0.2">
      <c r="Y364271" s="251"/>
      <c r="AB364271" s="251"/>
      <c r="AE364271" s="251"/>
      <c r="AH364271" s="251"/>
      <c r="AK364271" s="251"/>
    </row>
    <row r="364386" spans="25:37" x14ac:dyDescent="0.2">
      <c r="Y364386" s="5"/>
      <c r="AB364386" s="5"/>
      <c r="AE364386" s="5"/>
      <c r="AH364386" s="5"/>
      <c r="AK364386" s="5"/>
    </row>
    <row r="364396" spans="25:37" x14ac:dyDescent="0.2">
      <c r="Y364396" s="251"/>
      <c r="AB364396" s="251"/>
      <c r="AE364396" s="251"/>
      <c r="AH364396" s="251"/>
      <c r="AK364396" s="251"/>
    </row>
    <row r="364511" spans="25:37" x14ac:dyDescent="0.2">
      <c r="Y364511" s="5"/>
      <c r="AB364511" s="5"/>
      <c r="AE364511" s="5"/>
      <c r="AH364511" s="5"/>
      <c r="AK364511" s="5"/>
    </row>
    <row r="364521" spans="25:37" x14ac:dyDescent="0.2">
      <c r="Y364521" s="251"/>
      <c r="AB364521" s="251"/>
      <c r="AE364521" s="251"/>
      <c r="AH364521" s="251"/>
      <c r="AK364521" s="251"/>
    </row>
    <row r="364636" spans="25:37" x14ac:dyDescent="0.2">
      <c r="Y364636" s="5"/>
      <c r="AB364636" s="5"/>
      <c r="AE364636" s="5"/>
      <c r="AH364636" s="5"/>
      <c r="AK364636" s="5"/>
    </row>
    <row r="364646" spans="25:37" x14ac:dyDescent="0.2">
      <c r="Y364646" s="251"/>
      <c r="AB364646" s="251"/>
      <c r="AE364646" s="251"/>
      <c r="AH364646" s="251"/>
      <c r="AK364646" s="251"/>
    </row>
    <row r="364761" spans="25:37" x14ac:dyDescent="0.2">
      <c r="Y364761" s="5"/>
      <c r="AB364761" s="5"/>
      <c r="AE364761" s="5"/>
      <c r="AH364761" s="5"/>
      <c r="AK364761" s="5"/>
    </row>
    <row r="364771" spans="25:37" x14ac:dyDescent="0.2">
      <c r="Y364771" s="251"/>
      <c r="AB364771" s="251"/>
      <c r="AE364771" s="251"/>
      <c r="AH364771" s="251"/>
      <c r="AK364771" s="251"/>
    </row>
    <row r="364886" spans="25:37" x14ac:dyDescent="0.2">
      <c r="Y364886" s="5"/>
      <c r="AB364886" s="5"/>
      <c r="AE364886" s="5"/>
      <c r="AH364886" s="5"/>
      <c r="AK364886" s="5"/>
    </row>
    <row r="364896" spans="25:37" x14ac:dyDescent="0.2">
      <c r="Y364896" s="251"/>
      <c r="AB364896" s="251"/>
      <c r="AE364896" s="251"/>
      <c r="AH364896" s="251"/>
      <c r="AK364896" s="251"/>
    </row>
    <row r="365011" spans="25:37" x14ac:dyDescent="0.2">
      <c r="Y365011" s="5"/>
      <c r="AB365011" s="5"/>
      <c r="AE365011" s="5"/>
      <c r="AH365011" s="5"/>
      <c r="AK365011" s="5"/>
    </row>
    <row r="365021" spans="25:37" x14ac:dyDescent="0.2">
      <c r="Y365021" s="251"/>
      <c r="AB365021" s="251"/>
      <c r="AE365021" s="251"/>
      <c r="AH365021" s="251"/>
      <c r="AK365021" s="251"/>
    </row>
    <row r="365136" spans="25:37" x14ac:dyDescent="0.2">
      <c r="Y365136" s="5"/>
      <c r="AB365136" s="5"/>
      <c r="AE365136" s="5"/>
      <c r="AH365136" s="5"/>
      <c r="AK365136" s="5"/>
    </row>
    <row r="365146" spans="25:37" x14ac:dyDescent="0.2">
      <c r="Y365146" s="251"/>
      <c r="AB365146" s="251"/>
      <c r="AE365146" s="251"/>
      <c r="AH365146" s="251"/>
      <c r="AK365146" s="251"/>
    </row>
    <row r="365261" spans="25:37" x14ac:dyDescent="0.2">
      <c r="Y365261" s="5"/>
      <c r="AB365261" s="5"/>
      <c r="AE365261" s="5"/>
      <c r="AH365261" s="5"/>
      <c r="AK365261" s="5"/>
    </row>
    <row r="365271" spans="25:37" x14ac:dyDescent="0.2">
      <c r="Y365271" s="251"/>
      <c r="AB365271" s="251"/>
      <c r="AE365271" s="251"/>
      <c r="AH365271" s="251"/>
      <c r="AK365271" s="251"/>
    </row>
    <row r="365386" spans="25:37" x14ac:dyDescent="0.2">
      <c r="Y365386" s="5"/>
      <c r="AB365386" s="5"/>
      <c r="AE365386" s="5"/>
      <c r="AH365386" s="5"/>
      <c r="AK365386" s="5"/>
    </row>
    <row r="365396" spans="25:37" x14ac:dyDescent="0.2">
      <c r="Y365396" s="251"/>
      <c r="AB365396" s="251"/>
      <c r="AE365396" s="251"/>
      <c r="AH365396" s="251"/>
      <c r="AK365396" s="251"/>
    </row>
    <row r="365511" spans="25:37" x14ac:dyDescent="0.2">
      <c r="Y365511" s="5"/>
      <c r="AB365511" s="5"/>
      <c r="AE365511" s="5"/>
      <c r="AH365511" s="5"/>
      <c r="AK365511" s="5"/>
    </row>
    <row r="365521" spans="25:37" x14ac:dyDescent="0.2">
      <c r="Y365521" s="251"/>
      <c r="AB365521" s="251"/>
      <c r="AE365521" s="251"/>
      <c r="AH365521" s="251"/>
      <c r="AK365521" s="251"/>
    </row>
    <row r="365636" spans="25:37" x14ac:dyDescent="0.2">
      <c r="Y365636" s="5"/>
      <c r="AB365636" s="5"/>
      <c r="AE365636" s="5"/>
      <c r="AH365636" s="5"/>
      <c r="AK365636" s="5"/>
    </row>
    <row r="365646" spans="25:37" x14ac:dyDescent="0.2">
      <c r="Y365646" s="251"/>
      <c r="AB365646" s="251"/>
      <c r="AE365646" s="251"/>
      <c r="AH365646" s="251"/>
      <c r="AK365646" s="251"/>
    </row>
    <row r="365761" spans="25:37" x14ac:dyDescent="0.2">
      <c r="Y365761" s="5"/>
      <c r="AB365761" s="5"/>
      <c r="AE365761" s="5"/>
      <c r="AH365761" s="5"/>
      <c r="AK365761" s="5"/>
    </row>
    <row r="365771" spans="25:37" x14ac:dyDescent="0.2">
      <c r="Y365771" s="251"/>
      <c r="AB365771" s="251"/>
      <c r="AE365771" s="251"/>
      <c r="AH365771" s="251"/>
      <c r="AK365771" s="251"/>
    </row>
    <row r="365886" spans="25:37" x14ac:dyDescent="0.2">
      <c r="Y365886" s="5"/>
      <c r="AB365886" s="5"/>
      <c r="AE365886" s="5"/>
      <c r="AH365886" s="5"/>
      <c r="AK365886" s="5"/>
    </row>
    <row r="365896" spans="25:37" x14ac:dyDescent="0.2">
      <c r="Y365896" s="251"/>
      <c r="AB365896" s="251"/>
      <c r="AE365896" s="251"/>
      <c r="AH365896" s="251"/>
      <c r="AK365896" s="251"/>
    </row>
    <row r="366011" spans="25:37" x14ac:dyDescent="0.2">
      <c r="Y366011" s="5"/>
      <c r="AB366011" s="5"/>
      <c r="AE366011" s="5"/>
      <c r="AH366011" s="5"/>
      <c r="AK366011" s="5"/>
    </row>
    <row r="366021" spans="25:37" x14ac:dyDescent="0.2">
      <c r="Y366021" s="251"/>
      <c r="AB366021" s="251"/>
      <c r="AE366021" s="251"/>
      <c r="AH366021" s="251"/>
      <c r="AK366021" s="251"/>
    </row>
    <row r="366136" spans="25:37" x14ac:dyDescent="0.2">
      <c r="Y366136" s="5"/>
      <c r="AB366136" s="5"/>
      <c r="AE366136" s="5"/>
      <c r="AH366136" s="5"/>
      <c r="AK366136" s="5"/>
    </row>
    <row r="366146" spans="25:37" x14ac:dyDescent="0.2">
      <c r="Y366146" s="251"/>
      <c r="AB366146" s="251"/>
      <c r="AE366146" s="251"/>
      <c r="AH366146" s="251"/>
      <c r="AK366146" s="251"/>
    </row>
    <row r="366261" spans="25:37" x14ac:dyDescent="0.2">
      <c r="Y366261" s="5"/>
      <c r="AB366261" s="5"/>
      <c r="AE366261" s="5"/>
      <c r="AH366261" s="5"/>
      <c r="AK366261" s="5"/>
    </row>
    <row r="366271" spans="25:37" x14ac:dyDescent="0.2">
      <c r="Y366271" s="251"/>
      <c r="AB366271" s="251"/>
      <c r="AE366271" s="251"/>
      <c r="AH366271" s="251"/>
      <c r="AK366271" s="251"/>
    </row>
    <row r="366386" spans="25:37" x14ac:dyDescent="0.2">
      <c r="Y366386" s="5"/>
      <c r="AB366386" s="5"/>
      <c r="AE366386" s="5"/>
      <c r="AH366386" s="5"/>
      <c r="AK366386" s="5"/>
    </row>
    <row r="366396" spans="25:37" x14ac:dyDescent="0.2">
      <c r="Y366396" s="251"/>
      <c r="AB366396" s="251"/>
      <c r="AE366396" s="251"/>
      <c r="AH366396" s="251"/>
      <c r="AK366396" s="251"/>
    </row>
    <row r="366511" spans="25:37" x14ac:dyDescent="0.2">
      <c r="Y366511" s="5"/>
      <c r="AB366511" s="5"/>
      <c r="AE366511" s="5"/>
      <c r="AH366511" s="5"/>
      <c r="AK366511" s="5"/>
    </row>
    <row r="366521" spans="25:37" x14ac:dyDescent="0.2">
      <c r="Y366521" s="251"/>
      <c r="AB366521" s="251"/>
      <c r="AE366521" s="251"/>
      <c r="AH366521" s="251"/>
      <c r="AK366521" s="251"/>
    </row>
    <row r="366636" spans="25:37" x14ac:dyDescent="0.2">
      <c r="Y366636" s="5"/>
      <c r="AB366636" s="5"/>
      <c r="AE366636" s="5"/>
      <c r="AH366636" s="5"/>
      <c r="AK366636" s="5"/>
    </row>
    <row r="366646" spans="25:37" x14ac:dyDescent="0.2">
      <c r="Y366646" s="251"/>
      <c r="AB366646" s="251"/>
      <c r="AE366646" s="251"/>
      <c r="AH366646" s="251"/>
      <c r="AK366646" s="251"/>
    </row>
    <row r="366761" spans="25:37" x14ac:dyDescent="0.2">
      <c r="Y366761" s="5"/>
      <c r="AB366761" s="5"/>
      <c r="AE366761" s="5"/>
      <c r="AH366761" s="5"/>
      <c r="AK366761" s="5"/>
    </row>
    <row r="366771" spans="25:37" x14ac:dyDescent="0.2">
      <c r="Y366771" s="251"/>
      <c r="AB366771" s="251"/>
      <c r="AE366771" s="251"/>
      <c r="AH366771" s="251"/>
      <c r="AK366771" s="251"/>
    </row>
    <row r="366886" spans="25:37" x14ac:dyDescent="0.2">
      <c r="Y366886" s="5"/>
      <c r="AB366886" s="5"/>
      <c r="AE366886" s="5"/>
      <c r="AH366886" s="5"/>
      <c r="AK366886" s="5"/>
    </row>
    <row r="366896" spans="25:37" x14ac:dyDescent="0.2">
      <c r="Y366896" s="251"/>
      <c r="AB366896" s="251"/>
      <c r="AE366896" s="251"/>
      <c r="AH366896" s="251"/>
      <c r="AK366896" s="251"/>
    </row>
    <row r="367011" spans="25:37" x14ac:dyDescent="0.2">
      <c r="Y367011" s="5"/>
      <c r="AB367011" s="5"/>
      <c r="AE367011" s="5"/>
      <c r="AH367011" s="5"/>
      <c r="AK367011" s="5"/>
    </row>
    <row r="367021" spans="25:37" x14ac:dyDescent="0.2">
      <c r="Y367021" s="251"/>
      <c r="AB367021" s="251"/>
      <c r="AE367021" s="251"/>
      <c r="AH367021" s="251"/>
      <c r="AK367021" s="251"/>
    </row>
    <row r="367136" spans="25:37" x14ac:dyDescent="0.2">
      <c r="Y367136" s="5"/>
      <c r="AB367136" s="5"/>
      <c r="AE367136" s="5"/>
      <c r="AH367136" s="5"/>
      <c r="AK367136" s="5"/>
    </row>
    <row r="367146" spans="25:37" x14ac:dyDescent="0.2">
      <c r="Y367146" s="251"/>
      <c r="AB367146" s="251"/>
      <c r="AE367146" s="251"/>
      <c r="AH367146" s="251"/>
      <c r="AK367146" s="251"/>
    </row>
    <row r="367261" spans="25:37" x14ac:dyDescent="0.2">
      <c r="Y367261" s="5"/>
      <c r="AB367261" s="5"/>
      <c r="AE367261" s="5"/>
      <c r="AH367261" s="5"/>
      <c r="AK367261" s="5"/>
    </row>
    <row r="367271" spans="25:37" x14ac:dyDescent="0.2">
      <c r="Y367271" s="251"/>
      <c r="AB367271" s="251"/>
      <c r="AE367271" s="251"/>
      <c r="AH367271" s="251"/>
      <c r="AK367271" s="251"/>
    </row>
    <row r="367386" spans="25:37" x14ac:dyDescent="0.2">
      <c r="Y367386" s="5"/>
      <c r="AB367386" s="5"/>
      <c r="AE367386" s="5"/>
      <c r="AH367386" s="5"/>
      <c r="AK367386" s="5"/>
    </row>
    <row r="367396" spans="25:37" x14ac:dyDescent="0.2">
      <c r="Y367396" s="251"/>
      <c r="AB367396" s="251"/>
      <c r="AE367396" s="251"/>
      <c r="AH367396" s="251"/>
      <c r="AK367396" s="251"/>
    </row>
    <row r="367511" spans="25:37" x14ac:dyDescent="0.2">
      <c r="Y367511" s="5"/>
      <c r="AB367511" s="5"/>
      <c r="AE367511" s="5"/>
      <c r="AH367511" s="5"/>
      <c r="AK367511" s="5"/>
    </row>
    <row r="367521" spans="25:37" x14ac:dyDescent="0.2">
      <c r="Y367521" s="251"/>
      <c r="AB367521" s="251"/>
      <c r="AE367521" s="251"/>
      <c r="AH367521" s="251"/>
      <c r="AK367521" s="251"/>
    </row>
    <row r="367636" spans="25:37" x14ac:dyDescent="0.2">
      <c r="Y367636" s="5"/>
      <c r="AB367636" s="5"/>
      <c r="AE367636" s="5"/>
      <c r="AH367636" s="5"/>
      <c r="AK367636" s="5"/>
    </row>
    <row r="367646" spans="25:37" x14ac:dyDescent="0.2">
      <c r="Y367646" s="251"/>
      <c r="AB367646" s="251"/>
      <c r="AE367646" s="251"/>
      <c r="AH367646" s="251"/>
      <c r="AK367646" s="251"/>
    </row>
    <row r="367761" spans="25:37" x14ac:dyDescent="0.2">
      <c r="Y367761" s="5"/>
      <c r="AB367761" s="5"/>
      <c r="AE367761" s="5"/>
      <c r="AH367761" s="5"/>
      <c r="AK367761" s="5"/>
    </row>
    <row r="367771" spans="25:37" x14ac:dyDescent="0.2">
      <c r="Y367771" s="251"/>
      <c r="AB367771" s="251"/>
      <c r="AE367771" s="251"/>
      <c r="AH367771" s="251"/>
      <c r="AK367771" s="251"/>
    </row>
    <row r="367886" spans="25:37" x14ac:dyDescent="0.2">
      <c r="Y367886" s="5"/>
      <c r="AB367886" s="5"/>
      <c r="AE367886" s="5"/>
      <c r="AH367886" s="5"/>
      <c r="AK367886" s="5"/>
    </row>
    <row r="367896" spans="25:37" x14ac:dyDescent="0.2">
      <c r="Y367896" s="251"/>
      <c r="AB367896" s="251"/>
      <c r="AE367896" s="251"/>
      <c r="AH367896" s="251"/>
      <c r="AK367896" s="251"/>
    </row>
    <row r="368011" spans="25:37" x14ac:dyDescent="0.2">
      <c r="Y368011" s="5"/>
      <c r="AB368011" s="5"/>
      <c r="AE368011" s="5"/>
      <c r="AH368011" s="5"/>
      <c r="AK368011" s="5"/>
    </row>
    <row r="368021" spans="25:37" x14ac:dyDescent="0.2">
      <c r="Y368021" s="251"/>
      <c r="AB368021" s="251"/>
      <c r="AE368021" s="251"/>
      <c r="AH368021" s="251"/>
      <c r="AK368021" s="251"/>
    </row>
    <row r="368136" spans="25:37" x14ac:dyDescent="0.2">
      <c r="Y368136" s="5"/>
      <c r="AB368136" s="5"/>
      <c r="AE368136" s="5"/>
      <c r="AH368136" s="5"/>
      <c r="AK368136" s="5"/>
    </row>
    <row r="368146" spans="25:37" x14ac:dyDescent="0.2">
      <c r="Y368146" s="251"/>
      <c r="AB368146" s="251"/>
      <c r="AE368146" s="251"/>
      <c r="AH368146" s="251"/>
      <c r="AK368146" s="251"/>
    </row>
    <row r="368261" spans="25:37" x14ac:dyDescent="0.2">
      <c r="Y368261" s="5"/>
      <c r="AB368261" s="5"/>
      <c r="AE368261" s="5"/>
      <c r="AH368261" s="5"/>
      <c r="AK368261" s="5"/>
    </row>
    <row r="368271" spans="25:37" x14ac:dyDescent="0.2">
      <c r="Y368271" s="251"/>
      <c r="AB368271" s="251"/>
      <c r="AE368271" s="251"/>
      <c r="AH368271" s="251"/>
      <c r="AK368271" s="251"/>
    </row>
    <row r="368386" spans="25:37" x14ac:dyDescent="0.2">
      <c r="Y368386" s="5"/>
      <c r="AB368386" s="5"/>
      <c r="AE368386" s="5"/>
      <c r="AH368386" s="5"/>
      <c r="AK368386" s="5"/>
    </row>
    <row r="368396" spans="25:37" x14ac:dyDescent="0.2">
      <c r="Y368396" s="251"/>
      <c r="AB368396" s="251"/>
      <c r="AE368396" s="251"/>
      <c r="AH368396" s="251"/>
      <c r="AK368396" s="251"/>
    </row>
    <row r="368511" spans="25:37" x14ac:dyDescent="0.2">
      <c r="Y368511" s="5"/>
      <c r="AB368511" s="5"/>
      <c r="AE368511" s="5"/>
      <c r="AH368511" s="5"/>
      <c r="AK368511" s="5"/>
    </row>
    <row r="368521" spans="25:37" x14ac:dyDescent="0.2">
      <c r="Y368521" s="251"/>
      <c r="AB368521" s="251"/>
      <c r="AE368521" s="251"/>
      <c r="AH368521" s="251"/>
      <c r="AK368521" s="251"/>
    </row>
    <row r="368636" spans="25:37" x14ac:dyDescent="0.2">
      <c r="Y368636" s="5"/>
      <c r="AB368636" s="5"/>
      <c r="AE368636" s="5"/>
      <c r="AH368636" s="5"/>
      <c r="AK368636" s="5"/>
    </row>
    <row r="368646" spans="25:37" x14ac:dyDescent="0.2">
      <c r="Y368646" s="251"/>
      <c r="AB368646" s="251"/>
      <c r="AE368646" s="251"/>
      <c r="AH368646" s="251"/>
      <c r="AK368646" s="251"/>
    </row>
    <row r="368761" spans="25:37" x14ac:dyDescent="0.2">
      <c r="Y368761" s="5"/>
      <c r="AB368761" s="5"/>
      <c r="AE368761" s="5"/>
      <c r="AH368761" s="5"/>
      <c r="AK368761" s="5"/>
    </row>
    <row r="368771" spans="25:37" x14ac:dyDescent="0.2">
      <c r="Y368771" s="251"/>
      <c r="AB368771" s="251"/>
      <c r="AE368771" s="251"/>
      <c r="AH368771" s="251"/>
      <c r="AK368771" s="251"/>
    </row>
    <row r="368886" spans="25:37" x14ac:dyDescent="0.2">
      <c r="Y368886" s="5"/>
      <c r="AB368886" s="5"/>
      <c r="AE368886" s="5"/>
      <c r="AH368886" s="5"/>
      <c r="AK368886" s="5"/>
    </row>
    <row r="368896" spans="25:37" x14ac:dyDescent="0.2">
      <c r="Y368896" s="251"/>
      <c r="AB368896" s="251"/>
      <c r="AE368896" s="251"/>
      <c r="AH368896" s="251"/>
      <c r="AK368896" s="251"/>
    </row>
    <row r="369011" spans="25:37" x14ac:dyDescent="0.2">
      <c r="Y369011" s="5"/>
      <c r="AB369011" s="5"/>
      <c r="AE369011" s="5"/>
      <c r="AH369011" s="5"/>
      <c r="AK369011" s="5"/>
    </row>
    <row r="369021" spans="25:37" x14ac:dyDescent="0.2">
      <c r="Y369021" s="251"/>
      <c r="AB369021" s="251"/>
      <c r="AE369021" s="251"/>
      <c r="AH369021" s="251"/>
      <c r="AK369021" s="251"/>
    </row>
    <row r="369136" spans="25:37" x14ac:dyDescent="0.2">
      <c r="Y369136" s="5"/>
      <c r="AB369136" s="5"/>
      <c r="AE369136" s="5"/>
      <c r="AH369136" s="5"/>
      <c r="AK369136" s="5"/>
    </row>
    <row r="369146" spans="25:37" x14ac:dyDescent="0.2">
      <c r="Y369146" s="251"/>
      <c r="AB369146" s="251"/>
      <c r="AE369146" s="251"/>
      <c r="AH369146" s="251"/>
      <c r="AK369146" s="251"/>
    </row>
    <row r="369261" spans="25:37" x14ac:dyDescent="0.2">
      <c r="Y369261" s="5"/>
      <c r="AB369261" s="5"/>
      <c r="AE369261" s="5"/>
      <c r="AH369261" s="5"/>
      <c r="AK369261" s="5"/>
    </row>
    <row r="369271" spans="25:37" x14ac:dyDescent="0.2">
      <c r="Y369271" s="251"/>
      <c r="AB369271" s="251"/>
      <c r="AE369271" s="251"/>
      <c r="AH369271" s="251"/>
      <c r="AK369271" s="251"/>
    </row>
    <row r="369386" spans="25:37" x14ac:dyDescent="0.2">
      <c r="Y369386" s="5"/>
      <c r="AB369386" s="5"/>
      <c r="AE369386" s="5"/>
      <c r="AH369386" s="5"/>
      <c r="AK369386" s="5"/>
    </row>
    <row r="369396" spans="25:37" x14ac:dyDescent="0.2">
      <c r="Y369396" s="251"/>
      <c r="AB369396" s="251"/>
      <c r="AE369396" s="251"/>
      <c r="AH369396" s="251"/>
      <c r="AK369396" s="251"/>
    </row>
    <row r="369511" spans="25:37" x14ac:dyDescent="0.2">
      <c r="Y369511" s="5"/>
      <c r="AB369511" s="5"/>
      <c r="AE369511" s="5"/>
      <c r="AH369511" s="5"/>
      <c r="AK369511" s="5"/>
    </row>
    <row r="369521" spans="25:37" x14ac:dyDescent="0.2">
      <c r="Y369521" s="251"/>
      <c r="AB369521" s="251"/>
      <c r="AE369521" s="251"/>
      <c r="AH369521" s="251"/>
      <c r="AK369521" s="251"/>
    </row>
    <row r="369636" spans="25:37" x14ac:dyDescent="0.2">
      <c r="Y369636" s="5"/>
      <c r="AB369636" s="5"/>
      <c r="AE369636" s="5"/>
      <c r="AH369636" s="5"/>
      <c r="AK369636" s="5"/>
    </row>
    <row r="369646" spans="25:37" x14ac:dyDescent="0.2">
      <c r="Y369646" s="251"/>
      <c r="AB369646" s="251"/>
      <c r="AE369646" s="251"/>
      <c r="AH369646" s="251"/>
      <c r="AK369646" s="251"/>
    </row>
    <row r="369761" spans="25:37" x14ac:dyDescent="0.2">
      <c r="Y369761" s="5"/>
      <c r="AB369761" s="5"/>
      <c r="AE369761" s="5"/>
      <c r="AH369761" s="5"/>
      <c r="AK369761" s="5"/>
    </row>
    <row r="369771" spans="25:37" x14ac:dyDescent="0.2">
      <c r="Y369771" s="251"/>
      <c r="AB369771" s="251"/>
      <c r="AE369771" s="251"/>
      <c r="AH369771" s="251"/>
      <c r="AK369771" s="251"/>
    </row>
    <row r="369886" spans="25:37" x14ac:dyDescent="0.2">
      <c r="Y369886" s="5"/>
      <c r="AB369886" s="5"/>
      <c r="AE369886" s="5"/>
      <c r="AH369886" s="5"/>
      <c r="AK369886" s="5"/>
    </row>
    <row r="369896" spans="25:37" x14ac:dyDescent="0.2">
      <c r="Y369896" s="251"/>
      <c r="AB369896" s="251"/>
      <c r="AE369896" s="251"/>
      <c r="AH369896" s="251"/>
      <c r="AK369896" s="251"/>
    </row>
    <row r="370011" spans="25:37" x14ac:dyDescent="0.2">
      <c r="Y370011" s="5"/>
      <c r="AB370011" s="5"/>
      <c r="AE370011" s="5"/>
      <c r="AH370011" s="5"/>
      <c r="AK370011" s="5"/>
    </row>
    <row r="370021" spans="25:37" x14ac:dyDescent="0.2">
      <c r="Y370021" s="251"/>
      <c r="AB370021" s="251"/>
      <c r="AE370021" s="251"/>
      <c r="AH370021" s="251"/>
      <c r="AK370021" s="251"/>
    </row>
    <row r="370136" spans="25:37" x14ac:dyDescent="0.2">
      <c r="Y370136" s="5"/>
      <c r="AB370136" s="5"/>
      <c r="AE370136" s="5"/>
      <c r="AH370136" s="5"/>
      <c r="AK370136" s="5"/>
    </row>
    <row r="370146" spans="25:37" x14ac:dyDescent="0.2">
      <c r="Y370146" s="251"/>
      <c r="AB370146" s="251"/>
      <c r="AE370146" s="251"/>
      <c r="AH370146" s="251"/>
      <c r="AK370146" s="251"/>
    </row>
    <row r="370261" spans="25:37" x14ac:dyDescent="0.2">
      <c r="Y370261" s="5"/>
      <c r="AB370261" s="5"/>
      <c r="AE370261" s="5"/>
      <c r="AH370261" s="5"/>
      <c r="AK370261" s="5"/>
    </row>
    <row r="370271" spans="25:37" x14ac:dyDescent="0.2">
      <c r="Y370271" s="251"/>
      <c r="AB370271" s="251"/>
      <c r="AE370271" s="251"/>
      <c r="AH370271" s="251"/>
      <c r="AK370271" s="251"/>
    </row>
    <row r="370386" spans="25:37" x14ac:dyDescent="0.2">
      <c r="Y370386" s="5"/>
      <c r="AB370386" s="5"/>
      <c r="AE370386" s="5"/>
      <c r="AH370386" s="5"/>
      <c r="AK370386" s="5"/>
    </row>
    <row r="370396" spans="25:37" x14ac:dyDescent="0.2">
      <c r="Y370396" s="251"/>
      <c r="AB370396" s="251"/>
      <c r="AE370396" s="251"/>
      <c r="AH370396" s="251"/>
      <c r="AK370396" s="251"/>
    </row>
    <row r="370511" spans="25:37" x14ac:dyDescent="0.2">
      <c r="Y370511" s="5"/>
      <c r="AB370511" s="5"/>
      <c r="AE370511" s="5"/>
      <c r="AH370511" s="5"/>
      <c r="AK370511" s="5"/>
    </row>
    <row r="370521" spans="25:37" x14ac:dyDescent="0.2">
      <c r="Y370521" s="251"/>
      <c r="AB370521" s="251"/>
      <c r="AE370521" s="251"/>
      <c r="AH370521" s="251"/>
      <c r="AK370521" s="251"/>
    </row>
    <row r="370636" spans="25:37" x14ac:dyDescent="0.2">
      <c r="Y370636" s="5"/>
      <c r="AB370636" s="5"/>
      <c r="AE370636" s="5"/>
      <c r="AH370636" s="5"/>
      <c r="AK370636" s="5"/>
    </row>
    <row r="370646" spans="25:37" x14ac:dyDescent="0.2">
      <c r="Y370646" s="251"/>
      <c r="AB370646" s="251"/>
      <c r="AE370646" s="251"/>
      <c r="AH370646" s="251"/>
      <c r="AK370646" s="251"/>
    </row>
    <row r="370761" spans="25:37" x14ac:dyDescent="0.2">
      <c r="Y370761" s="5"/>
      <c r="AB370761" s="5"/>
      <c r="AE370761" s="5"/>
      <c r="AH370761" s="5"/>
      <c r="AK370761" s="5"/>
    </row>
    <row r="370771" spans="25:37" x14ac:dyDescent="0.2">
      <c r="Y370771" s="251"/>
      <c r="AB370771" s="251"/>
      <c r="AE370771" s="251"/>
      <c r="AH370771" s="251"/>
      <c r="AK370771" s="251"/>
    </row>
    <row r="370886" spans="25:37" x14ac:dyDescent="0.2">
      <c r="Y370886" s="5"/>
      <c r="AB370886" s="5"/>
      <c r="AE370886" s="5"/>
      <c r="AH370886" s="5"/>
      <c r="AK370886" s="5"/>
    </row>
    <row r="370896" spans="25:37" x14ac:dyDescent="0.2">
      <c r="Y370896" s="251"/>
      <c r="AB370896" s="251"/>
      <c r="AE370896" s="251"/>
      <c r="AH370896" s="251"/>
      <c r="AK370896" s="251"/>
    </row>
    <row r="371011" spans="25:37" x14ac:dyDescent="0.2">
      <c r="Y371011" s="5"/>
      <c r="AB371011" s="5"/>
      <c r="AE371011" s="5"/>
      <c r="AH371011" s="5"/>
      <c r="AK371011" s="5"/>
    </row>
    <row r="371021" spans="25:37" x14ac:dyDescent="0.2">
      <c r="Y371021" s="251"/>
      <c r="AB371021" s="251"/>
      <c r="AE371021" s="251"/>
      <c r="AH371021" s="251"/>
      <c r="AK371021" s="251"/>
    </row>
    <row r="371136" spans="25:37" x14ac:dyDescent="0.2">
      <c r="Y371136" s="5"/>
      <c r="AB371136" s="5"/>
      <c r="AE371136" s="5"/>
      <c r="AH371136" s="5"/>
      <c r="AK371136" s="5"/>
    </row>
    <row r="371146" spans="25:37" x14ac:dyDescent="0.2">
      <c r="Y371146" s="251"/>
      <c r="AB371146" s="251"/>
      <c r="AE371146" s="251"/>
      <c r="AH371146" s="251"/>
      <c r="AK371146" s="251"/>
    </row>
    <row r="371261" spans="25:37" x14ac:dyDescent="0.2">
      <c r="Y371261" s="5"/>
      <c r="AB371261" s="5"/>
      <c r="AE371261" s="5"/>
      <c r="AH371261" s="5"/>
      <c r="AK371261" s="5"/>
    </row>
    <row r="371271" spans="25:37" x14ac:dyDescent="0.2">
      <c r="Y371271" s="251"/>
      <c r="AB371271" s="251"/>
      <c r="AE371271" s="251"/>
      <c r="AH371271" s="251"/>
      <c r="AK371271" s="251"/>
    </row>
    <row r="371386" spans="25:37" x14ac:dyDescent="0.2">
      <c r="Y371386" s="5"/>
      <c r="AB371386" s="5"/>
      <c r="AE371386" s="5"/>
      <c r="AH371386" s="5"/>
      <c r="AK371386" s="5"/>
    </row>
    <row r="371396" spans="25:37" x14ac:dyDescent="0.2">
      <c r="Y371396" s="251"/>
      <c r="AB371396" s="251"/>
      <c r="AE371396" s="251"/>
      <c r="AH371396" s="251"/>
      <c r="AK371396" s="251"/>
    </row>
    <row r="371511" spans="25:37" x14ac:dyDescent="0.2">
      <c r="Y371511" s="5"/>
      <c r="AB371511" s="5"/>
      <c r="AE371511" s="5"/>
      <c r="AH371511" s="5"/>
      <c r="AK371511" s="5"/>
    </row>
    <row r="371521" spans="25:37" x14ac:dyDescent="0.2">
      <c r="Y371521" s="251"/>
      <c r="AB371521" s="251"/>
      <c r="AE371521" s="251"/>
      <c r="AH371521" s="251"/>
      <c r="AK371521" s="251"/>
    </row>
    <row r="371636" spans="25:37" x14ac:dyDescent="0.2">
      <c r="Y371636" s="5"/>
      <c r="AB371636" s="5"/>
      <c r="AE371636" s="5"/>
      <c r="AH371636" s="5"/>
      <c r="AK371636" s="5"/>
    </row>
    <row r="371646" spans="25:37" x14ac:dyDescent="0.2">
      <c r="Y371646" s="251"/>
      <c r="AB371646" s="251"/>
      <c r="AE371646" s="251"/>
      <c r="AH371646" s="251"/>
      <c r="AK371646" s="251"/>
    </row>
    <row r="371761" spans="25:37" x14ac:dyDescent="0.2">
      <c r="Y371761" s="5"/>
      <c r="AB371761" s="5"/>
      <c r="AE371761" s="5"/>
      <c r="AH371761" s="5"/>
      <c r="AK371761" s="5"/>
    </row>
    <row r="371771" spans="25:37" x14ac:dyDescent="0.2">
      <c r="Y371771" s="251"/>
      <c r="AB371771" s="251"/>
      <c r="AE371771" s="251"/>
      <c r="AH371771" s="251"/>
      <c r="AK371771" s="251"/>
    </row>
    <row r="371886" spans="25:37" x14ac:dyDescent="0.2">
      <c r="Y371886" s="5"/>
      <c r="AB371886" s="5"/>
      <c r="AE371886" s="5"/>
      <c r="AH371886" s="5"/>
      <c r="AK371886" s="5"/>
    </row>
    <row r="371896" spans="25:37" x14ac:dyDescent="0.2">
      <c r="Y371896" s="251"/>
      <c r="AB371896" s="251"/>
      <c r="AE371896" s="251"/>
      <c r="AH371896" s="251"/>
      <c r="AK371896" s="251"/>
    </row>
    <row r="372011" spans="25:37" x14ac:dyDescent="0.2">
      <c r="Y372011" s="5"/>
      <c r="AB372011" s="5"/>
      <c r="AE372011" s="5"/>
      <c r="AH372011" s="5"/>
      <c r="AK372011" s="5"/>
    </row>
    <row r="372021" spans="25:37" x14ac:dyDescent="0.2">
      <c r="Y372021" s="251"/>
      <c r="AB372021" s="251"/>
      <c r="AE372021" s="251"/>
      <c r="AH372021" s="251"/>
      <c r="AK372021" s="251"/>
    </row>
    <row r="372136" spans="25:37" x14ac:dyDescent="0.2">
      <c r="Y372136" s="5"/>
      <c r="AB372136" s="5"/>
      <c r="AE372136" s="5"/>
      <c r="AH372136" s="5"/>
      <c r="AK372136" s="5"/>
    </row>
    <row r="372146" spans="25:37" x14ac:dyDescent="0.2">
      <c r="Y372146" s="251"/>
      <c r="AB372146" s="251"/>
      <c r="AE372146" s="251"/>
      <c r="AH372146" s="251"/>
      <c r="AK372146" s="251"/>
    </row>
    <row r="372261" spans="25:37" x14ac:dyDescent="0.2">
      <c r="Y372261" s="5"/>
      <c r="AB372261" s="5"/>
      <c r="AE372261" s="5"/>
      <c r="AH372261" s="5"/>
      <c r="AK372261" s="5"/>
    </row>
    <row r="372271" spans="25:37" x14ac:dyDescent="0.2">
      <c r="Y372271" s="251"/>
      <c r="AB372271" s="251"/>
      <c r="AE372271" s="251"/>
      <c r="AH372271" s="251"/>
      <c r="AK372271" s="251"/>
    </row>
    <row r="372386" spans="25:37" x14ac:dyDescent="0.2">
      <c r="Y372386" s="5"/>
      <c r="AB372386" s="5"/>
      <c r="AE372386" s="5"/>
      <c r="AH372386" s="5"/>
      <c r="AK372386" s="5"/>
    </row>
    <row r="372396" spans="25:37" x14ac:dyDescent="0.2">
      <c r="Y372396" s="251"/>
      <c r="AB372396" s="251"/>
      <c r="AE372396" s="251"/>
      <c r="AH372396" s="251"/>
      <c r="AK372396" s="251"/>
    </row>
    <row r="372511" spans="25:37" x14ac:dyDescent="0.2">
      <c r="Y372511" s="5"/>
      <c r="AB372511" s="5"/>
      <c r="AE372511" s="5"/>
      <c r="AH372511" s="5"/>
      <c r="AK372511" s="5"/>
    </row>
    <row r="372521" spans="25:37" x14ac:dyDescent="0.2">
      <c r="Y372521" s="251"/>
      <c r="AB372521" s="251"/>
      <c r="AE372521" s="251"/>
      <c r="AH372521" s="251"/>
      <c r="AK372521" s="251"/>
    </row>
    <row r="372636" spans="25:37" x14ac:dyDescent="0.2">
      <c r="Y372636" s="5"/>
      <c r="AB372636" s="5"/>
      <c r="AE372636" s="5"/>
      <c r="AH372636" s="5"/>
      <c r="AK372636" s="5"/>
    </row>
    <row r="372646" spans="25:37" x14ac:dyDescent="0.2">
      <c r="Y372646" s="251"/>
      <c r="AB372646" s="251"/>
      <c r="AE372646" s="251"/>
      <c r="AH372646" s="251"/>
      <c r="AK372646" s="251"/>
    </row>
    <row r="372761" spans="25:37" x14ac:dyDescent="0.2">
      <c r="Y372761" s="5"/>
      <c r="AB372761" s="5"/>
      <c r="AE372761" s="5"/>
      <c r="AH372761" s="5"/>
      <c r="AK372761" s="5"/>
    </row>
    <row r="372771" spans="25:37" x14ac:dyDescent="0.2">
      <c r="Y372771" s="251"/>
      <c r="AB372771" s="251"/>
      <c r="AE372771" s="251"/>
      <c r="AH372771" s="251"/>
      <c r="AK372771" s="251"/>
    </row>
    <row r="372886" spans="25:37" x14ac:dyDescent="0.2">
      <c r="Y372886" s="5"/>
      <c r="AB372886" s="5"/>
      <c r="AE372886" s="5"/>
      <c r="AH372886" s="5"/>
      <c r="AK372886" s="5"/>
    </row>
    <row r="372896" spans="25:37" x14ac:dyDescent="0.2">
      <c r="Y372896" s="251"/>
      <c r="AB372896" s="251"/>
      <c r="AE372896" s="251"/>
      <c r="AH372896" s="251"/>
      <c r="AK372896" s="251"/>
    </row>
    <row r="373011" spans="25:37" x14ac:dyDescent="0.2">
      <c r="Y373011" s="5"/>
      <c r="AB373011" s="5"/>
      <c r="AE373011" s="5"/>
      <c r="AH373011" s="5"/>
      <c r="AK373011" s="5"/>
    </row>
    <row r="373021" spans="25:37" x14ac:dyDescent="0.2">
      <c r="Y373021" s="251"/>
      <c r="AB373021" s="251"/>
      <c r="AE373021" s="251"/>
      <c r="AH373021" s="251"/>
      <c r="AK373021" s="251"/>
    </row>
    <row r="373136" spans="25:37" x14ac:dyDescent="0.2">
      <c r="Y373136" s="5"/>
      <c r="AB373136" s="5"/>
      <c r="AE373136" s="5"/>
      <c r="AH373136" s="5"/>
      <c r="AK373136" s="5"/>
    </row>
    <row r="373146" spans="25:37" x14ac:dyDescent="0.2">
      <c r="Y373146" s="251"/>
      <c r="AB373146" s="251"/>
      <c r="AE373146" s="251"/>
      <c r="AH373146" s="251"/>
      <c r="AK373146" s="251"/>
    </row>
    <row r="373261" spans="25:37" x14ac:dyDescent="0.2">
      <c r="Y373261" s="5"/>
      <c r="AB373261" s="5"/>
      <c r="AE373261" s="5"/>
      <c r="AH373261" s="5"/>
      <c r="AK373261" s="5"/>
    </row>
    <row r="373271" spans="25:37" x14ac:dyDescent="0.2">
      <c r="Y373271" s="251"/>
      <c r="AB373271" s="251"/>
      <c r="AE373271" s="251"/>
      <c r="AH373271" s="251"/>
      <c r="AK373271" s="251"/>
    </row>
    <row r="373386" spans="25:37" x14ac:dyDescent="0.2">
      <c r="Y373386" s="5"/>
      <c r="AB373386" s="5"/>
      <c r="AE373386" s="5"/>
      <c r="AH373386" s="5"/>
      <c r="AK373386" s="5"/>
    </row>
    <row r="373396" spans="25:37" x14ac:dyDescent="0.2">
      <c r="Y373396" s="251"/>
      <c r="AB373396" s="251"/>
      <c r="AE373396" s="251"/>
      <c r="AH373396" s="251"/>
      <c r="AK373396" s="251"/>
    </row>
    <row r="373511" spans="25:37" x14ac:dyDescent="0.2">
      <c r="Y373511" s="5"/>
      <c r="AB373511" s="5"/>
      <c r="AE373511" s="5"/>
      <c r="AH373511" s="5"/>
      <c r="AK373511" s="5"/>
    </row>
    <row r="373521" spans="25:37" x14ac:dyDescent="0.2">
      <c r="Y373521" s="251"/>
      <c r="AB373521" s="251"/>
      <c r="AE373521" s="251"/>
      <c r="AH373521" s="251"/>
      <c r="AK373521" s="251"/>
    </row>
    <row r="373636" spans="25:37" x14ac:dyDescent="0.2">
      <c r="Y373636" s="5"/>
      <c r="AB373636" s="5"/>
      <c r="AE373636" s="5"/>
      <c r="AH373636" s="5"/>
      <c r="AK373636" s="5"/>
    </row>
    <row r="373646" spans="25:37" x14ac:dyDescent="0.2">
      <c r="Y373646" s="251"/>
      <c r="AB373646" s="251"/>
      <c r="AE373646" s="251"/>
      <c r="AH373646" s="251"/>
      <c r="AK373646" s="251"/>
    </row>
    <row r="373761" spans="25:37" x14ac:dyDescent="0.2">
      <c r="Y373761" s="5"/>
      <c r="AB373761" s="5"/>
      <c r="AE373761" s="5"/>
      <c r="AH373761" s="5"/>
      <c r="AK373761" s="5"/>
    </row>
    <row r="373771" spans="25:37" x14ac:dyDescent="0.2">
      <c r="Y373771" s="251"/>
      <c r="AB373771" s="251"/>
      <c r="AE373771" s="251"/>
      <c r="AH373771" s="251"/>
      <c r="AK373771" s="251"/>
    </row>
    <row r="373886" spans="25:37" x14ac:dyDescent="0.2">
      <c r="Y373886" s="5"/>
      <c r="AB373886" s="5"/>
      <c r="AE373886" s="5"/>
      <c r="AH373886" s="5"/>
      <c r="AK373886" s="5"/>
    </row>
    <row r="373896" spans="25:37" x14ac:dyDescent="0.2">
      <c r="Y373896" s="251"/>
      <c r="AB373896" s="251"/>
      <c r="AE373896" s="251"/>
      <c r="AH373896" s="251"/>
      <c r="AK373896" s="251"/>
    </row>
    <row r="374011" spans="25:37" x14ac:dyDescent="0.2">
      <c r="Y374011" s="5"/>
      <c r="AB374011" s="5"/>
      <c r="AE374011" s="5"/>
      <c r="AH374011" s="5"/>
      <c r="AK374011" s="5"/>
    </row>
    <row r="374021" spans="25:37" x14ac:dyDescent="0.2">
      <c r="Y374021" s="251"/>
      <c r="AB374021" s="251"/>
      <c r="AE374021" s="251"/>
      <c r="AH374021" s="251"/>
      <c r="AK374021" s="251"/>
    </row>
    <row r="374136" spans="25:37" x14ac:dyDescent="0.2">
      <c r="Y374136" s="5"/>
      <c r="AB374136" s="5"/>
      <c r="AE374136" s="5"/>
      <c r="AH374136" s="5"/>
      <c r="AK374136" s="5"/>
    </row>
    <row r="374146" spans="25:37" x14ac:dyDescent="0.2">
      <c r="Y374146" s="251"/>
      <c r="AB374146" s="251"/>
      <c r="AE374146" s="251"/>
      <c r="AH374146" s="251"/>
      <c r="AK374146" s="251"/>
    </row>
    <row r="374261" spans="25:37" x14ac:dyDescent="0.2">
      <c r="Y374261" s="5"/>
      <c r="AB374261" s="5"/>
      <c r="AE374261" s="5"/>
      <c r="AH374261" s="5"/>
      <c r="AK374261" s="5"/>
    </row>
    <row r="374271" spans="25:37" x14ac:dyDescent="0.2">
      <c r="Y374271" s="251"/>
      <c r="AB374271" s="251"/>
      <c r="AE374271" s="251"/>
      <c r="AH374271" s="251"/>
      <c r="AK374271" s="251"/>
    </row>
    <row r="374386" spans="25:37" x14ac:dyDescent="0.2">
      <c r="Y374386" s="5"/>
      <c r="AB374386" s="5"/>
      <c r="AE374386" s="5"/>
      <c r="AH374386" s="5"/>
      <c r="AK374386" s="5"/>
    </row>
    <row r="374396" spans="25:37" x14ac:dyDescent="0.2">
      <c r="Y374396" s="251"/>
      <c r="AB374396" s="251"/>
      <c r="AE374396" s="251"/>
      <c r="AH374396" s="251"/>
      <c r="AK374396" s="251"/>
    </row>
    <row r="374511" spans="25:37" x14ac:dyDescent="0.2">
      <c r="Y374511" s="5"/>
      <c r="AB374511" s="5"/>
      <c r="AE374511" s="5"/>
      <c r="AH374511" s="5"/>
      <c r="AK374511" s="5"/>
    </row>
    <row r="374521" spans="25:37" x14ac:dyDescent="0.2">
      <c r="Y374521" s="251"/>
      <c r="AB374521" s="251"/>
      <c r="AE374521" s="251"/>
      <c r="AH374521" s="251"/>
      <c r="AK374521" s="251"/>
    </row>
    <row r="374636" spans="25:37" x14ac:dyDescent="0.2">
      <c r="Y374636" s="5"/>
      <c r="AB374636" s="5"/>
      <c r="AE374636" s="5"/>
      <c r="AH374636" s="5"/>
      <c r="AK374636" s="5"/>
    </row>
    <row r="374646" spans="25:37" x14ac:dyDescent="0.2">
      <c r="Y374646" s="251"/>
      <c r="AB374646" s="251"/>
      <c r="AE374646" s="251"/>
      <c r="AH374646" s="251"/>
      <c r="AK374646" s="251"/>
    </row>
    <row r="374761" spans="25:37" x14ac:dyDescent="0.2">
      <c r="Y374761" s="5"/>
      <c r="AB374761" s="5"/>
      <c r="AE374761" s="5"/>
      <c r="AH374761" s="5"/>
      <c r="AK374761" s="5"/>
    </row>
    <row r="374771" spans="25:37" x14ac:dyDescent="0.2">
      <c r="Y374771" s="251"/>
      <c r="AB374771" s="251"/>
      <c r="AE374771" s="251"/>
      <c r="AH374771" s="251"/>
      <c r="AK374771" s="251"/>
    </row>
    <row r="374886" spans="25:37" x14ac:dyDescent="0.2">
      <c r="Y374886" s="5"/>
      <c r="AB374886" s="5"/>
      <c r="AE374886" s="5"/>
      <c r="AH374886" s="5"/>
      <c r="AK374886" s="5"/>
    </row>
    <row r="374896" spans="25:37" x14ac:dyDescent="0.2">
      <c r="Y374896" s="251"/>
      <c r="AB374896" s="251"/>
      <c r="AE374896" s="251"/>
      <c r="AH374896" s="251"/>
      <c r="AK374896" s="251"/>
    </row>
    <row r="375011" spans="25:37" x14ac:dyDescent="0.2">
      <c r="Y375011" s="5"/>
      <c r="AB375011" s="5"/>
      <c r="AE375011" s="5"/>
      <c r="AH375011" s="5"/>
      <c r="AK375011" s="5"/>
    </row>
    <row r="375021" spans="25:37" x14ac:dyDescent="0.2">
      <c r="Y375021" s="251"/>
      <c r="AB375021" s="251"/>
      <c r="AE375021" s="251"/>
      <c r="AH375021" s="251"/>
      <c r="AK375021" s="251"/>
    </row>
    <row r="375136" spans="25:37" x14ac:dyDescent="0.2">
      <c r="Y375136" s="5"/>
      <c r="AB375136" s="5"/>
      <c r="AE375136" s="5"/>
      <c r="AH375136" s="5"/>
      <c r="AK375136" s="5"/>
    </row>
    <row r="375146" spans="25:37" x14ac:dyDescent="0.2">
      <c r="Y375146" s="251"/>
      <c r="AB375146" s="251"/>
      <c r="AE375146" s="251"/>
      <c r="AH375146" s="251"/>
      <c r="AK375146" s="251"/>
    </row>
    <row r="375261" spans="25:37" x14ac:dyDescent="0.2">
      <c r="Y375261" s="5"/>
      <c r="AB375261" s="5"/>
      <c r="AE375261" s="5"/>
      <c r="AH375261" s="5"/>
      <c r="AK375261" s="5"/>
    </row>
    <row r="375271" spans="25:37" x14ac:dyDescent="0.2">
      <c r="Y375271" s="251"/>
      <c r="AB375271" s="251"/>
      <c r="AE375271" s="251"/>
      <c r="AH375271" s="251"/>
      <c r="AK375271" s="251"/>
    </row>
    <row r="375386" spans="25:37" x14ac:dyDescent="0.2">
      <c r="Y375386" s="5"/>
      <c r="AB375386" s="5"/>
      <c r="AE375386" s="5"/>
      <c r="AH375386" s="5"/>
      <c r="AK375386" s="5"/>
    </row>
    <row r="375396" spans="25:37" x14ac:dyDescent="0.2">
      <c r="Y375396" s="251"/>
      <c r="AB375396" s="251"/>
      <c r="AE375396" s="251"/>
      <c r="AH375396" s="251"/>
      <c r="AK375396" s="251"/>
    </row>
    <row r="375511" spans="25:37" x14ac:dyDescent="0.2">
      <c r="Y375511" s="5"/>
      <c r="AB375511" s="5"/>
      <c r="AE375511" s="5"/>
      <c r="AH375511" s="5"/>
      <c r="AK375511" s="5"/>
    </row>
    <row r="375521" spans="25:37" x14ac:dyDescent="0.2">
      <c r="Y375521" s="251"/>
      <c r="AB375521" s="251"/>
      <c r="AE375521" s="251"/>
      <c r="AH375521" s="251"/>
      <c r="AK375521" s="251"/>
    </row>
    <row r="375636" spans="25:37" x14ac:dyDescent="0.2">
      <c r="Y375636" s="5"/>
      <c r="AB375636" s="5"/>
      <c r="AE375636" s="5"/>
      <c r="AH375636" s="5"/>
      <c r="AK375636" s="5"/>
    </row>
    <row r="375646" spans="25:37" x14ac:dyDescent="0.2">
      <c r="Y375646" s="251"/>
      <c r="AB375646" s="251"/>
      <c r="AE375646" s="251"/>
      <c r="AH375646" s="251"/>
      <c r="AK375646" s="251"/>
    </row>
    <row r="375761" spans="25:37" x14ac:dyDescent="0.2">
      <c r="Y375761" s="5"/>
      <c r="AB375761" s="5"/>
      <c r="AE375761" s="5"/>
      <c r="AH375761" s="5"/>
      <c r="AK375761" s="5"/>
    </row>
    <row r="375771" spans="25:37" x14ac:dyDescent="0.2">
      <c r="Y375771" s="251"/>
      <c r="AB375771" s="251"/>
      <c r="AE375771" s="251"/>
      <c r="AH375771" s="251"/>
      <c r="AK375771" s="251"/>
    </row>
    <row r="375886" spans="25:37" x14ac:dyDescent="0.2">
      <c r="Y375886" s="5"/>
      <c r="AB375886" s="5"/>
      <c r="AE375886" s="5"/>
      <c r="AH375886" s="5"/>
      <c r="AK375886" s="5"/>
    </row>
    <row r="375896" spans="25:37" x14ac:dyDescent="0.2">
      <c r="Y375896" s="251"/>
      <c r="AB375896" s="251"/>
      <c r="AE375896" s="251"/>
      <c r="AH375896" s="251"/>
      <c r="AK375896" s="251"/>
    </row>
    <row r="376011" spans="25:37" x14ac:dyDescent="0.2">
      <c r="Y376011" s="5"/>
      <c r="AB376011" s="5"/>
      <c r="AE376011" s="5"/>
      <c r="AH376011" s="5"/>
      <c r="AK376011" s="5"/>
    </row>
    <row r="376021" spans="25:37" x14ac:dyDescent="0.2">
      <c r="Y376021" s="251"/>
      <c r="AB376021" s="251"/>
      <c r="AE376021" s="251"/>
      <c r="AH376021" s="251"/>
      <c r="AK376021" s="251"/>
    </row>
    <row r="376136" spans="25:37" x14ac:dyDescent="0.2">
      <c r="Y376136" s="5"/>
      <c r="AB376136" s="5"/>
      <c r="AE376136" s="5"/>
      <c r="AH376136" s="5"/>
      <c r="AK376136" s="5"/>
    </row>
    <row r="376146" spans="25:37" x14ac:dyDescent="0.2">
      <c r="Y376146" s="251"/>
      <c r="AB376146" s="251"/>
      <c r="AE376146" s="251"/>
      <c r="AH376146" s="251"/>
      <c r="AK376146" s="251"/>
    </row>
    <row r="376261" spans="25:37" x14ac:dyDescent="0.2">
      <c r="Y376261" s="5"/>
      <c r="AB376261" s="5"/>
      <c r="AE376261" s="5"/>
      <c r="AH376261" s="5"/>
      <c r="AK376261" s="5"/>
    </row>
    <row r="376271" spans="25:37" x14ac:dyDescent="0.2">
      <c r="Y376271" s="251"/>
      <c r="AB376271" s="251"/>
      <c r="AE376271" s="251"/>
      <c r="AH376271" s="251"/>
      <c r="AK376271" s="251"/>
    </row>
    <row r="376386" spans="25:37" x14ac:dyDescent="0.2">
      <c r="Y376386" s="5"/>
      <c r="AB376386" s="5"/>
      <c r="AE376386" s="5"/>
      <c r="AH376386" s="5"/>
      <c r="AK376386" s="5"/>
    </row>
    <row r="376396" spans="25:37" x14ac:dyDescent="0.2">
      <c r="Y376396" s="251"/>
      <c r="AB376396" s="251"/>
      <c r="AE376396" s="251"/>
      <c r="AH376396" s="251"/>
      <c r="AK376396" s="251"/>
    </row>
    <row r="376511" spans="25:37" x14ac:dyDescent="0.2">
      <c r="Y376511" s="5"/>
      <c r="AB376511" s="5"/>
      <c r="AE376511" s="5"/>
      <c r="AH376511" s="5"/>
      <c r="AK376511" s="5"/>
    </row>
    <row r="376521" spans="25:37" x14ac:dyDescent="0.2">
      <c r="Y376521" s="251"/>
      <c r="AB376521" s="251"/>
      <c r="AE376521" s="251"/>
      <c r="AH376521" s="251"/>
      <c r="AK376521" s="251"/>
    </row>
    <row r="376636" spans="25:37" x14ac:dyDescent="0.2">
      <c r="Y376636" s="5"/>
      <c r="AB376636" s="5"/>
      <c r="AE376636" s="5"/>
      <c r="AH376636" s="5"/>
      <c r="AK376636" s="5"/>
    </row>
    <row r="376646" spans="25:37" x14ac:dyDescent="0.2">
      <c r="Y376646" s="251"/>
      <c r="AB376646" s="251"/>
      <c r="AE376646" s="251"/>
      <c r="AH376646" s="251"/>
      <c r="AK376646" s="251"/>
    </row>
    <row r="376761" spans="25:37" x14ac:dyDescent="0.2">
      <c r="Y376761" s="5"/>
      <c r="AB376761" s="5"/>
      <c r="AE376761" s="5"/>
      <c r="AH376761" s="5"/>
      <c r="AK376761" s="5"/>
    </row>
    <row r="376771" spans="25:37" x14ac:dyDescent="0.2">
      <c r="Y376771" s="251"/>
      <c r="AB376771" s="251"/>
      <c r="AE376771" s="251"/>
      <c r="AH376771" s="251"/>
      <c r="AK376771" s="251"/>
    </row>
    <row r="376886" spans="25:37" x14ac:dyDescent="0.2">
      <c r="Y376886" s="5"/>
      <c r="AB376886" s="5"/>
      <c r="AE376886" s="5"/>
      <c r="AH376886" s="5"/>
      <c r="AK376886" s="5"/>
    </row>
    <row r="376896" spans="25:37" x14ac:dyDescent="0.2">
      <c r="Y376896" s="251"/>
      <c r="AB376896" s="251"/>
      <c r="AE376896" s="251"/>
      <c r="AH376896" s="251"/>
      <c r="AK376896" s="251"/>
    </row>
    <row r="377011" spans="25:37" x14ac:dyDescent="0.2">
      <c r="Y377011" s="5"/>
      <c r="AB377011" s="5"/>
      <c r="AE377011" s="5"/>
      <c r="AH377011" s="5"/>
      <c r="AK377011" s="5"/>
    </row>
    <row r="377021" spans="25:37" x14ac:dyDescent="0.2">
      <c r="Y377021" s="251"/>
      <c r="AB377021" s="251"/>
      <c r="AE377021" s="251"/>
      <c r="AH377021" s="251"/>
      <c r="AK377021" s="251"/>
    </row>
    <row r="377136" spans="25:37" x14ac:dyDescent="0.2">
      <c r="Y377136" s="5"/>
      <c r="AB377136" s="5"/>
      <c r="AE377136" s="5"/>
      <c r="AH377136" s="5"/>
      <c r="AK377136" s="5"/>
    </row>
    <row r="377146" spans="25:37" x14ac:dyDescent="0.2">
      <c r="Y377146" s="251"/>
      <c r="AB377146" s="251"/>
      <c r="AE377146" s="251"/>
      <c r="AH377146" s="251"/>
      <c r="AK377146" s="251"/>
    </row>
    <row r="377261" spans="25:37" x14ac:dyDescent="0.2">
      <c r="Y377261" s="5"/>
      <c r="AB377261" s="5"/>
      <c r="AE377261" s="5"/>
      <c r="AH377261" s="5"/>
      <c r="AK377261" s="5"/>
    </row>
    <row r="377271" spans="25:37" x14ac:dyDescent="0.2">
      <c r="Y377271" s="251"/>
      <c r="AB377271" s="251"/>
      <c r="AE377271" s="251"/>
      <c r="AH377271" s="251"/>
      <c r="AK377271" s="251"/>
    </row>
    <row r="377386" spans="25:37" x14ac:dyDescent="0.2">
      <c r="Y377386" s="5"/>
      <c r="AB377386" s="5"/>
      <c r="AE377386" s="5"/>
      <c r="AH377386" s="5"/>
      <c r="AK377386" s="5"/>
    </row>
    <row r="377396" spans="25:37" x14ac:dyDescent="0.2">
      <c r="Y377396" s="251"/>
      <c r="AB377396" s="251"/>
      <c r="AE377396" s="251"/>
      <c r="AH377396" s="251"/>
      <c r="AK377396" s="251"/>
    </row>
    <row r="377511" spans="25:37" x14ac:dyDescent="0.2">
      <c r="Y377511" s="5"/>
      <c r="AB377511" s="5"/>
      <c r="AE377511" s="5"/>
      <c r="AH377511" s="5"/>
      <c r="AK377511" s="5"/>
    </row>
    <row r="377521" spans="25:37" x14ac:dyDescent="0.2">
      <c r="Y377521" s="251"/>
      <c r="AB377521" s="251"/>
      <c r="AE377521" s="251"/>
      <c r="AH377521" s="251"/>
      <c r="AK377521" s="251"/>
    </row>
    <row r="377636" spans="25:37" x14ac:dyDescent="0.2">
      <c r="Y377636" s="5"/>
      <c r="AB377636" s="5"/>
      <c r="AE377636" s="5"/>
      <c r="AH377636" s="5"/>
      <c r="AK377636" s="5"/>
    </row>
    <row r="377646" spans="25:37" x14ac:dyDescent="0.2">
      <c r="Y377646" s="251"/>
      <c r="AB377646" s="251"/>
      <c r="AE377646" s="251"/>
      <c r="AH377646" s="251"/>
      <c r="AK377646" s="251"/>
    </row>
    <row r="377761" spans="25:37" x14ac:dyDescent="0.2">
      <c r="Y377761" s="5"/>
      <c r="AB377761" s="5"/>
      <c r="AE377761" s="5"/>
      <c r="AH377761" s="5"/>
      <c r="AK377761" s="5"/>
    </row>
    <row r="377771" spans="25:37" x14ac:dyDescent="0.2">
      <c r="Y377771" s="251"/>
      <c r="AB377771" s="251"/>
      <c r="AE377771" s="251"/>
      <c r="AH377771" s="251"/>
      <c r="AK377771" s="251"/>
    </row>
    <row r="377886" spans="25:37" x14ac:dyDescent="0.2">
      <c r="Y377886" s="5"/>
      <c r="AB377886" s="5"/>
      <c r="AE377886" s="5"/>
      <c r="AH377886" s="5"/>
      <c r="AK377886" s="5"/>
    </row>
    <row r="377896" spans="25:37" x14ac:dyDescent="0.2">
      <c r="Y377896" s="251"/>
      <c r="AB377896" s="251"/>
      <c r="AE377896" s="251"/>
      <c r="AH377896" s="251"/>
      <c r="AK377896" s="251"/>
    </row>
    <row r="378011" spans="25:37" x14ac:dyDescent="0.2">
      <c r="Y378011" s="5"/>
      <c r="AB378011" s="5"/>
      <c r="AE378011" s="5"/>
      <c r="AH378011" s="5"/>
      <c r="AK378011" s="5"/>
    </row>
    <row r="378021" spans="25:37" x14ac:dyDescent="0.2">
      <c r="Y378021" s="251"/>
      <c r="AB378021" s="251"/>
      <c r="AE378021" s="251"/>
      <c r="AH378021" s="251"/>
      <c r="AK378021" s="251"/>
    </row>
    <row r="378136" spans="25:37" x14ac:dyDescent="0.2">
      <c r="Y378136" s="5"/>
      <c r="AB378136" s="5"/>
      <c r="AE378136" s="5"/>
      <c r="AH378136" s="5"/>
      <c r="AK378136" s="5"/>
    </row>
    <row r="378146" spans="25:37" x14ac:dyDescent="0.2">
      <c r="Y378146" s="251"/>
      <c r="AB378146" s="251"/>
      <c r="AE378146" s="251"/>
      <c r="AH378146" s="251"/>
      <c r="AK378146" s="251"/>
    </row>
    <row r="378261" spans="25:37" x14ac:dyDescent="0.2">
      <c r="Y378261" s="5"/>
      <c r="AB378261" s="5"/>
      <c r="AE378261" s="5"/>
      <c r="AH378261" s="5"/>
      <c r="AK378261" s="5"/>
    </row>
    <row r="378271" spans="25:37" x14ac:dyDescent="0.2">
      <c r="Y378271" s="251"/>
      <c r="AB378271" s="251"/>
      <c r="AE378271" s="251"/>
      <c r="AH378271" s="251"/>
      <c r="AK378271" s="251"/>
    </row>
    <row r="378386" spans="25:37" x14ac:dyDescent="0.2">
      <c r="Y378386" s="5"/>
      <c r="AB378386" s="5"/>
      <c r="AE378386" s="5"/>
      <c r="AH378386" s="5"/>
      <c r="AK378386" s="5"/>
    </row>
    <row r="378396" spans="25:37" x14ac:dyDescent="0.2">
      <c r="Y378396" s="251"/>
      <c r="AB378396" s="251"/>
      <c r="AE378396" s="251"/>
      <c r="AH378396" s="251"/>
      <c r="AK378396" s="251"/>
    </row>
    <row r="378511" spans="25:37" x14ac:dyDescent="0.2">
      <c r="Y378511" s="5"/>
      <c r="AB378511" s="5"/>
      <c r="AE378511" s="5"/>
      <c r="AH378511" s="5"/>
      <c r="AK378511" s="5"/>
    </row>
    <row r="378521" spans="25:37" x14ac:dyDescent="0.2">
      <c r="Y378521" s="251"/>
      <c r="AB378521" s="251"/>
      <c r="AE378521" s="251"/>
      <c r="AH378521" s="251"/>
      <c r="AK378521" s="251"/>
    </row>
    <row r="378636" spans="25:37" x14ac:dyDescent="0.2">
      <c r="Y378636" s="5"/>
      <c r="AB378636" s="5"/>
      <c r="AE378636" s="5"/>
      <c r="AH378636" s="5"/>
      <c r="AK378636" s="5"/>
    </row>
    <row r="378646" spans="25:37" x14ac:dyDescent="0.2">
      <c r="Y378646" s="251"/>
      <c r="AB378646" s="251"/>
      <c r="AE378646" s="251"/>
      <c r="AH378646" s="251"/>
      <c r="AK378646" s="251"/>
    </row>
    <row r="378761" spans="25:37" x14ac:dyDescent="0.2">
      <c r="Y378761" s="5"/>
      <c r="AB378761" s="5"/>
      <c r="AE378761" s="5"/>
      <c r="AH378761" s="5"/>
      <c r="AK378761" s="5"/>
    </row>
    <row r="378771" spans="25:37" x14ac:dyDescent="0.2">
      <c r="Y378771" s="251"/>
      <c r="AB378771" s="251"/>
      <c r="AE378771" s="251"/>
      <c r="AH378771" s="251"/>
      <c r="AK378771" s="251"/>
    </row>
    <row r="378886" spans="25:37" x14ac:dyDescent="0.2">
      <c r="Y378886" s="5"/>
      <c r="AB378886" s="5"/>
      <c r="AE378886" s="5"/>
      <c r="AH378886" s="5"/>
      <c r="AK378886" s="5"/>
    </row>
    <row r="378896" spans="25:37" x14ac:dyDescent="0.2">
      <c r="Y378896" s="251"/>
      <c r="AB378896" s="251"/>
      <c r="AE378896" s="251"/>
      <c r="AH378896" s="251"/>
      <c r="AK378896" s="251"/>
    </row>
    <row r="379011" spans="25:37" x14ac:dyDescent="0.2">
      <c r="Y379011" s="5"/>
      <c r="AB379011" s="5"/>
      <c r="AE379011" s="5"/>
      <c r="AH379011" s="5"/>
      <c r="AK379011" s="5"/>
    </row>
    <row r="379021" spans="25:37" x14ac:dyDescent="0.2">
      <c r="Y379021" s="251"/>
      <c r="AB379021" s="251"/>
      <c r="AE379021" s="251"/>
      <c r="AH379021" s="251"/>
      <c r="AK379021" s="251"/>
    </row>
    <row r="379136" spans="25:37" x14ac:dyDescent="0.2">
      <c r="Y379136" s="5"/>
      <c r="AB379136" s="5"/>
      <c r="AE379136" s="5"/>
      <c r="AH379136" s="5"/>
      <c r="AK379136" s="5"/>
    </row>
    <row r="379146" spans="25:37" x14ac:dyDescent="0.2">
      <c r="Y379146" s="251"/>
      <c r="AB379146" s="251"/>
      <c r="AE379146" s="251"/>
      <c r="AH379146" s="251"/>
      <c r="AK379146" s="251"/>
    </row>
    <row r="379261" spans="25:37" x14ac:dyDescent="0.2">
      <c r="Y379261" s="5"/>
      <c r="AB379261" s="5"/>
      <c r="AE379261" s="5"/>
      <c r="AH379261" s="5"/>
      <c r="AK379261" s="5"/>
    </row>
    <row r="379271" spans="25:37" x14ac:dyDescent="0.2">
      <c r="Y379271" s="251"/>
      <c r="AB379271" s="251"/>
      <c r="AE379271" s="251"/>
      <c r="AH379271" s="251"/>
      <c r="AK379271" s="251"/>
    </row>
    <row r="379386" spans="25:37" x14ac:dyDescent="0.2">
      <c r="Y379386" s="5"/>
      <c r="AB379386" s="5"/>
      <c r="AE379386" s="5"/>
      <c r="AH379386" s="5"/>
      <c r="AK379386" s="5"/>
    </row>
    <row r="379396" spans="25:37" x14ac:dyDescent="0.2">
      <c r="Y379396" s="251"/>
      <c r="AB379396" s="251"/>
      <c r="AE379396" s="251"/>
      <c r="AH379396" s="251"/>
      <c r="AK379396" s="251"/>
    </row>
    <row r="379511" spans="25:37" x14ac:dyDescent="0.2">
      <c r="Y379511" s="5"/>
      <c r="AB379511" s="5"/>
      <c r="AE379511" s="5"/>
      <c r="AH379511" s="5"/>
      <c r="AK379511" s="5"/>
    </row>
    <row r="379521" spans="25:37" x14ac:dyDescent="0.2">
      <c r="Y379521" s="251"/>
      <c r="AB379521" s="251"/>
      <c r="AE379521" s="251"/>
      <c r="AH379521" s="251"/>
      <c r="AK379521" s="251"/>
    </row>
    <row r="379636" spans="25:37" x14ac:dyDescent="0.2">
      <c r="Y379636" s="5"/>
      <c r="AB379636" s="5"/>
      <c r="AE379636" s="5"/>
      <c r="AH379636" s="5"/>
      <c r="AK379636" s="5"/>
    </row>
    <row r="379646" spans="25:37" x14ac:dyDescent="0.2">
      <c r="Y379646" s="251"/>
      <c r="AB379646" s="251"/>
      <c r="AE379646" s="251"/>
      <c r="AH379646" s="251"/>
      <c r="AK379646" s="251"/>
    </row>
    <row r="379761" spans="25:37" x14ac:dyDescent="0.2">
      <c r="Y379761" s="5"/>
      <c r="AB379761" s="5"/>
      <c r="AE379761" s="5"/>
      <c r="AH379761" s="5"/>
      <c r="AK379761" s="5"/>
    </row>
    <row r="379771" spans="25:37" x14ac:dyDescent="0.2">
      <c r="Y379771" s="251"/>
      <c r="AB379771" s="251"/>
      <c r="AE379771" s="251"/>
      <c r="AH379771" s="251"/>
      <c r="AK379771" s="251"/>
    </row>
    <row r="379886" spans="25:37" x14ac:dyDescent="0.2">
      <c r="Y379886" s="5"/>
      <c r="AB379886" s="5"/>
      <c r="AE379886" s="5"/>
      <c r="AH379886" s="5"/>
      <c r="AK379886" s="5"/>
    </row>
    <row r="379896" spans="25:37" x14ac:dyDescent="0.2">
      <c r="Y379896" s="251"/>
      <c r="AB379896" s="251"/>
      <c r="AE379896" s="251"/>
      <c r="AH379896" s="251"/>
      <c r="AK379896" s="251"/>
    </row>
    <row r="380011" spans="25:37" x14ac:dyDescent="0.2">
      <c r="Y380011" s="5"/>
      <c r="AB380011" s="5"/>
      <c r="AE380011" s="5"/>
      <c r="AH380011" s="5"/>
      <c r="AK380011" s="5"/>
    </row>
    <row r="380021" spans="25:37" x14ac:dyDescent="0.2">
      <c r="Y380021" s="251"/>
      <c r="AB380021" s="251"/>
      <c r="AE380021" s="251"/>
      <c r="AH380021" s="251"/>
      <c r="AK380021" s="251"/>
    </row>
    <row r="380136" spans="25:37" x14ac:dyDescent="0.2">
      <c r="Y380136" s="5"/>
      <c r="AB380136" s="5"/>
      <c r="AE380136" s="5"/>
      <c r="AH380136" s="5"/>
      <c r="AK380136" s="5"/>
    </row>
    <row r="380146" spans="25:37" x14ac:dyDescent="0.2">
      <c r="Y380146" s="251"/>
      <c r="AB380146" s="251"/>
      <c r="AE380146" s="251"/>
      <c r="AH380146" s="251"/>
      <c r="AK380146" s="251"/>
    </row>
    <row r="380261" spans="25:37" x14ac:dyDescent="0.2">
      <c r="Y380261" s="5"/>
      <c r="AB380261" s="5"/>
      <c r="AE380261" s="5"/>
      <c r="AH380261" s="5"/>
      <c r="AK380261" s="5"/>
    </row>
    <row r="380271" spans="25:37" x14ac:dyDescent="0.2">
      <c r="Y380271" s="251"/>
      <c r="AB380271" s="251"/>
      <c r="AE380271" s="251"/>
      <c r="AH380271" s="251"/>
      <c r="AK380271" s="251"/>
    </row>
    <row r="380386" spans="25:37" x14ac:dyDescent="0.2">
      <c r="Y380386" s="5"/>
      <c r="AB380386" s="5"/>
      <c r="AE380386" s="5"/>
      <c r="AH380386" s="5"/>
      <c r="AK380386" s="5"/>
    </row>
    <row r="380396" spans="25:37" x14ac:dyDescent="0.2">
      <c r="Y380396" s="251"/>
      <c r="AB380396" s="251"/>
      <c r="AE380396" s="251"/>
      <c r="AH380396" s="251"/>
      <c r="AK380396" s="251"/>
    </row>
    <row r="380511" spans="25:37" x14ac:dyDescent="0.2">
      <c r="Y380511" s="5"/>
      <c r="AB380511" s="5"/>
      <c r="AE380511" s="5"/>
      <c r="AH380511" s="5"/>
      <c r="AK380511" s="5"/>
    </row>
    <row r="380521" spans="25:37" x14ac:dyDescent="0.2">
      <c r="Y380521" s="251"/>
      <c r="AB380521" s="251"/>
      <c r="AE380521" s="251"/>
      <c r="AH380521" s="251"/>
      <c r="AK380521" s="251"/>
    </row>
    <row r="380636" spans="25:37" x14ac:dyDescent="0.2">
      <c r="Y380636" s="5"/>
      <c r="AB380636" s="5"/>
      <c r="AE380636" s="5"/>
      <c r="AH380636" s="5"/>
      <c r="AK380636" s="5"/>
    </row>
    <row r="380646" spans="25:37" x14ac:dyDescent="0.2">
      <c r="Y380646" s="251"/>
      <c r="AB380646" s="251"/>
      <c r="AE380646" s="251"/>
      <c r="AH380646" s="251"/>
      <c r="AK380646" s="251"/>
    </row>
    <row r="380761" spans="25:37" x14ac:dyDescent="0.2">
      <c r="Y380761" s="5"/>
      <c r="AB380761" s="5"/>
      <c r="AE380761" s="5"/>
      <c r="AH380761" s="5"/>
      <c r="AK380761" s="5"/>
    </row>
    <row r="380771" spans="25:37" x14ac:dyDescent="0.2">
      <c r="Y380771" s="251"/>
      <c r="AB380771" s="251"/>
      <c r="AE380771" s="251"/>
      <c r="AH380771" s="251"/>
      <c r="AK380771" s="251"/>
    </row>
    <row r="380886" spans="25:37" x14ac:dyDescent="0.2">
      <c r="Y380886" s="5"/>
      <c r="AB380886" s="5"/>
      <c r="AE380886" s="5"/>
      <c r="AH380886" s="5"/>
      <c r="AK380886" s="5"/>
    </row>
    <row r="380896" spans="25:37" x14ac:dyDescent="0.2">
      <c r="Y380896" s="251"/>
      <c r="AB380896" s="251"/>
      <c r="AE380896" s="251"/>
      <c r="AH380896" s="251"/>
      <c r="AK380896" s="251"/>
    </row>
    <row r="381011" spans="25:37" x14ac:dyDescent="0.2">
      <c r="Y381011" s="5"/>
      <c r="AB381011" s="5"/>
      <c r="AE381011" s="5"/>
      <c r="AH381011" s="5"/>
      <c r="AK381011" s="5"/>
    </row>
    <row r="381021" spans="25:37" x14ac:dyDescent="0.2">
      <c r="Y381021" s="251"/>
      <c r="AB381021" s="251"/>
      <c r="AE381021" s="251"/>
      <c r="AH381021" s="251"/>
      <c r="AK381021" s="251"/>
    </row>
    <row r="381136" spans="25:37" x14ac:dyDescent="0.2">
      <c r="Y381136" s="5"/>
      <c r="AB381136" s="5"/>
      <c r="AE381136" s="5"/>
      <c r="AH381136" s="5"/>
      <c r="AK381136" s="5"/>
    </row>
    <row r="381146" spans="25:37" x14ac:dyDescent="0.2">
      <c r="Y381146" s="251"/>
      <c r="AB381146" s="251"/>
      <c r="AE381146" s="251"/>
      <c r="AH381146" s="251"/>
      <c r="AK381146" s="251"/>
    </row>
    <row r="381261" spans="25:37" x14ac:dyDescent="0.2">
      <c r="Y381261" s="5"/>
      <c r="AB381261" s="5"/>
      <c r="AE381261" s="5"/>
      <c r="AH381261" s="5"/>
      <c r="AK381261" s="5"/>
    </row>
    <row r="381271" spans="25:37" x14ac:dyDescent="0.2">
      <c r="Y381271" s="251"/>
      <c r="AB381271" s="251"/>
      <c r="AE381271" s="251"/>
      <c r="AH381271" s="251"/>
      <c r="AK381271" s="251"/>
    </row>
    <row r="381386" spans="25:37" x14ac:dyDescent="0.2">
      <c r="Y381386" s="5"/>
      <c r="AB381386" s="5"/>
      <c r="AE381386" s="5"/>
      <c r="AH381386" s="5"/>
      <c r="AK381386" s="5"/>
    </row>
    <row r="381396" spans="25:37" x14ac:dyDescent="0.2">
      <c r="Y381396" s="251"/>
      <c r="AB381396" s="251"/>
      <c r="AE381396" s="251"/>
      <c r="AH381396" s="251"/>
      <c r="AK381396" s="251"/>
    </row>
    <row r="381511" spans="25:37" x14ac:dyDescent="0.2">
      <c r="Y381511" s="5"/>
      <c r="AB381511" s="5"/>
      <c r="AE381511" s="5"/>
      <c r="AH381511" s="5"/>
      <c r="AK381511" s="5"/>
    </row>
    <row r="381521" spans="25:37" x14ac:dyDescent="0.2">
      <c r="Y381521" s="251"/>
      <c r="AB381521" s="251"/>
      <c r="AE381521" s="251"/>
      <c r="AH381521" s="251"/>
      <c r="AK381521" s="251"/>
    </row>
    <row r="381636" spans="25:37" x14ac:dyDescent="0.2">
      <c r="Y381636" s="5"/>
      <c r="AB381636" s="5"/>
      <c r="AE381636" s="5"/>
      <c r="AH381636" s="5"/>
      <c r="AK381636" s="5"/>
    </row>
    <row r="381646" spans="25:37" x14ac:dyDescent="0.2">
      <c r="Y381646" s="251"/>
      <c r="AB381646" s="251"/>
      <c r="AE381646" s="251"/>
      <c r="AH381646" s="251"/>
      <c r="AK381646" s="251"/>
    </row>
    <row r="381761" spans="25:37" x14ac:dyDescent="0.2">
      <c r="Y381761" s="5"/>
      <c r="AB381761" s="5"/>
      <c r="AE381761" s="5"/>
      <c r="AH381761" s="5"/>
      <c r="AK381761" s="5"/>
    </row>
    <row r="381771" spans="25:37" x14ac:dyDescent="0.2">
      <c r="Y381771" s="251"/>
      <c r="AB381771" s="251"/>
      <c r="AE381771" s="251"/>
      <c r="AH381771" s="251"/>
      <c r="AK381771" s="251"/>
    </row>
    <row r="381886" spans="25:37" x14ac:dyDescent="0.2">
      <c r="Y381886" s="5"/>
      <c r="AB381886" s="5"/>
      <c r="AE381886" s="5"/>
      <c r="AH381886" s="5"/>
      <c r="AK381886" s="5"/>
    </row>
    <row r="381896" spans="25:37" x14ac:dyDescent="0.2">
      <c r="Y381896" s="251"/>
      <c r="AB381896" s="251"/>
      <c r="AE381896" s="251"/>
      <c r="AH381896" s="251"/>
      <c r="AK381896" s="251"/>
    </row>
    <row r="382011" spans="25:37" x14ac:dyDescent="0.2">
      <c r="Y382011" s="5"/>
      <c r="AB382011" s="5"/>
      <c r="AE382011" s="5"/>
      <c r="AH382011" s="5"/>
      <c r="AK382011" s="5"/>
    </row>
    <row r="382021" spans="25:37" x14ac:dyDescent="0.2">
      <c r="Y382021" s="251"/>
      <c r="AB382021" s="251"/>
      <c r="AE382021" s="251"/>
      <c r="AH382021" s="251"/>
      <c r="AK382021" s="251"/>
    </row>
    <row r="382136" spans="25:37" x14ac:dyDescent="0.2">
      <c r="Y382136" s="5"/>
      <c r="AB382136" s="5"/>
      <c r="AE382136" s="5"/>
      <c r="AH382136" s="5"/>
      <c r="AK382136" s="5"/>
    </row>
    <row r="382146" spans="25:37" x14ac:dyDescent="0.2">
      <c r="Y382146" s="251"/>
      <c r="AB382146" s="251"/>
      <c r="AE382146" s="251"/>
      <c r="AH382146" s="251"/>
      <c r="AK382146" s="251"/>
    </row>
    <row r="382261" spans="25:37" x14ac:dyDescent="0.2">
      <c r="Y382261" s="5"/>
      <c r="AB382261" s="5"/>
      <c r="AE382261" s="5"/>
      <c r="AH382261" s="5"/>
      <c r="AK382261" s="5"/>
    </row>
    <row r="382271" spans="25:37" x14ac:dyDescent="0.2">
      <c r="Y382271" s="251"/>
      <c r="AB382271" s="251"/>
      <c r="AE382271" s="251"/>
      <c r="AH382271" s="251"/>
      <c r="AK382271" s="251"/>
    </row>
    <row r="382386" spans="25:37" x14ac:dyDescent="0.2">
      <c r="Y382386" s="5"/>
      <c r="AB382386" s="5"/>
      <c r="AE382386" s="5"/>
      <c r="AH382386" s="5"/>
      <c r="AK382386" s="5"/>
    </row>
    <row r="382396" spans="25:37" x14ac:dyDescent="0.2">
      <c r="Y382396" s="251"/>
      <c r="AB382396" s="251"/>
      <c r="AE382396" s="251"/>
      <c r="AH382396" s="251"/>
      <c r="AK382396" s="251"/>
    </row>
    <row r="382511" spans="25:37" x14ac:dyDescent="0.2">
      <c r="Y382511" s="5"/>
      <c r="AB382511" s="5"/>
      <c r="AE382511" s="5"/>
      <c r="AH382511" s="5"/>
      <c r="AK382511" s="5"/>
    </row>
    <row r="382521" spans="25:37" x14ac:dyDescent="0.2">
      <c r="Y382521" s="251"/>
      <c r="AB382521" s="251"/>
      <c r="AE382521" s="251"/>
      <c r="AH382521" s="251"/>
      <c r="AK382521" s="251"/>
    </row>
    <row r="382636" spans="25:37" x14ac:dyDescent="0.2">
      <c r="Y382636" s="5"/>
      <c r="AB382636" s="5"/>
      <c r="AE382636" s="5"/>
      <c r="AH382636" s="5"/>
      <c r="AK382636" s="5"/>
    </row>
    <row r="382646" spans="25:37" x14ac:dyDescent="0.2">
      <c r="Y382646" s="251"/>
      <c r="AB382646" s="251"/>
      <c r="AE382646" s="251"/>
      <c r="AH382646" s="251"/>
      <c r="AK382646" s="251"/>
    </row>
    <row r="382761" spans="25:37" x14ac:dyDescent="0.2">
      <c r="Y382761" s="5"/>
      <c r="AB382761" s="5"/>
      <c r="AE382761" s="5"/>
      <c r="AH382761" s="5"/>
      <c r="AK382761" s="5"/>
    </row>
    <row r="382771" spans="25:37" x14ac:dyDescent="0.2">
      <c r="Y382771" s="251"/>
      <c r="AB382771" s="251"/>
      <c r="AE382771" s="251"/>
      <c r="AH382771" s="251"/>
      <c r="AK382771" s="251"/>
    </row>
    <row r="382886" spans="25:37" x14ac:dyDescent="0.2">
      <c r="Y382886" s="5"/>
      <c r="AB382886" s="5"/>
      <c r="AE382886" s="5"/>
      <c r="AH382886" s="5"/>
      <c r="AK382886" s="5"/>
    </row>
    <row r="382896" spans="25:37" x14ac:dyDescent="0.2">
      <c r="Y382896" s="251"/>
      <c r="AB382896" s="251"/>
      <c r="AE382896" s="251"/>
      <c r="AH382896" s="251"/>
      <c r="AK382896" s="251"/>
    </row>
    <row r="383011" spans="25:37" x14ac:dyDescent="0.2">
      <c r="Y383011" s="5"/>
      <c r="AB383011" s="5"/>
      <c r="AE383011" s="5"/>
      <c r="AH383011" s="5"/>
      <c r="AK383011" s="5"/>
    </row>
    <row r="383021" spans="25:37" x14ac:dyDescent="0.2">
      <c r="Y383021" s="251"/>
      <c r="AB383021" s="251"/>
      <c r="AE383021" s="251"/>
      <c r="AH383021" s="251"/>
      <c r="AK383021" s="251"/>
    </row>
    <row r="383136" spans="25:37" x14ac:dyDescent="0.2">
      <c r="Y383136" s="5"/>
      <c r="AB383136" s="5"/>
      <c r="AE383136" s="5"/>
      <c r="AH383136" s="5"/>
      <c r="AK383136" s="5"/>
    </row>
    <row r="383146" spans="25:37" x14ac:dyDescent="0.2">
      <c r="Y383146" s="251"/>
      <c r="AB383146" s="251"/>
      <c r="AE383146" s="251"/>
      <c r="AH383146" s="251"/>
      <c r="AK383146" s="251"/>
    </row>
    <row r="383261" spans="25:37" x14ac:dyDescent="0.2">
      <c r="Y383261" s="5"/>
      <c r="AB383261" s="5"/>
      <c r="AE383261" s="5"/>
      <c r="AH383261" s="5"/>
      <c r="AK383261" s="5"/>
    </row>
    <row r="383271" spans="25:37" x14ac:dyDescent="0.2">
      <c r="Y383271" s="251"/>
      <c r="AB383271" s="251"/>
      <c r="AE383271" s="251"/>
      <c r="AH383271" s="251"/>
      <c r="AK383271" s="251"/>
    </row>
    <row r="383386" spans="25:37" x14ac:dyDescent="0.2">
      <c r="Y383386" s="5"/>
      <c r="AB383386" s="5"/>
      <c r="AE383386" s="5"/>
      <c r="AH383386" s="5"/>
      <c r="AK383386" s="5"/>
    </row>
    <row r="383396" spans="25:37" x14ac:dyDescent="0.2">
      <c r="Y383396" s="251"/>
      <c r="AB383396" s="251"/>
      <c r="AE383396" s="251"/>
      <c r="AH383396" s="251"/>
      <c r="AK383396" s="251"/>
    </row>
    <row r="383511" spans="25:37" x14ac:dyDescent="0.2">
      <c r="Y383511" s="5"/>
      <c r="AB383511" s="5"/>
      <c r="AE383511" s="5"/>
      <c r="AH383511" s="5"/>
      <c r="AK383511" s="5"/>
    </row>
    <row r="383521" spans="25:37" x14ac:dyDescent="0.2">
      <c r="Y383521" s="251"/>
      <c r="AB383521" s="251"/>
      <c r="AE383521" s="251"/>
      <c r="AH383521" s="251"/>
      <c r="AK383521" s="251"/>
    </row>
    <row r="383636" spans="25:37" x14ac:dyDescent="0.2">
      <c r="Y383636" s="5"/>
      <c r="AB383636" s="5"/>
      <c r="AE383636" s="5"/>
      <c r="AH383636" s="5"/>
      <c r="AK383636" s="5"/>
    </row>
    <row r="383646" spans="25:37" x14ac:dyDescent="0.2">
      <c r="Y383646" s="251"/>
      <c r="AB383646" s="251"/>
      <c r="AE383646" s="251"/>
      <c r="AH383646" s="251"/>
      <c r="AK383646" s="251"/>
    </row>
    <row r="383761" spans="25:37" x14ac:dyDescent="0.2">
      <c r="Y383761" s="5"/>
      <c r="AB383761" s="5"/>
      <c r="AE383761" s="5"/>
      <c r="AH383761" s="5"/>
      <c r="AK383761" s="5"/>
    </row>
    <row r="383771" spans="25:37" x14ac:dyDescent="0.2">
      <c r="Y383771" s="251"/>
      <c r="AB383771" s="251"/>
      <c r="AE383771" s="251"/>
      <c r="AH383771" s="251"/>
      <c r="AK383771" s="251"/>
    </row>
    <row r="383886" spans="25:37" x14ac:dyDescent="0.2">
      <c r="Y383886" s="5"/>
      <c r="AB383886" s="5"/>
      <c r="AE383886" s="5"/>
      <c r="AH383886" s="5"/>
      <c r="AK383886" s="5"/>
    </row>
    <row r="383896" spans="25:37" x14ac:dyDescent="0.2">
      <c r="Y383896" s="251"/>
      <c r="AB383896" s="251"/>
      <c r="AE383896" s="251"/>
      <c r="AH383896" s="251"/>
      <c r="AK383896" s="251"/>
    </row>
    <row r="384011" spans="25:37" x14ac:dyDescent="0.2">
      <c r="Y384011" s="5"/>
      <c r="AB384011" s="5"/>
      <c r="AE384011" s="5"/>
      <c r="AH384011" s="5"/>
      <c r="AK384011" s="5"/>
    </row>
    <row r="384021" spans="25:37" x14ac:dyDescent="0.2">
      <c r="Y384021" s="251"/>
      <c r="AB384021" s="251"/>
      <c r="AE384021" s="251"/>
      <c r="AH384021" s="251"/>
      <c r="AK384021" s="251"/>
    </row>
    <row r="384136" spans="25:37" x14ac:dyDescent="0.2">
      <c r="Y384136" s="5"/>
      <c r="AB384136" s="5"/>
      <c r="AE384136" s="5"/>
      <c r="AH384136" s="5"/>
      <c r="AK384136" s="5"/>
    </row>
    <row r="384146" spans="25:37" x14ac:dyDescent="0.2">
      <c r="Y384146" s="251"/>
      <c r="AB384146" s="251"/>
      <c r="AE384146" s="251"/>
      <c r="AH384146" s="251"/>
      <c r="AK384146" s="251"/>
    </row>
    <row r="384261" spans="25:37" x14ac:dyDescent="0.2">
      <c r="Y384261" s="5"/>
      <c r="AB384261" s="5"/>
      <c r="AE384261" s="5"/>
      <c r="AH384261" s="5"/>
      <c r="AK384261" s="5"/>
    </row>
    <row r="384271" spans="25:37" x14ac:dyDescent="0.2">
      <c r="Y384271" s="251"/>
      <c r="AB384271" s="251"/>
      <c r="AE384271" s="251"/>
      <c r="AH384271" s="251"/>
      <c r="AK384271" s="251"/>
    </row>
    <row r="384386" spans="25:37" x14ac:dyDescent="0.2">
      <c r="Y384386" s="5"/>
      <c r="AB384386" s="5"/>
      <c r="AE384386" s="5"/>
      <c r="AH384386" s="5"/>
      <c r="AK384386" s="5"/>
    </row>
    <row r="384396" spans="25:37" x14ac:dyDescent="0.2">
      <c r="Y384396" s="251"/>
      <c r="AB384396" s="251"/>
      <c r="AE384396" s="251"/>
      <c r="AH384396" s="251"/>
      <c r="AK384396" s="251"/>
    </row>
    <row r="384511" spans="25:37" x14ac:dyDescent="0.2">
      <c r="Y384511" s="5"/>
      <c r="AB384511" s="5"/>
      <c r="AE384511" s="5"/>
      <c r="AH384511" s="5"/>
      <c r="AK384511" s="5"/>
    </row>
    <row r="384521" spans="25:37" x14ac:dyDescent="0.2">
      <c r="Y384521" s="251"/>
      <c r="AB384521" s="251"/>
      <c r="AE384521" s="251"/>
      <c r="AH384521" s="251"/>
      <c r="AK384521" s="251"/>
    </row>
    <row r="384636" spans="25:37" x14ac:dyDescent="0.2">
      <c r="Y384636" s="5"/>
      <c r="AB384636" s="5"/>
      <c r="AE384636" s="5"/>
      <c r="AH384636" s="5"/>
      <c r="AK384636" s="5"/>
    </row>
    <row r="384646" spans="25:37" x14ac:dyDescent="0.2">
      <c r="Y384646" s="251"/>
      <c r="AB384646" s="251"/>
      <c r="AE384646" s="251"/>
      <c r="AH384646" s="251"/>
      <c r="AK384646" s="251"/>
    </row>
    <row r="384761" spans="25:37" x14ac:dyDescent="0.2">
      <c r="Y384761" s="5"/>
      <c r="AB384761" s="5"/>
      <c r="AE384761" s="5"/>
      <c r="AH384761" s="5"/>
      <c r="AK384761" s="5"/>
    </row>
    <row r="384771" spans="25:37" x14ac:dyDescent="0.2">
      <c r="Y384771" s="251"/>
      <c r="AB384771" s="251"/>
      <c r="AE384771" s="251"/>
      <c r="AH384771" s="251"/>
      <c r="AK384771" s="251"/>
    </row>
    <row r="384886" spans="25:37" x14ac:dyDescent="0.2">
      <c r="Y384886" s="5"/>
      <c r="AB384886" s="5"/>
      <c r="AE384886" s="5"/>
      <c r="AH384886" s="5"/>
      <c r="AK384886" s="5"/>
    </row>
    <row r="384896" spans="25:37" x14ac:dyDescent="0.2">
      <c r="Y384896" s="251"/>
      <c r="AB384896" s="251"/>
      <c r="AE384896" s="251"/>
      <c r="AH384896" s="251"/>
      <c r="AK384896" s="251"/>
    </row>
    <row r="385011" spans="25:37" x14ac:dyDescent="0.2">
      <c r="Y385011" s="5"/>
      <c r="AB385011" s="5"/>
      <c r="AE385011" s="5"/>
      <c r="AH385011" s="5"/>
      <c r="AK385011" s="5"/>
    </row>
    <row r="385021" spans="25:37" x14ac:dyDescent="0.2">
      <c r="Y385021" s="251"/>
      <c r="AB385021" s="251"/>
      <c r="AE385021" s="251"/>
      <c r="AH385021" s="251"/>
      <c r="AK385021" s="251"/>
    </row>
    <row r="385136" spans="25:37" x14ac:dyDescent="0.2">
      <c r="Y385136" s="5"/>
      <c r="AB385136" s="5"/>
      <c r="AE385136" s="5"/>
      <c r="AH385136" s="5"/>
      <c r="AK385136" s="5"/>
    </row>
    <row r="385146" spans="25:37" x14ac:dyDescent="0.2">
      <c r="Y385146" s="251"/>
      <c r="AB385146" s="251"/>
      <c r="AE385146" s="251"/>
      <c r="AH385146" s="251"/>
      <c r="AK385146" s="251"/>
    </row>
    <row r="385261" spans="25:37" x14ac:dyDescent="0.2">
      <c r="Y385261" s="5"/>
      <c r="AB385261" s="5"/>
      <c r="AE385261" s="5"/>
      <c r="AH385261" s="5"/>
      <c r="AK385261" s="5"/>
    </row>
    <row r="385271" spans="25:37" x14ac:dyDescent="0.2">
      <c r="Y385271" s="251"/>
      <c r="AB385271" s="251"/>
      <c r="AE385271" s="251"/>
      <c r="AH385271" s="251"/>
      <c r="AK385271" s="251"/>
    </row>
    <row r="385386" spans="25:37" x14ac:dyDescent="0.2">
      <c r="Y385386" s="5"/>
      <c r="AB385386" s="5"/>
      <c r="AE385386" s="5"/>
      <c r="AH385386" s="5"/>
      <c r="AK385386" s="5"/>
    </row>
    <row r="385396" spans="25:37" x14ac:dyDescent="0.2">
      <c r="Y385396" s="251"/>
      <c r="AB385396" s="251"/>
      <c r="AE385396" s="251"/>
      <c r="AH385396" s="251"/>
      <c r="AK385396" s="251"/>
    </row>
    <row r="385511" spans="25:37" x14ac:dyDescent="0.2">
      <c r="Y385511" s="5"/>
      <c r="AB385511" s="5"/>
      <c r="AE385511" s="5"/>
      <c r="AH385511" s="5"/>
      <c r="AK385511" s="5"/>
    </row>
    <row r="385521" spans="25:37" x14ac:dyDescent="0.2">
      <c r="Y385521" s="251"/>
      <c r="AB385521" s="251"/>
      <c r="AE385521" s="251"/>
      <c r="AH385521" s="251"/>
      <c r="AK385521" s="251"/>
    </row>
    <row r="385636" spans="25:37" x14ac:dyDescent="0.2">
      <c r="Y385636" s="5"/>
      <c r="AB385636" s="5"/>
      <c r="AE385636" s="5"/>
      <c r="AH385636" s="5"/>
      <c r="AK385636" s="5"/>
    </row>
    <row r="385646" spans="25:37" x14ac:dyDescent="0.2">
      <c r="Y385646" s="251"/>
      <c r="AB385646" s="251"/>
      <c r="AE385646" s="251"/>
      <c r="AH385646" s="251"/>
      <c r="AK385646" s="251"/>
    </row>
    <row r="385761" spans="25:37" x14ac:dyDescent="0.2">
      <c r="Y385761" s="5"/>
      <c r="AB385761" s="5"/>
      <c r="AE385761" s="5"/>
      <c r="AH385761" s="5"/>
      <c r="AK385761" s="5"/>
    </row>
    <row r="385771" spans="25:37" x14ac:dyDescent="0.2">
      <c r="Y385771" s="251"/>
      <c r="AB385771" s="251"/>
      <c r="AE385771" s="251"/>
      <c r="AH385771" s="251"/>
      <c r="AK385771" s="251"/>
    </row>
    <row r="385886" spans="25:37" x14ac:dyDescent="0.2">
      <c r="Y385886" s="5"/>
      <c r="AB385886" s="5"/>
      <c r="AE385886" s="5"/>
      <c r="AH385886" s="5"/>
      <c r="AK385886" s="5"/>
    </row>
    <row r="385896" spans="25:37" x14ac:dyDescent="0.2">
      <c r="Y385896" s="251"/>
      <c r="AB385896" s="251"/>
      <c r="AE385896" s="251"/>
      <c r="AH385896" s="251"/>
      <c r="AK385896" s="251"/>
    </row>
    <row r="386011" spans="25:37" x14ac:dyDescent="0.2">
      <c r="Y386011" s="5"/>
      <c r="AB386011" s="5"/>
      <c r="AE386011" s="5"/>
      <c r="AH386011" s="5"/>
      <c r="AK386011" s="5"/>
    </row>
    <row r="386021" spans="25:37" x14ac:dyDescent="0.2">
      <c r="Y386021" s="251"/>
      <c r="AB386021" s="251"/>
      <c r="AE386021" s="251"/>
      <c r="AH386021" s="251"/>
      <c r="AK386021" s="251"/>
    </row>
    <row r="386136" spans="25:37" x14ac:dyDescent="0.2">
      <c r="Y386136" s="5"/>
      <c r="AB386136" s="5"/>
      <c r="AE386136" s="5"/>
      <c r="AH386136" s="5"/>
      <c r="AK386136" s="5"/>
    </row>
    <row r="386146" spans="25:37" x14ac:dyDescent="0.2">
      <c r="Y386146" s="251"/>
      <c r="AB386146" s="251"/>
      <c r="AE386146" s="251"/>
      <c r="AH386146" s="251"/>
      <c r="AK386146" s="251"/>
    </row>
    <row r="386261" spans="25:37" x14ac:dyDescent="0.2">
      <c r="Y386261" s="5"/>
      <c r="AB386261" s="5"/>
      <c r="AE386261" s="5"/>
      <c r="AH386261" s="5"/>
      <c r="AK386261" s="5"/>
    </row>
    <row r="386271" spans="25:37" x14ac:dyDescent="0.2">
      <c r="Y386271" s="251"/>
      <c r="AB386271" s="251"/>
      <c r="AE386271" s="251"/>
      <c r="AH386271" s="251"/>
      <c r="AK386271" s="251"/>
    </row>
    <row r="386386" spans="25:37" x14ac:dyDescent="0.2">
      <c r="Y386386" s="5"/>
      <c r="AB386386" s="5"/>
      <c r="AE386386" s="5"/>
      <c r="AH386386" s="5"/>
      <c r="AK386386" s="5"/>
    </row>
    <row r="386396" spans="25:37" x14ac:dyDescent="0.2">
      <c r="Y386396" s="251"/>
      <c r="AB386396" s="251"/>
      <c r="AE386396" s="251"/>
      <c r="AH386396" s="251"/>
      <c r="AK386396" s="251"/>
    </row>
    <row r="386511" spans="25:37" x14ac:dyDescent="0.2">
      <c r="Y386511" s="5"/>
      <c r="AB386511" s="5"/>
      <c r="AE386511" s="5"/>
      <c r="AH386511" s="5"/>
      <c r="AK386511" s="5"/>
    </row>
    <row r="386521" spans="25:37" x14ac:dyDescent="0.2">
      <c r="Y386521" s="251"/>
      <c r="AB386521" s="251"/>
      <c r="AE386521" s="251"/>
      <c r="AH386521" s="251"/>
      <c r="AK386521" s="251"/>
    </row>
    <row r="386636" spans="25:37" x14ac:dyDescent="0.2">
      <c r="Y386636" s="5"/>
      <c r="AB386636" s="5"/>
      <c r="AE386636" s="5"/>
      <c r="AH386636" s="5"/>
      <c r="AK386636" s="5"/>
    </row>
    <row r="386646" spans="25:37" x14ac:dyDescent="0.2">
      <c r="Y386646" s="251"/>
      <c r="AB386646" s="251"/>
      <c r="AE386646" s="251"/>
      <c r="AH386646" s="251"/>
      <c r="AK386646" s="251"/>
    </row>
    <row r="386761" spans="25:37" x14ac:dyDescent="0.2">
      <c r="Y386761" s="5"/>
      <c r="AB386761" s="5"/>
      <c r="AE386761" s="5"/>
      <c r="AH386761" s="5"/>
      <c r="AK386761" s="5"/>
    </row>
    <row r="386771" spans="25:37" x14ac:dyDescent="0.2">
      <c r="Y386771" s="251"/>
      <c r="AB386771" s="251"/>
      <c r="AE386771" s="251"/>
      <c r="AH386771" s="251"/>
      <c r="AK386771" s="251"/>
    </row>
    <row r="386886" spans="25:37" x14ac:dyDescent="0.2">
      <c r="Y386886" s="5"/>
      <c r="AB386886" s="5"/>
      <c r="AE386886" s="5"/>
      <c r="AH386886" s="5"/>
      <c r="AK386886" s="5"/>
    </row>
    <row r="386896" spans="25:37" x14ac:dyDescent="0.2">
      <c r="Y386896" s="251"/>
      <c r="AB386896" s="251"/>
      <c r="AE386896" s="251"/>
      <c r="AH386896" s="251"/>
      <c r="AK386896" s="251"/>
    </row>
    <row r="387011" spans="25:37" x14ac:dyDescent="0.2">
      <c r="Y387011" s="5"/>
      <c r="AB387011" s="5"/>
      <c r="AE387011" s="5"/>
      <c r="AH387011" s="5"/>
      <c r="AK387011" s="5"/>
    </row>
    <row r="387021" spans="25:37" x14ac:dyDescent="0.2">
      <c r="Y387021" s="251"/>
      <c r="AB387021" s="251"/>
      <c r="AE387021" s="251"/>
      <c r="AH387021" s="251"/>
      <c r="AK387021" s="251"/>
    </row>
    <row r="387136" spans="25:37" x14ac:dyDescent="0.2">
      <c r="Y387136" s="5"/>
      <c r="AB387136" s="5"/>
      <c r="AE387136" s="5"/>
      <c r="AH387136" s="5"/>
      <c r="AK387136" s="5"/>
    </row>
    <row r="387146" spans="25:37" x14ac:dyDescent="0.2">
      <c r="Y387146" s="251"/>
      <c r="AB387146" s="251"/>
      <c r="AE387146" s="251"/>
      <c r="AH387146" s="251"/>
      <c r="AK387146" s="251"/>
    </row>
    <row r="387261" spans="25:37" x14ac:dyDescent="0.2">
      <c r="Y387261" s="5"/>
      <c r="AB387261" s="5"/>
      <c r="AE387261" s="5"/>
      <c r="AH387261" s="5"/>
      <c r="AK387261" s="5"/>
    </row>
    <row r="387271" spans="25:37" x14ac:dyDescent="0.2">
      <c r="Y387271" s="251"/>
      <c r="AB387271" s="251"/>
      <c r="AE387271" s="251"/>
      <c r="AH387271" s="251"/>
      <c r="AK387271" s="251"/>
    </row>
    <row r="387386" spans="25:37" x14ac:dyDescent="0.2">
      <c r="Y387386" s="5"/>
      <c r="AB387386" s="5"/>
      <c r="AE387386" s="5"/>
      <c r="AH387386" s="5"/>
      <c r="AK387386" s="5"/>
    </row>
    <row r="387396" spans="25:37" x14ac:dyDescent="0.2">
      <c r="Y387396" s="251"/>
      <c r="AB387396" s="251"/>
      <c r="AE387396" s="251"/>
      <c r="AH387396" s="251"/>
      <c r="AK387396" s="251"/>
    </row>
    <row r="387511" spans="25:37" x14ac:dyDescent="0.2">
      <c r="Y387511" s="5"/>
      <c r="AB387511" s="5"/>
      <c r="AE387511" s="5"/>
      <c r="AH387511" s="5"/>
      <c r="AK387511" s="5"/>
    </row>
    <row r="387521" spans="25:37" x14ac:dyDescent="0.2">
      <c r="Y387521" s="251"/>
      <c r="AB387521" s="251"/>
      <c r="AE387521" s="251"/>
      <c r="AH387521" s="251"/>
      <c r="AK387521" s="251"/>
    </row>
    <row r="387636" spans="25:37" x14ac:dyDescent="0.2">
      <c r="Y387636" s="5"/>
      <c r="AB387636" s="5"/>
      <c r="AE387636" s="5"/>
      <c r="AH387636" s="5"/>
      <c r="AK387636" s="5"/>
    </row>
    <row r="387646" spans="25:37" x14ac:dyDescent="0.2">
      <c r="Y387646" s="251"/>
      <c r="AB387646" s="251"/>
      <c r="AE387646" s="251"/>
      <c r="AH387646" s="251"/>
      <c r="AK387646" s="251"/>
    </row>
    <row r="387761" spans="25:37" x14ac:dyDescent="0.2">
      <c r="Y387761" s="5"/>
      <c r="AB387761" s="5"/>
      <c r="AE387761" s="5"/>
      <c r="AH387761" s="5"/>
      <c r="AK387761" s="5"/>
    </row>
    <row r="387771" spans="25:37" x14ac:dyDescent="0.2">
      <c r="Y387771" s="251"/>
      <c r="AB387771" s="251"/>
      <c r="AE387771" s="251"/>
      <c r="AH387771" s="251"/>
      <c r="AK387771" s="251"/>
    </row>
    <row r="387886" spans="25:37" x14ac:dyDescent="0.2">
      <c r="Y387886" s="5"/>
      <c r="AB387886" s="5"/>
      <c r="AE387886" s="5"/>
      <c r="AH387886" s="5"/>
      <c r="AK387886" s="5"/>
    </row>
    <row r="387896" spans="25:37" x14ac:dyDescent="0.2">
      <c r="Y387896" s="251"/>
      <c r="AB387896" s="251"/>
      <c r="AE387896" s="251"/>
      <c r="AH387896" s="251"/>
      <c r="AK387896" s="251"/>
    </row>
    <row r="388011" spans="25:37" x14ac:dyDescent="0.2">
      <c r="Y388011" s="5"/>
      <c r="AB388011" s="5"/>
      <c r="AE388011" s="5"/>
      <c r="AH388011" s="5"/>
      <c r="AK388011" s="5"/>
    </row>
    <row r="388021" spans="25:37" x14ac:dyDescent="0.2">
      <c r="Y388021" s="251"/>
      <c r="AB388021" s="251"/>
      <c r="AE388021" s="251"/>
      <c r="AH388021" s="251"/>
      <c r="AK388021" s="251"/>
    </row>
    <row r="388136" spans="25:37" x14ac:dyDescent="0.2">
      <c r="Y388136" s="5"/>
      <c r="AB388136" s="5"/>
      <c r="AE388136" s="5"/>
      <c r="AH388136" s="5"/>
      <c r="AK388136" s="5"/>
    </row>
    <row r="388146" spans="25:37" x14ac:dyDescent="0.2">
      <c r="Y388146" s="251"/>
      <c r="AB388146" s="251"/>
      <c r="AE388146" s="251"/>
      <c r="AH388146" s="251"/>
      <c r="AK388146" s="251"/>
    </row>
    <row r="388261" spans="25:37" x14ac:dyDescent="0.2">
      <c r="Y388261" s="5"/>
      <c r="AB388261" s="5"/>
      <c r="AE388261" s="5"/>
      <c r="AH388261" s="5"/>
      <c r="AK388261" s="5"/>
    </row>
    <row r="388271" spans="25:37" x14ac:dyDescent="0.2">
      <c r="Y388271" s="251"/>
      <c r="AB388271" s="251"/>
      <c r="AE388271" s="251"/>
      <c r="AH388271" s="251"/>
      <c r="AK388271" s="251"/>
    </row>
    <row r="388386" spans="25:37" x14ac:dyDescent="0.2">
      <c r="Y388386" s="5"/>
      <c r="AB388386" s="5"/>
      <c r="AE388386" s="5"/>
      <c r="AH388386" s="5"/>
      <c r="AK388386" s="5"/>
    </row>
    <row r="388396" spans="25:37" x14ac:dyDescent="0.2">
      <c r="Y388396" s="251"/>
      <c r="AB388396" s="251"/>
      <c r="AE388396" s="251"/>
      <c r="AH388396" s="251"/>
      <c r="AK388396" s="251"/>
    </row>
    <row r="388511" spans="25:37" x14ac:dyDescent="0.2">
      <c r="Y388511" s="5"/>
      <c r="AB388511" s="5"/>
      <c r="AE388511" s="5"/>
      <c r="AH388511" s="5"/>
      <c r="AK388511" s="5"/>
    </row>
    <row r="388521" spans="25:37" x14ac:dyDescent="0.2">
      <c r="Y388521" s="251"/>
      <c r="AB388521" s="251"/>
      <c r="AE388521" s="251"/>
      <c r="AH388521" s="251"/>
      <c r="AK388521" s="251"/>
    </row>
    <row r="388636" spans="25:37" x14ac:dyDescent="0.2">
      <c r="Y388636" s="5"/>
      <c r="AB388636" s="5"/>
      <c r="AE388636" s="5"/>
      <c r="AH388636" s="5"/>
      <c r="AK388636" s="5"/>
    </row>
    <row r="388646" spans="25:37" x14ac:dyDescent="0.2">
      <c r="Y388646" s="251"/>
      <c r="AB388646" s="251"/>
      <c r="AE388646" s="251"/>
      <c r="AH388646" s="251"/>
      <c r="AK388646" s="251"/>
    </row>
    <row r="388761" spans="25:37" x14ac:dyDescent="0.2">
      <c r="Y388761" s="5"/>
      <c r="AB388761" s="5"/>
      <c r="AE388761" s="5"/>
      <c r="AH388761" s="5"/>
      <c r="AK388761" s="5"/>
    </row>
    <row r="388771" spans="25:37" x14ac:dyDescent="0.2">
      <c r="Y388771" s="251"/>
      <c r="AB388771" s="251"/>
      <c r="AE388771" s="251"/>
      <c r="AH388771" s="251"/>
      <c r="AK388771" s="251"/>
    </row>
    <row r="388886" spans="25:37" x14ac:dyDescent="0.2">
      <c r="Y388886" s="5"/>
      <c r="AB388886" s="5"/>
      <c r="AE388886" s="5"/>
      <c r="AH388886" s="5"/>
      <c r="AK388886" s="5"/>
    </row>
    <row r="388896" spans="25:37" x14ac:dyDescent="0.2">
      <c r="Y388896" s="251"/>
      <c r="AB388896" s="251"/>
      <c r="AE388896" s="251"/>
      <c r="AH388896" s="251"/>
      <c r="AK388896" s="251"/>
    </row>
    <row r="389011" spans="25:37" x14ac:dyDescent="0.2">
      <c r="Y389011" s="5"/>
      <c r="AB389011" s="5"/>
      <c r="AE389011" s="5"/>
      <c r="AH389011" s="5"/>
      <c r="AK389011" s="5"/>
    </row>
    <row r="389021" spans="25:37" x14ac:dyDescent="0.2">
      <c r="Y389021" s="251"/>
      <c r="AB389021" s="251"/>
      <c r="AE389021" s="251"/>
      <c r="AH389021" s="251"/>
      <c r="AK389021" s="251"/>
    </row>
    <row r="389136" spans="25:37" x14ac:dyDescent="0.2">
      <c r="Y389136" s="5"/>
      <c r="AB389136" s="5"/>
      <c r="AE389136" s="5"/>
      <c r="AH389136" s="5"/>
      <c r="AK389136" s="5"/>
    </row>
    <row r="389146" spans="25:37" x14ac:dyDescent="0.2">
      <c r="Y389146" s="251"/>
      <c r="AB389146" s="251"/>
      <c r="AE389146" s="251"/>
      <c r="AH389146" s="251"/>
      <c r="AK389146" s="251"/>
    </row>
    <row r="389261" spans="25:37" x14ac:dyDescent="0.2">
      <c r="Y389261" s="5"/>
      <c r="AB389261" s="5"/>
      <c r="AE389261" s="5"/>
      <c r="AH389261" s="5"/>
      <c r="AK389261" s="5"/>
    </row>
    <row r="389271" spans="25:37" x14ac:dyDescent="0.2">
      <c r="Y389271" s="251"/>
      <c r="AB389271" s="251"/>
      <c r="AE389271" s="251"/>
      <c r="AH389271" s="251"/>
      <c r="AK389271" s="251"/>
    </row>
    <row r="389386" spans="25:37" x14ac:dyDescent="0.2">
      <c r="Y389386" s="5"/>
      <c r="AB389386" s="5"/>
      <c r="AE389386" s="5"/>
      <c r="AH389386" s="5"/>
      <c r="AK389386" s="5"/>
    </row>
    <row r="389396" spans="25:37" x14ac:dyDescent="0.2">
      <c r="Y389396" s="251"/>
      <c r="AB389396" s="251"/>
      <c r="AE389396" s="251"/>
      <c r="AH389396" s="251"/>
      <c r="AK389396" s="251"/>
    </row>
    <row r="389511" spans="25:37" x14ac:dyDescent="0.2">
      <c r="Y389511" s="5"/>
      <c r="AB389511" s="5"/>
      <c r="AE389511" s="5"/>
      <c r="AH389511" s="5"/>
      <c r="AK389511" s="5"/>
    </row>
    <row r="389521" spans="25:37" x14ac:dyDescent="0.2">
      <c r="Y389521" s="251"/>
      <c r="AB389521" s="251"/>
      <c r="AE389521" s="251"/>
      <c r="AH389521" s="251"/>
      <c r="AK389521" s="251"/>
    </row>
    <row r="389636" spans="25:37" x14ac:dyDescent="0.2">
      <c r="Y389636" s="5"/>
      <c r="AB389636" s="5"/>
      <c r="AE389636" s="5"/>
      <c r="AH389636" s="5"/>
      <c r="AK389636" s="5"/>
    </row>
    <row r="389646" spans="25:37" x14ac:dyDescent="0.2">
      <c r="Y389646" s="251"/>
      <c r="AB389646" s="251"/>
      <c r="AE389646" s="251"/>
      <c r="AH389646" s="251"/>
      <c r="AK389646" s="251"/>
    </row>
    <row r="389761" spans="25:37" x14ac:dyDescent="0.2">
      <c r="Y389761" s="5"/>
      <c r="AB389761" s="5"/>
      <c r="AE389761" s="5"/>
      <c r="AH389761" s="5"/>
      <c r="AK389761" s="5"/>
    </row>
    <row r="389771" spans="25:37" x14ac:dyDescent="0.2">
      <c r="Y389771" s="251"/>
      <c r="AB389771" s="251"/>
      <c r="AE389771" s="251"/>
      <c r="AH389771" s="251"/>
      <c r="AK389771" s="251"/>
    </row>
    <row r="389886" spans="25:37" x14ac:dyDescent="0.2">
      <c r="Y389886" s="5"/>
      <c r="AB389886" s="5"/>
      <c r="AE389886" s="5"/>
      <c r="AH389886" s="5"/>
      <c r="AK389886" s="5"/>
    </row>
    <row r="389896" spans="25:37" x14ac:dyDescent="0.2">
      <c r="Y389896" s="251"/>
      <c r="AB389896" s="251"/>
      <c r="AE389896" s="251"/>
      <c r="AH389896" s="251"/>
      <c r="AK389896" s="251"/>
    </row>
    <row r="390011" spans="25:37" x14ac:dyDescent="0.2">
      <c r="Y390011" s="5"/>
      <c r="AB390011" s="5"/>
      <c r="AE390011" s="5"/>
      <c r="AH390011" s="5"/>
      <c r="AK390011" s="5"/>
    </row>
    <row r="390021" spans="25:37" x14ac:dyDescent="0.2">
      <c r="Y390021" s="251"/>
      <c r="AB390021" s="251"/>
      <c r="AE390021" s="251"/>
      <c r="AH390021" s="251"/>
      <c r="AK390021" s="251"/>
    </row>
    <row r="390136" spans="25:37" x14ac:dyDescent="0.2">
      <c r="Y390136" s="5"/>
      <c r="AB390136" s="5"/>
      <c r="AE390136" s="5"/>
      <c r="AH390136" s="5"/>
      <c r="AK390136" s="5"/>
    </row>
    <row r="390146" spans="25:37" x14ac:dyDescent="0.2">
      <c r="Y390146" s="251"/>
      <c r="AB390146" s="251"/>
      <c r="AE390146" s="251"/>
      <c r="AH390146" s="251"/>
      <c r="AK390146" s="251"/>
    </row>
    <row r="390261" spans="25:37" x14ac:dyDescent="0.2">
      <c r="Y390261" s="5"/>
      <c r="AB390261" s="5"/>
      <c r="AE390261" s="5"/>
      <c r="AH390261" s="5"/>
      <c r="AK390261" s="5"/>
    </row>
    <row r="390271" spans="25:37" x14ac:dyDescent="0.2">
      <c r="Y390271" s="251"/>
      <c r="AB390271" s="251"/>
      <c r="AE390271" s="251"/>
      <c r="AH390271" s="251"/>
      <c r="AK390271" s="251"/>
    </row>
    <row r="390386" spans="25:37" x14ac:dyDescent="0.2">
      <c r="Y390386" s="5"/>
      <c r="AB390386" s="5"/>
      <c r="AE390386" s="5"/>
      <c r="AH390386" s="5"/>
      <c r="AK390386" s="5"/>
    </row>
    <row r="390396" spans="25:37" x14ac:dyDescent="0.2">
      <c r="Y390396" s="251"/>
      <c r="AB390396" s="251"/>
      <c r="AE390396" s="251"/>
      <c r="AH390396" s="251"/>
      <c r="AK390396" s="251"/>
    </row>
    <row r="390511" spans="25:37" x14ac:dyDescent="0.2">
      <c r="Y390511" s="5"/>
      <c r="AB390511" s="5"/>
      <c r="AE390511" s="5"/>
      <c r="AH390511" s="5"/>
      <c r="AK390511" s="5"/>
    </row>
    <row r="390521" spans="25:37" x14ac:dyDescent="0.2">
      <c r="Y390521" s="251"/>
      <c r="AB390521" s="251"/>
      <c r="AE390521" s="251"/>
      <c r="AH390521" s="251"/>
      <c r="AK390521" s="251"/>
    </row>
    <row r="390636" spans="25:37" x14ac:dyDescent="0.2">
      <c r="Y390636" s="5"/>
      <c r="AB390636" s="5"/>
      <c r="AE390636" s="5"/>
      <c r="AH390636" s="5"/>
      <c r="AK390636" s="5"/>
    </row>
    <row r="390646" spans="25:37" x14ac:dyDescent="0.2">
      <c r="Y390646" s="251"/>
      <c r="AB390646" s="251"/>
      <c r="AE390646" s="251"/>
      <c r="AH390646" s="251"/>
      <c r="AK390646" s="251"/>
    </row>
    <row r="390761" spans="25:37" x14ac:dyDescent="0.2">
      <c r="Y390761" s="5"/>
      <c r="AB390761" s="5"/>
      <c r="AE390761" s="5"/>
      <c r="AH390761" s="5"/>
      <c r="AK390761" s="5"/>
    </row>
    <row r="390771" spans="25:37" x14ac:dyDescent="0.2">
      <c r="Y390771" s="251"/>
      <c r="AB390771" s="251"/>
      <c r="AE390771" s="251"/>
      <c r="AH390771" s="251"/>
      <c r="AK390771" s="251"/>
    </row>
    <row r="390886" spans="25:37" x14ac:dyDescent="0.2">
      <c r="Y390886" s="5"/>
      <c r="AB390886" s="5"/>
      <c r="AE390886" s="5"/>
      <c r="AH390886" s="5"/>
      <c r="AK390886" s="5"/>
    </row>
    <row r="390896" spans="25:37" x14ac:dyDescent="0.2">
      <c r="Y390896" s="251"/>
      <c r="AB390896" s="251"/>
      <c r="AE390896" s="251"/>
      <c r="AH390896" s="251"/>
      <c r="AK390896" s="251"/>
    </row>
    <row r="391011" spans="25:37" x14ac:dyDescent="0.2">
      <c r="Y391011" s="5"/>
      <c r="AB391011" s="5"/>
      <c r="AE391011" s="5"/>
      <c r="AH391011" s="5"/>
      <c r="AK391011" s="5"/>
    </row>
    <row r="391021" spans="25:37" x14ac:dyDescent="0.2">
      <c r="Y391021" s="251"/>
      <c r="AB391021" s="251"/>
      <c r="AE391021" s="251"/>
      <c r="AH391021" s="251"/>
      <c r="AK391021" s="251"/>
    </row>
    <row r="391136" spans="25:37" x14ac:dyDescent="0.2">
      <c r="Y391136" s="5"/>
      <c r="AB391136" s="5"/>
      <c r="AE391136" s="5"/>
      <c r="AH391136" s="5"/>
      <c r="AK391136" s="5"/>
    </row>
    <row r="391146" spans="25:37" x14ac:dyDescent="0.2">
      <c r="Y391146" s="251"/>
      <c r="AB391146" s="251"/>
      <c r="AE391146" s="251"/>
      <c r="AH391146" s="251"/>
      <c r="AK391146" s="251"/>
    </row>
    <row r="391261" spans="25:37" x14ac:dyDescent="0.2">
      <c r="Y391261" s="5"/>
      <c r="AB391261" s="5"/>
      <c r="AE391261" s="5"/>
      <c r="AH391261" s="5"/>
      <c r="AK391261" s="5"/>
    </row>
    <row r="391271" spans="25:37" x14ac:dyDescent="0.2">
      <c r="Y391271" s="251"/>
      <c r="AB391271" s="251"/>
      <c r="AE391271" s="251"/>
      <c r="AH391271" s="251"/>
      <c r="AK391271" s="251"/>
    </row>
    <row r="391386" spans="25:37" x14ac:dyDescent="0.2">
      <c r="Y391386" s="5"/>
      <c r="AB391386" s="5"/>
      <c r="AE391386" s="5"/>
      <c r="AH391386" s="5"/>
      <c r="AK391386" s="5"/>
    </row>
    <row r="391396" spans="25:37" x14ac:dyDescent="0.2">
      <c r="Y391396" s="251"/>
      <c r="AB391396" s="251"/>
      <c r="AE391396" s="251"/>
      <c r="AH391396" s="251"/>
      <c r="AK391396" s="251"/>
    </row>
    <row r="391511" spans="25:37" x14ac:dyDescent="0.2">
      <c r="Y391511" s="5"/>
      <c r="AB391511" s="5"/>
      <c r="AE391511" s="5"/>
      <c r="AH391511" s="5"/>
      <c r="AK391511" s="5"/>
    </row>
    <row r="391521" spans="25:37" x14ac:dyDescent="0.2">
      <c r="Y391521" s="251"/>
      <c r="AB391521" s="251"/>
      <c r="AE391521" s="251"/>
      <c r="AH391521" s="251"/>
      <c r="AK391521" s="251"/>
    </row>
    <row r="391636" spans="25:37" x14ac:dyDescent="0.2">
      <c r="Y391636" s="5"/>
      <c r="AB391636" s="5"/>
      <c r="AE391636" s="5"/>
      <c r="AH391636" s="5"/>
      <c r="AK391636" s="5"/>
    </row>
    <row r="391646" spans="25:37" x14ac:dyDescent="0.2">
      <c r="Y391646" s="251"/>
      <c r="AB391646" s="251"/>
      <c r="AE391646" s="251"/>
      <c r="AH391646" s="251"/>
      <c r="AK391646" s="251"/>
    </row>
    <row r="391761" spans="25:37" x14ac:dyDescent="0.2">
      <c r="Y391761" s="5"/>
      <c r="AB391761" s="5"/>
      <c r="AE391761" s="5"/>
      <c r="AH391761" s="5"/>
      <c r="AK391761" s="5"/>
    </row>
    <row r="391771" spans="25:37" x14ac:dyDescent="0.2">
      <c r="Y391771" s="251"/>
      <c r="AB391771" s="251"/>
      <c r="AE391771" s="251"/>
      <c r="AH391771" s="251"/>
      <c r="AK391771" s="251"/>
    </row>
    <row r="391886" spans="25:37" x14ac:dyDescent="0.2">
      <c r="Y391886" s="5"/>
      <c r="AB391886" s="5"/>
      <c r="AE391886" s="5"/>
      <c r="AH391886" s="5"/>
      <c r="AK391886" s="5"/>
    </row>
    <row r="391896" spans="25:37" x14ac:dyDescent="0.2">
      <c r="Y391896" s="251"/>
      <c r="AB391896" s="251"/>
      <c r="AE391896" s="251"/>
      <c r="AH391896" s="251"/>
      <c r="AK391896" s="251"/>
    </row>
    <row r="392011" spans="25:37" x14ac:dyDescent="0.2">
      <c r="Y392011" s="5"/>
      <c r="AB392011" s="5"/>
      <c r="AE392011" s="5"/>
      <c r="AH392011" s="5"/>
      <c r="AK392011" s="5"/>
    </row>
    <row r="392021" spans="25:37" x14ac:dyDescent="0.2">
      <c r="Y392021" s="251"/>
      <c r="AB392021" s="251"/>
      <c r="AE392021" s="251"/>
      <c r="AH392021" s="251"/>
      <c r="AK392021" s="251"/>
    </row>
    <row r="392136" spans="25:37" x14ac:dyDescent="0.2">
      <c r="Y392136" s="5"/>
      <c r="AB392136" s="5"/>
      <c r="AE392136" s="5"/>
      <c r="AH392136" s="5"/>
      <c r="AK392136" s="5"/>
    </row>
    <row r="392146" spans="25:37" x14ac:dyDescent="0.2">
      <c r="Y392146" s="251"/>
      <c r="AB392146" s="251"/>
      <c r="AE392146" s="251"/>
      <c r="AH392146" s="251"/>
      <c r="AK392146" s="251"/>
    </row>
    <row r="392261" spans="25:37" x14ac:dyDescent="0.2">
      <c r="Y392261" s="5"/>
      <c r="AB392261" s="5"/>
      <c r="AE392261" s="5"/>
      <c r="AH392261" s="5"/>
      <c r="AK392261" s="5"/>
    </row>
    <row r="392271" spans="25:37" x14ac:dyDescent="0.2">
      <c r="Y392271" s="251"/>
      <c r="AB392271" s="251"/>
      <c r="AE392271" s="251"/>
      <c r="AH392271" s="251"/>
      <c r="AK392271" s="251"/>
    </row>
    <row r="392386" spans="25:37" x14ac:dyDescent="0.2">
      <c r="Y392386" s="5"/>
      <c r="AB392386" s="5"/>
      <c r="AE392386" s="5"/>
      <c r="AH392386" s="5"/>
      <c r="AK392386" s="5"/>
    </row>
    <row r="392396" spans="25:37" x14ac:dyDescent="0.2">
      <c r="Y392396" s="251"/>
      <c r="AB392396" s="251"/>
      <c r="AE392396" s="251"/>
      <c r="AH392396" s="251"/>
      <c r="AK392396" s="251"/>
    </row>
    <row r="392511" spans="25:37" x14ac:dyDescent="0.2">
      <c r="Y392511" s="5"/>
      <c r="AB392511" s="5"/>
      <c r="AE392511" s="5"/>
      <c r="AH392511" s="5"/>
      <c r="AK392511" s="5"/>
    </row>
    <row r="392521" spans="25:37" x14ac:dyDescent="0.2">
      <c r="Y392521" s="251"/>
      <c r="AB392521" s="251"/>
      <c r="AE392521" s="251"/>
      <c r="AH392521" s="251"/>
      <c r="AK392521" s="251"/>
    </row>
    <row r="392636" spans="25:37" x14ac:dyDescent="0.2">
      <c r="Y392636" s="5"/>
      <c r="AB392636" s="5"/>
      <c r="AE392636" s="5"/>
      <c r="AH392636" s="5"/>
      <c r="AK392636" s="5"/>
    </row>
    <row r="392646" spans="25:37" x14ac:dyDescent="0.2">
      <c r="Y392646" s="251"/>
      <c r="AB392646" s="251"/>
      <c r="AE392646" s="251"/>
      <c r="AH392646" s="251"/>
      <c r="AK392646" s="251"/>
    </row>
    <row r="392761" spans="25:37" x14ac:dyDescent="0.2">
      <c r="Y392761" s="5"/>
      <c r="AB392761" s="5"/>
      <c r="AE392761" s="5"/>
      <c r="AH392761" s="5"/>
      <c r="AK392761" s="5"/>
    </row>
    <row r="392771" spans="25:37" x14ac:dyDescent="0.2">
      <c r="Y392771" s="251"/>
      <c r="AB392771" s="251"/>
      <c r="AE392771" s="251"/>
      <c r="AH392771" s="251"/>
      <c r="AK392771" s="251"/>
    </row>
    <row r="392886" spans="25:37" x14ac:dyDescent="0.2">
      <c r="Y392886" s="5"/>
      <c r="AB392886" s="5"/>
      <c r="AE392886" s="5"/>
      <c r="AH392886" s="5"/>
      <c r="AK392886" s="5"/>
    </row>
    <row r="392896" spans="25:37" x14ac:dyDescent="0.2">
      <c r="Y392896" s="251"/>
      <c r="AB392896" s="251"/>
      <c r="AE392896" s="251"/>
      <c r="AH392896" s="251"/>
      <c r="AK392896" s="251"/>
    </row>
    <row r="393011" spans="25:37" x14ac:dyDescent="0.2">
      <c r="Y393011" s="5"/>
      <c r="AB393011" s="5"/>
      <c r="AE393011" s="5"/>
      <c r="AH393011" s="5"/>
      <c r="AK393011" s="5"/>
    </row>
    <row r="393021" spans="25:37" x14ac:dyDescent="0.2">
      <c r="Y393021" s="251"/>
      <c r="AB393021" s="251"/>
      <c r="AE393021" s="251"/>
      <c r="AH393021" s="251"/>
      <c r="AK393021" s="251"/>
    </row>
    <row r="393136" spans="25:37" x14ac:dyDescent="0.2">
      <c r="Y393136" s="5"/>
      <c r="AB393136" s="5"/>
      <c r="AE393136" s="5"/>
      <c r="AH393136" s="5"/>
      <c r="AK393136" s="5"/>
    </row>
    <row r="393146" spans="25:37" x14ac:dyDescent="0.2">
      <c r="Y393146" s="251"/>
      <c r="AB393146" s="251"/>
      <c r="AE393146" s="251"/>
      <c r="AH393146" s="251"/>
      <c r="AK393146" s="251"/>
    </row>
    <row r="393261" spans="25:37" x14ac:dyDescent="0.2">
      <c r="Y393261" s="5"/>
      <c r="AB393261" s="5"/>
      <c r="AE393261" s="5"/>
      <c r="AH393261" s="5"/>
      <c r="AK393261" s="5"/>
    </row>
    <row r="393271" spans="25:37" x14ac:dyDescent="0.2">
      <c r="Y393271" s="251"/>
      <c r="AB393271" s="251"/>
      <c r="AE393271" s="251"/>
      <c r="AH393271" s="251"/>
      <c r="AK393271" s="251"/>
    </row>
    <row r="393386" spans="25:37" x14ac:dyDescent="0.2">
      <c r="Y393386" s="5"/>
      <c r="AB393386" s="5"/>
      <c r="AE393386" s="5"/>
      <c r="AH393386" s="5"/>
      <c r="AK393386" s="5"/>
    </row>
    <row r="393396" spans="25:37" x14ac:dyDescent="0.2">
      <c r="Y393396" s="251"/>
      <c r="AB393396" s="251"/>
      <c r="AE393396" s="251"/>
      <c r="AH393396" s="251"/>
      <c r="AK393396" s="251"/>
    </row>
    <row r="393511" spans="25:37" x14ac:dyDescent="0.2">
      <c r="Y393511" s="5"/>
      <c r="AB393511" s="5"/>
      <c r="AE393511" s="5"/>
      <c r="AH393511" s="5"/>
      <c r="AK393511" s="5"/>
    </row>
    <row r="393521" spans="25:37" x14ac:dyDescent="0.2">
      <c r="Y393521" s="251"/>
      <c r="AB393521" s="251"/>
      <c r="AE393521" s="251"/>
      <c r="AH393521" s="251"/>
      <c r="AK393521" s="251"/>
    </row>
    <row r="393636" spans="25:37" x14ac:dyDescent="0.2">
      <c r="Y393636" s="5"/>
      <c r="AB393636" s="5"/>
      <c r="AE393636" s="5"/>
      <c r="AH393636" s="5"/>
      <c r="AK393636" s="5"/>
    </row>
    <row r="393646" spans="25:37" x14ac:dyDescent="0.2">
      <c r="Y393646" s="251"/>
      <c r="AB393646" s="251"/>
      <c r="AE393646" s="251"/>
      <c r="AH393646" s="251"/>
      <c r="AK393646" s="251"/>
    </row>
    <row r="393761" spans="25:37" x14ac:dyDescent="0.2">
      <c r="Y393761" s="5"/>
      <c r="AB393761" s="5"/>
      <c r="AE393761" s="5"/>
      <c r="AH393761" s="5"/>
      <c r="AK393761" s="5"/>
    </row>
    <row r="393771" spans="25:37" x14ac:dyDescent="0.2">
      <c r="Y393771" s="251"/>
      <c r="AB393771" s="251"/>
      <c r="AE393771" s="251"/>
      <c r="AH393771" s="251"/>
      <c r="AK393771" s="251"/>
    </row>
    <row r="393886" spans="25:37" x14ac:dyDescent="0.2">
      <c r="Y393886" s="5"/>
      <c r="AB393886" s="5"/>
      <c r="AE393886" s="5"/>
      <c r="AH393886" s="5"/>
      <c r="AK393886" s="5"/>
    </row>
    <row r="393896" spans="25:37" x14ac:dyDescent="0.2">
      <c r="Y393896" s="251"/>
      <c r="AB393896" s="251"/>
      <c r="AE393896" s="251"/>
      <c r="AH393896" s="251"/>
      <c r="AK393896" s="251"/>
    </row>
    <row r="394011" spans="25:37" x14ac:dyDescent="0.2">
      <c r="Y394011" s="5"/>
      <c r="AB394011" s="5"/>
      <c r="AE394011" s="5"/>
      <c r="AH394011" s="5"/>
      <c r="AK394011" s="5"/>
    </row>
    <row r="394021" spans="25:37" x14ac:dyDescent="0.2">
      <c r="Y394021" s="251"/>
      <c r="AB394021" s="251"/>
      <c r="AE394021" s="251"/>
      <c r="AH394021" s="251"/>
      <c r="AK394021" s="251"/>
    </row>
    <row r="394136" spans="25:37" x14ac:dyDescent="0.2">
      <c r="Y394136" s="5"/>
      <c r="AB394136" s="5"/>
      <c r="AE394136" s="5"/>
      <c r="AH394136" s="5"/>
      <c r="AK394136" s="5"/>
    </row>
    <row r="394146" spans="25:37" x14ac:dyDescent="0.2">
      <c r="Y394146" s="251"/>
      <c r="AB394146" s="251"/>
      <c r="AE394146" s="251"/>
      <c r="AH394146" s="251"/>
      <c r="AK394146" s="251"/>
    </row>
    <row r="394261" spans="25:37" x14ac:dyDescent="0.2">
      <c r="Y394261" s="5"/>
      <c r="AB394261" s="5"/>
      <c r="AE394261" s="5"/>
      <c r="AH394261" s="5"/>
      <c r="AK394261" s="5"/>
    </row>
    <row r="394271" spans="25:37" x14ac:dyDescent="0.2">
      <c r="Y394271" s="251"/>
      <c r="AB394271" s="251"/>
      <c r="AE394271" s="251"/>
      <c r="AH394271" s="251"/>
      <c r="AK394271" s="251"/>
    </row>
    <row r="394386" spans="25:37" x14ac:dyDescent="0.2">
      <c r="Y394386" s="5"/>
      <c r="AB394386" s="5"/>
      <c r="AE394386" s="5"/>
      <c r="AH394386" s="5"/>
      <c r="AK394386" s="5"/>
    </row>
    <row r="394396" spans="25:37" x14ac:dyDescent="0.2">
      <c r="Y394396" s="251"/>
      <c r="AB394396" s="251"/>
      <c r="AE394396" s="251"/>
      <c r="AH394396" s="251"/>
      <c r="AK394396" s="251"/>
    </row>
    <row r="394511" spans="25:37" x14ac:dyDescent="0.2">
      <c r="Y394511" s="5"/>
      <c r="AB394511" s="5"/>
      <c r="AE394511" s="5"/>
      <c r="AH394511" s="5"/>
      <c r="AK394511" s="5"/>
    </row>
    <row r="394521" spans="25:37" x14ac:dyDescent="0.2">
      <c r="Y394521" s="251"/>
      <c r="AB394521" s="251"/>
      <c r="AE394521" s="251"/>
      <c r="AH394521" s="251"/>
      <c r="AK394521" s="251"/>
    </row>
    <row r="394636" spans="25:37" x14ac:dyDescent="0.2">
      <c r="Y394636" s="5"/>
      <c r="AB394636" s="5"/>
      <c r="AE394636" s="5"/>
      <c r="AH394636" s="5"/>
      <c r="AK394636" s="5"/>
    </row>
    <row r="394646" spans="25:37" x14ac:dyDescent="0.2">
      <c r="Y394646" s="251"/>
      <c r="AB394646" s="251"/>
      <c r="AE394646" s="251"/>
      <c r="AH394646" s="251"/>
      <c r="AK394646" s="251"/>
    </row>
    <row r="394761" spans="25:37" x14ac:dyDescent="0.2">
      <c r="Y394761" s="5"/>
      <c r="AB394761" s="5"/>
      <c r="AE394761" s="5"/>
      <c r="AH394761" s="5"/>
      <c r="AK394761" s="5"/>
    </row>
    <row r="394771" spans="25:37" x14ac:dyDescent="0.2">
      <c r="Y394771" s="251"/>
      <c r="AB394771" s="251"/>
      <c r="AE394771" s="251"/>
      <c r="AH394771" s="251"/>
      <c r="AK394771" s="251"/>
    </row>
    <row r="394886" spans="25:37" x14ac:dyDescent="0.2">
      <c r="Y394886" s="5"/>
      <c r="AB394886" s="5"/>
      <c r="AE394886" s="5"/>
      <c r="AH394886" s="5"/>
      <c r="AK394886" s="5"/>
    </row>
    <row r="394896" spans="25:37" x14ac:dyDescent="0.2">
      <c r="Y394896" s="251"/>
      <c r="AB394896" s="251"/>
      <c r="AE394896" s="251"/>
      <c r="AH394896" s="251"/>
      <c r="AK394896" s="251"/>
    </row>
    <row r="395011" spans="25:37" x14ac:dyDescent="0.2">
      <c r="Y395011" s="5"/>
      <c r="AB395011" s="5"/>
      <c r="AE395011" s="5"/>
      <c r="AH395011" s="5"/>
      <c r="AK395011" s="5"/>
    </row>
    <row r="395021" spans="25:37" x14ac:dyDescent="0.2">
      <c r="Y395021" s="251"/>
      <c r="AB395021" s="251"/>
      <c r="AE395021" s="251"/>
      <c r="AH395021" s="251"/>
      <c r="AK395021" s="251"/>
    </row>
    <row r="395136" spans="25:37" x14ac:dyDescent="0.2">
      <c r="Y395136" s="5"/>
      <c r="AB395136" s="5"/>
      <c r="AE395136" s="5"/>
      <c r="AH395136" s="5"/>
      <c r="AK395136" s="5"/>
    </row>
    <row r="395146" spans="25:37" x14ac:dyDescent="0.2">
      <c r="Y395146" s="251"/>
      <c r="AB395146" s="251"/>
      <c r="AE395146" s="251"/>
      <c r="AH395146" s="251"/>
      <c r="AK395146" s="251"/>
    </row>
    <row r="395261" spans="25:37" x14ac:dyDescent="0.2">
      <c r="Y395261" s="5"/>
      <c r="AB395261" s="5"/>
      <c r="AE395261" s="5"/>
      <c r="AH395261" s="5"/>
      <c r="AK395261" s="5"/>
    </row>
    <row r="395271" spans="25:37" x14ac:dyDescent="0.2">
      <c r="Y395271" s="251"/>
      <c r="AB395271" s="251"/>
      <c r="AE395271" s="251"/>
      <c r="AH395271" s="251"/>
      <c r="AK395271" s="251"/>
    </row>
    <row r="395386" spans="25:37" x14ac:dyDescent="0.2">
      <c r="Y395386" s="5"/>
      <c r="AB395386" s="5"/>
      <c r="AE395386" s="5"/>
      <c r="AH395386" s="5"/>
      <c r="AK395386" s="5"/>
    </row>
    <row r="395396" spans="25:37" x14ac:dyDescent="0.2">
      <c r="Y395396" s="251"/>
      <c r="AB395396" s="251"/>
      <c r="AE395396" s="251"/>
      <c r="AH395396" s="251"/>
      <c r="AK395396" s="251"/>
    </row>
    <row r="395511" spans="25:37" x14ac:dyDescent="0.2">
      <c r="Y395511" s="5"/>
      <c r="AB395511" s="5"/>
      <c r="AE395511" s="5"/>
      <c r="AH395511" s="5"/>
      <c r="AK395511" s="5"/>
    </row>
    <row r="395521" spans="25:37" x14ac:dyDescent="0.2">
      <c r="Y395521" s="251"/>
      <c r="AB395521" s="251"/>
      <c r="AE395521" s="251"/>
      <c r="AH395521" s="251"/>
      <c r="AK395521" s="251"/>
    </row>
    <row r="395636" spans="25:37" x14ac:dyDescent="0.2">
      <c r="Y395636" s="5"/>
      <c r="AB395636" s="5"/>
      <c r="AE395636" s="5"/>
      <c r="AH395636" s="5"/>
      <c r="AK395636" s="5"/>
    </row>
    <row r="395646" spans="25:37" x14ac:dyDescent="0.2">
      <c r="Y395646" s="251"/>
      <c r="AB395646" s="251"/>
      <c r="AE395646" s="251"/>
      <c r="AH395646" s="251"/>
      <c r="AK395646" s="251"/>
    </row>
    <row r="395761" spans="25:37" x14ac:dyDescent="0.2">
      <c r="Y395761" s="5"/>
      <c r="AB395761" s="5"/>
      <c r="AE395761" s="5"/>
      <c r="AH395761" s="5"/>
      <c r="AK395761" s="5"/>
    </row>
    <row r="395771" spans="25:37" x14ac:dyDescent="0.2">
      <c r="Y395771" s="251"/>
      <c r="AB395771" s="251"/>
      <c r="AE395771" s="251"/>
      <c r="AH395771" s="251"/>
      <c r="AK395771" s="251"/>
    </row>
    <row r="395886" spans="25:37" x14ac:dyDescent="0.2">
      <c r="Y395886" s="5"/>
      <c r="AB395886" s="5"/>
      <c r="AE395886" s="5"/>
      <c r="AH395886" s="5"/>
      <c r="AK395886" s="5"/>
    </row>
    <row r="395896" spans="25:37" x14ac:dyDescent="0.2">
      <c r="Y395896" s="251"/>
      <c r="AB395896" s="251"/>
      <c r="AE395896" s="251"/>
      <c r="AH395896" s="251"/>
      <c r="AK395896" s="251"/>
    </row>
    <row r="396011" spans="25:37" x14ac:dyDescent="0.2">
      <c r="Y396011" s="5"/>
      <c r="AB396011" s="5"/>
      <c r="AE396011" s="5"/>
      <c r="AH396011" s="5"/>
      <c r="AK396011" s="5"/>
    </row>
    <row r="396021" spans="25:37" x14ac:dyDescent="0.2">
      <c r="Y396021" s="251"/>
      <c r="AB396021" s="251"/>
      <c r="AE396021" s="251"/>
      <c r="AH396021" s="251"/>
      <c r="AK396021" s="251"/>
    </row>
    <row r="396136" spans="25:37" x14ac:dyDescent="0.2">
      <c r="Y396136" s="5"/>
      <c r="AB396136" s="5"/>
      <c r="AE396136" s="5"/>
      <c r="AH396136" s="5"/>
      <c r="AK396136" s="5"/>
    </row>
    <row r="396146" spans="25:37" x14ac:dyDescent="0.2">
      <c r="Y396146" s="251"/>
      <c r="AB396146" s="251"/>
      <c r="AE396146" s="251"/>
      <c r="AH396146" s="251"/>
      <c r="AK396146" s="251"/>
    </row>
    <row r="396261" spans="25:37" x14ac:dyDescent="0.2">
      <c r="Y396261" s="5"/>
      <c r="AB396261" s="5"/>
      <c r="AE396261" s="5"/>
      <c r="AH396261" s="5"/>
      <c r="AK396261" s="5"/>
    </row>
    <row r="396271" spans="25:37" x14ac:dyDescent="0.2">
      <c r="Y396271" s="251"/>
      <c r="AB396271" s="251"/>
      <c r="AE396271" s="251"/>
      <c r="AH396271" s="251"/>
      <c r="AK396271" s="251"/>
    </row>
    <row r="396386" spans="25:37" x14ac:dyDescent="0.2">
      <c r="Y396386" s="5"/>
      <c r="AB396386" s="5"/>
      <c r="AE396386" s="5"/>
      <c r="AH396386" s="5"/>
      <c r="AK396386" s="5"/>
    </row>
    <row r="396396" spans="25:37" x14ac:dyDescent="0.2">
      <c r="Y396396" s="251"/>
      <c r="AB396396" s="251"/>
      <c r="AE396396" s="251"/>
      <c r="AH396396" s="251"/>
      <c r="AK396396" s="251"/>
    </row>
    <row r="396511" spans="25:37" x14ac:dyDescent="0.2">
      <c r="Y396511" s="5"/>
      <c r="AB396511" s="5"/>
      <c r="AE396511" s="5"/>
      <c r="AH396511" s="5"/>
      <c r="AK396511" s="5"/>
    </row>
    <row r="396521" spans="25:37" x14ac:dyDescent="0.2">
      <c r="Y396521" s="251"/>
      <c r="AB396521" s="251"/>
      <c r="AE396521" s="251"/>
      <c r="AH396521" s="251"/>
      <c r="AK396521" s="251"/>
    </row>
    <row r="396636" spans="25:37" x14ac:dyDescent="0.2">
      <c r="Y396636" s="5"/>
      <c r="AB396636" s="5"/>
      <c r="AE396636" s="5"/>
      <c r="AH396636" s="5"/>
      <c r="AK396636" s="5"/>
    </row>
    <row r="396646" spans="25:37" x14ac:dyDescent="0.2">
      <c r="Y396646" s="251"/>
      <c r="AB396646" s="251"/>
      <c r="AE396646" s="251"/>
      <c r="AH396646" s="251"/>
      <c r="AK396646" s="251"/>
    </row>
    <row r="396761" spans="25:37" x14ac:dyDescent="0.2">
      <c r="Y396761" s="5"/>
      <c r="AB396761" s="5"/>
      <c r="AE396761" s="5"/>
      <c r="AH396761" s="5"/>
      <c r="AK396761" s="5"/>
    </row>
    <row r="396771" spans="25:37" x14ac:dyDescent="0.2">
      <c r="Y396771" s="251"/>
      <c r="AB396771" s="251"/>
      <c r="AE396771" s="251"/>
      <c r="AH396771" s="251"/>
      <c r="AK396771" s="251"/>
    </row>
    <row r="396886" spans="25:37" x14ac:dyDescent="0.2">
      <c r="Y396886" s="5"/>
      <c r="AB396886" s="5"/>
      <c r="AE396886" s="5"/>
      <c r="AH396886" s="5"/>
      <c r="AK396886" s="5"/>
    </row>
    <row r="396896" spans="25:37" x14ac:dyDescent="0.2">
      <c r="Y396896" s="251"/>
      <c r="AB396896" s="251"/>
      <c r="AE396896" s="251"/>
      <c r="AH396896" s="251"/>
      <c r="AK396896" s="251"/>
    </row>
    <row r="397011" spans="25:37" x14ac:dyDescent="0.2">
      <c r="Y397011" s="5"/>
      <c r="AB397011" s="5"/>
      <c r="AE397011" s="5"/>
      <c r="AH397011" s="5"/>
      <c r="AK397011" s="5"/>
    </row>
    <row r="397021" spans="25:37" x14ac:dyDescent="0.2">
      <c r="Y397021" s="251"/>
      <c r="AB397021" s="251"/>
      <c r="AE397021" s="251"/>
      <c r="AH397021" s="251"/>
      <c r="AK397021" s="251"/>
    </row>
    <row r="397136" spans="25:37" x14ac:dyDescent="0.2">
      <c r="Y397136" s="5"/>
      <c r="AB397136" s="5"/>
      <c r="AE397136" s="5"/>
      <c r="AH397136" s="5"/>
      <c r="AK397136" s="5"/>
    </row>
    <row r="397146" spans="25:37" x14ac:dyDescent="0.2">
      <c r="Y397146" s="251"/>
      <c r="AB397146" s="251"/>
      <c r="AE397146" s="251"/>
      <c r="AH397146" s="251"/>
      <c r="AK397146" s="251"/>
    </row>
    <row r="397261" spans="25:37" x14ac:dyDescent="0.2">
      <c r="Y397261" s="5"/>
      <c r="AB397261" s="5"/>
      <c r="AE397261" s="5"/>
      <c r="AH397261" s="5"/>
      <c r="AK397261" s="5"/>
    </row>
    <row r="397271" spans="25:37" x14ac:dyDescent="0.2">
      <c r="Y397271" s="251"/>
      <c r="AB397271" s="251"/>
      <c r="AE397271" s="251"/>
      <c r="AH397271" s="251"/>
      <c r="AK397271" s="251"/>
    </row>
    <row r="397386" spans="25:37" x14ac:dyDescent="0.2">
      <c r="Y397386" s="5"/>
      <c r="AB397386" s="5"/>
      <c r="AE397386" s="5"/>
      <c r="AH397386" s="5"/>
      <c r="AK397386" s="5"/>
    </row>
    <row r="397396" spans="25:37" x14ac:dyDescent="0.2">
      <c r="Y397396" s="251"/>
      <c r="AB397396" s="251"/>
      <c r="AE397396" s="251"/>
      <c r="AH397396" s="251"/>
      <c r="AK397396" s="251"/>
    </row>
    <row r="397511" spans="25:37" x14ac:dyDescent="0.2">
      <c r="Y397511" s="5"/>
      <c r="AB397511" s="5"/>
      <c r="AE397511" s="5"/>
      <c r="AH397511" s="5"/>
      <c r="AK397511" s="5"/>
    </row>
    <row r="397521" spans="25:37" x14ac:dyDescent="0.2">
      <c r="Y397521" s="251"/>
      <c r="AB397521" s="251"/>
      <c r="AE397521" s="251"/>
      <c r="AH397521" s="251"/>
      <c r="AK397521" s="251"/>
    </row>
    <row r="397636" spans="25:37" x14ac:dyDescent="0.2">
      <c r="Y397636" s="5"/>
      <c r="AB397636" s="5"/>
      <c r="AE397636" s="5"/>
      <c r="AH397636" s="5"/>
      <c r="AK397636" s="5"/>
    </row>
    <row r="397646" spans="25:37" x14ac:dyDescent="0.2">
      <c r="Y397646" s="251"/>
      <c r="AB397646" s="251"/>
      <c r="AE397646" s="251"/>
      <c r="AH397646" s="251"/>
      <c r="AK397646" s="251"/>
    </row>
    <row r="397761" spans="25:37" x14ac:dyDescent="0.2">
      <c r="Y397761" s="5"/>
      <c r="AB397761" s="5"/>
      <c r="AE397761" s="5"/>
      <c r="AH397761" s="5"/>
      <c r="AK397761" s="5"/>
    </row>
    <row r="397771" spans="25:37" x14ac:dyDescent="0.2">
      <c r="Y397771" s="251"/>
      <c r="AB397771" s="251"/>
      <c r="AE397771" s="251"/>
      <c r="AH397771" s="251"/>
      <c r="AK397771" s="251"/>
    </row>
    <row r="397886" spans="25:37" x14ac:dyDescent="0.2">
      <c r="Y397886" s="5"/>
      <c r="AB397886" s="5"/>
      <c r="AE397886" s="5"/>
      <c r="AH397886" s="5"/>
      <c r="AK397886" s="5"/>
    </row>
    <row r="397896" spans="25:37" x14ac:dyDescent="0.2">
      <c r="Y397896" s="251"/>
      <c r="AB397896" s="251"/>
      <c r="AE397896" s="251"/>
      <c r="AH397896" s="251"/>
      <c r="AK397896" s="251"/>
    </row>
    <row r="398011" spans="25:37" x14ac:dyDescent="0.2">
      <c r="Y398011" s="5"/>
      <c r="AB398011" s="5"/>
      <c r="AE398011" s="5"/>
      <c r="AH398011" s="5"/>
      <c r="AK398011" s="5"/>
    </row>
    <row r="398021" spans="25:37" x14ac:dyDescent="0.2">
      <c r="Y398021" s="251"/>
      <c r="AB398021" s="251"/>
      <c r="AE398021" s="251"/>
      <c r="AH398021" s="251"/>
      <c r="AK398021" s="251"/>
    </row>
    <row r="398136" spans="25:37" x14ac:dyDescent="0.2">
      <c r="Y398136" s="5"/>
      <c r="AB398136" s="5"/>
      <c r="AE398136" s="5"/>
      <c r="AH398136" s="5"/>
      <c r="AK398136" s="5"/>
    </row>
    <row r="398146" spans="25:37" x14ac:dyDescent="0.2">
      <c r="Y398146" s="251"/>
      <c r="AB398146" s="251"/>
      <c r="AE398146" s="251"/>
      <c r="AH398146" s="251"/>
      <c r="AK398146" s="251"/>
    </row>
    <row r="398261" spans="25:37" x14ac:dyDescent="0.2">
      <c r="Y398261" s="5"/>
      <c r="AB398261" s="5"/>
      <c r="AE398261" s="5"/>
      <c r="AH398261" s="5"/>
      <c r="AK398261" s="5"/>
    </row>
    <row r="398271" spans="25:37" x14ac:dyDescent="0.2">
      <c r="Y398271" s="251"/>
      <c r="AB398271" s="251"/>
      <c r="AE398271" s="251"/>
      <c r="AH398271" s="251"/>
      <c r="AK398271" s="251"/>
    </row>
    <row r="398386" spans="25:37" x14ac:dyDescent="0.2">
      <c r="Y398386" s="5"/>
      <c r="AB398386" s="5"/>
      <c r="AE398386" s="5"/>
      <c r="AH398386" s="5"/>
      <c r="AK398386" s="5"/>
    </row>
    <row r="398396" spans="25:37" x14ac:dyDescent="0.2">
      <c r="Y398396" s="251"/>
      <c r="AB398396" s="251"/>
      <c r="AE398396" s="251"/>
      <c r="AH398396" s="251"/>
      <c r="AK398396" s="251"/>
    </row>
    <row r="398511" spans="25:37" x14ac:dyDescent="0.2">
      <c r="Y398511" s="5"/>
      <c r="AB398511" s="5"/>
      <c r="AE398511" s="5"/>
      <c r="AH398511" s="5"/>
      <c r="AK398511" s="5"/>
    </row>
    <row r="398521" spans="25:37" x14ac:dyDescent="0.2">
      <c r="Y398521" s="251"/>
      <c r="AB398521" s="251"/>
      <c r="AE398521" s="251"/>
      <c r="AH398521" s="251"/>
      <c r="AK398521" s="251"/>
    </row>
    <row r="398636" spans="25:37" x14ac:dyDescent="0.2">
      <c r="Y398636" s="5"/>
      <c r="AB398636" s="5"/>
      <c r="AE398636" s="5"/>
      <c r="AH398636" s="5"/>
      <c r="AK398636" s="5"/>
    </row>
    <row r="398646" spans="25:37" x14ac:dyDescent="0.2">
      <c r="Y398646" s="251"/>
      <c r="AB398646" s="251"/>
      <c r="AE398646" s="251"/>
      <c r="AH398646" s="251"/>
      <c r="AK398646" s="251"/>
    </row>
    <row r="398761" spans="25:37" x14ac:dyDescent="0.2">
      <c r="Y398761" s="5"/>
      <c r="AB398761" s="5"/>
      <c r="AE398761" s="5"/>
      <c r="AH398761" s="5"/>
      <c r="AK398761" s="5"/>
    </row>
    <row r="398771" spans="25:37" x14ac:dyDescent="0.2">
      <c r="Y398771" s="251"/>
      <c r="AB398771" s="251"/>
      <c r="AE398771" s="251"/>
      <c r="AH398771" s="251"/>
      <c r="AK398771" s="251"/>
    </row>
    <row r="398886" spans="25:37" x14ac:dyDescent="0.2">
      <c r="Y398886" s="5"/>
      <c r="AB398886" s="5"/>
      <c r="AE398886" s="5"/>
      <c r="AH398886" s="5"/>
      <c r="AK398886" s="5"/>
    </row>
    <row r="398896" spans="25:37" x14ac:dyDescent="0.2">
      <c r="Y398896" s="251"/>
      <c r="AB398896" s="251"/>
      <c r="AE398896" s="251"/>
      <c r="AH398896" s="251"/>
      <c r="AK398896" s="251"/>
    </row>
    <row r="399011" spans="25:37" x14ac:dyDescent="0.2">
      <c r="Y399011" s="5"/>
      <c r="AB399011" s="5"/>
      <c r="AE399011" s="5"/>
      <c r="AH399011" s="5"/>
      <c r="AK399011" s="5"/>
    </row>
    <row r="399021" spans="25:37" x14ac:dyDescent="0.2">
      <c r="Y399021" s="251"/>
      <c r="AB399021" s="251"/>
      <c r="AE399021" s="251"/>
      <c r="AH399021" s="251"/>
      <c r="AK399021" s="251"/>
    </row>
    <row r="399136" spans="25:37" x14ac:dyDescent="0.2">
      <c r="Y399136" s="5"/>
      <c r="AB399136" s="5"/>
      <c r="AE399136" s="5"/>
      <c r="AH399136" s="5"/>
      <c r="AK399136" s="5"/>
    </row>
    <row r="399146" spans="25:37" x14ac:dyDescent="0.2">
      <c r="Y399146" s="251"/>
      <c r="AB399146" s="251"/>
      <c r="AE399146" s="251"/>
      <c r="AH399146" s="251"/>
      <c r="AK399146" s="251"/>
    </row>
    <row r="399261" spans="25:37" x14ac:dyDescent="0.2">
      <c r="Y399261" s="5"/>
      <c r="AB399261" s="5"/>
      <c r="AE399261" s="5"/>
      <c r="AH399261" s="5"/>
      <c r="AK399261" s="5"/>
    </row>
    <row r="399271" spans="25:37" x14ac:dyDescent="0.2">
      <c r="Y399271" s="251"/>
      <c r="AB399271" s="251"/>
      <c r="AE399271" s="251"/>
      <c r="AH399271" s="251"/>
      <c r="AK399271" s="251"/>
    </row>
    <row r="399386" spans="25:37" x14ac:dyDescent="0.2">
      <c r="Y399386" s="5"/>
      <c r="AB399386" s="5"/>
      <c r="AE399386" s="5"/>
      <c r="AH399386" s="5"/>
      <c r="AK399386" s="5"/>
    </row>
    <row r="399396" spans="25:37" x14ac:dyDescent="0.2">
      <c r="Y399396" s="251"/>
      <c r="AB399396" s="251"/>
      <c r="AE399396" s="251"/>
      <c r="AH399396" s="251"/>
      <c r="AK399396" s="251"/>
    </row>
    <row r="399511" spans="25:37" x14ac:dyDescent="0.2">
      <c r="Y399511" s="5"/>
      <c r="AB399511" s="5"/>
      <c r="AE399511" s="5"/>
      <c r="AH399511" s="5"/>
      <c r="AK399511" s="5"/>
    </row>
    <row r="399521" spans="25:37" x14ac:dyDescent="0.2">
      <c r="Y399521" s="251"/>
      <c r="AB399521" s="251"/>
      <c r="AE399521" s="251"/>
      <c r="AH399521" s="251"/>
      <c r="AK399521" s="251"/>
    </row>
    <row r="399636" spans="25:37" x14ac:dyDescent="0.2">
      <c r="Y399636" s="5"/>
      <c r="AB399636" s="5"/>
      <c r="AE399636" s="5"/>
      <c r="AH399636" s="5"/>
      <c r="AK399636" s="5"/>
    </row>
    <row r="399646" spans="25:37" x14ac:dyDescent="0.2">
      <c r="Y399646" s="251"/>
      <c r="AB399646" s="251"/>
      <c r="AE399646" s="251"/>
      <c r="AH399646" s="251"/>
      <c r="AK399646" s="251"/>
    </row>
    <row r="399761" spans="25:37" x14ac:dyDescent="0.2">
      <c r="Y399761" s="5"/>
      <c r="AB399761" s="5"/>
      <c r="AE399761" s="5"/>
      <c r="AH399761" s="5"/>
      <c r="AK399761" s="5"/>
    </row>
    <row r="399771" spans="25:37" x14ac:dyDescent="0.2">
      <c r="Y399771" s="251"/>
      <c r="AB399771" s="251"/>
      <c r="AE399771" s="251"/>
      <c r="AH399771" s="251"/>
      <c r="AK399771" s="251"/>
    </row>
    <row r="399886" spans="25:37" x14ac:dyDescent="0.2">
      <c r="Y399886" s="5"/>
      <c r="AB399886" s="5"/>
      <c r="AE399886" s="5"/>
      <c r="AH399886" s="5"/>
      <c r="AK399886" s="5"/>
    </row>
    <row r="399896" spans="25:37" x14ac:dyDescent="0.2">
      <c r="Y399896" s="251"/>
      <c r="AB399896" s="251"/>
      <c r="AE399896" s="251"/>
      <c r="AH399896" s="251"/>
      <c r="AK399896" s="251"/>
    </row>
    <row r="400011" spans="25:37" x14ac:dyDescent="0.2">
      <c r="Y400011" s="5"/>
      <c r="AB400011" s="5"/>
      <c r="AE400011" s="5"/>
      <c r="AH400011" s="5"/>
      <c r="AK400011" s="5"/>
    </row>
    <row r="400021" spans="25:37" x14ac:dyDescent="0.2">
      <c r="Y400021" s="251"/>
      <c r="AB400021" s="251"/>
      <c r="AE400021" s="251"/>
      <c r="AH400021" s="251"/>
      <c r="AK400021" s="251"/>
    </row>
    <row r="400136" spans="25:37" x14ac:dyDescent="0.2">
      <c r="Y400136" s="5"/>
      <c r="AB400136" s="5"/>
      <c r="AE400136" s="5"/>
      <c r="AH400136" s="5"/>
      <c r="AK400136" s="5"/>
    </row>
    <row r="400146" spans="25:37" x14ac:dyDescent="0.2">
      <c r="Y400146" s="251"/>
      <c r="AB400146" s="251"/>
      <c r="AE400146" s="251"/>
      <c r="AH400146" s="251"/>
      <c r="AK400146" s="251"/>
    </row>
    <row r="400261" spans="25:37" x14ac:dyDescent="0.2">
      <c r="Y400261" s="5"/>
      <c r="AB400261" s="5"/>
      <c r="AE400261" s="5"/>
      <c r="AH400261" s="5"/>
      <c r="AK400261" s="5"/>
    </row>
    <row r="400271" spans="25:37" x14ac:dyDescent="0.2">
      <c r="Y400271" s="251"/>
      <c r="AB400271" s="251"/>
      <c r="AE400271" s="251"/>
      <c r="AH400271" s="251"/>
      <c r="AK400271" s="251"/>
    </row>
    <row r="400386" spans="25:37" x14ac:dyDescent="0.2">
      <c r="Y400386" s="5"/>
      <c r="AB400386" s="5"/>
      <c r="AE400386" s="5"/>
      <c r="AH400386" s="5"/>
      <c r="AK400386" s="5"/>
    </row>
    <row r="400396" spans="25:37" x14ac:dyDescent="0.2">
      <c r="Y400396" s="251"/>
      <c r="AB400396" s="251"/>
      <c r="AE400396" s="251"/>
      <c r="AH400396" s="251"/>
      <c r="AK400396" s="251"/>
    </row>
    <row r="400511" spans="25:37" x14ac:dyDescent="0.2">
      <c r="Y400511" s="5"/>
      <c r="AB400511" s="5"/>
      <c r="AE400511" s="5"/>
      <c r="AH400511" s="5"/>
      <c r="AK400511" s="5"/>
    </row>
    <row r="400521" spans="25:37" x14ac:dyDescent="0.2">
      <c r="Y400521" s="251"/>
      <c r="AB400521" s="251"/>
      <c r="AE400521" s="251"/>
      <c r="AH400521" s="251"/>
      <c r="AK400521" s="251"/>
    </row>
    <row r="400636" spans="25:37" x14ac:dyDescent="0.2">
      <c r="Y400636" s="5"/>
      <c r="AB400636" s="5"/>
      <c r="AE400636" s="5"/>
      <c r="AH400636" s="5"/>
      <c r="AK400636" s="5"/>
    </row>
    <row r="400646" spans="25:37" x14ac:dyDescent="0.2">
      <c r="Y400646" s="251"/>
      <c r="AB400646" s="251"/>
      <c r="AE400646" s="251"/>
      <c r="AH400646" s="251"/>
      <c r="AK400646" s="251"/>
    </row>
    <row r="400761" spans="25:37" x14ac:dyDescent="0.2">
      <c r="Y400761" s="5"/>
      <c r="AB400761" s="5"/>
      <c r="AE400761" s="5"/>
      <c r="AH400761" s="5"/>
      <c r="AK400761" s="5"/>
    </row>
    <row r="400771" spans="25:37" x14ac:dyDescent="0.2">
      <c r="Y400771" s="251"/>
      <c r="AB400771" s="251"/>
      <c r="AE400771" s="251"/>
      <c r="AH400771" s="251"/>
      <c r="AK400771" s="251"/>
    </row>
    <row r="400886" spans="25:37" x14ac:dyDescent="0.2">
      <c r="Y400886" s="5"/>
      <c r="AB400886" s="5"/>
      <c r="AE400886" s="5"/>
      <c r="AH400886" s="5"/>
      <c r="AK400886" s="5"/>
    </row>
    <row r="400896" spans="25:37" x14ac:dyDescent="0.2">
      <c r="Y400896" s="251"/>
      <c r="AB400896" s="251"/>
      <c r="AE400896" s="251"/>
      <c r="AH400896" s="251"/>
      <c r="AK400896" s="251"/>
    </row>
    <row r="401011" spans="25:37" x14ac:dyDescent="0.2">
      <c r="Y401011" s="5"/>
      <c r="AB401011" s="5"/>
      <c r="AE401011" s="5"/>
      <c r="AH401011" s="5"/>
      <c r="AK401011" s="5"/>
    </row>
    <row r="401021" spans="25:37" x14ac:dyDescent="0.2">
      <c r="Y401021" s="251"/>
      <c r="AB401021" s="251"/>
      <c r="AE401021" s="251"/>
      <c r="AH401021" s="251"/>
      <c r="AK401021" s="251"/>
    </row>
    <row r="401136" spans="25:37" x14ac:dyDescent="0.2">
      <c r="Y401136" s="5"/>
      <c r="AB401136" s="5"/>
      <c r="AE401136" s="5"/>
      <c r="AH401136" s="5"/>
      <c r="AK401136" s="5"/>
    </row>
    <row r="401146" spans="25:37" x14ac:dyDescent="0.2">
      <c r="Y401146" s="251"/>
      <c r="AB401146" s="251"/>
      <c r="AE401146" s="251"/>
      <c r="AH401146" s="251"/>
      <c r="AK401146" s="251"/>
    </row>
    <row r="401261" spans="25:37" x14ac:dyDescent="0.2">
      <c r="Y401261" s="5"/>
      <c r="AB401261" s="5"/>
      <c r="AE401261" s="5"/>
      <c r="AH401261" s="5"/>
      <c r="AK401261" s="5"/>
    </row>
    <row r="401271" spans="25:37" x14ac:dyDescent="0.2">
      <c r="Y401271" s="251"/>
      <c r="AB401271" s="251"/>
      <c r="AE401271" s="251"/>
      <c r="AH401271" s="251"/>
      <c r="AK401271" s="251"/>
    </row>
    <row r="401386" spans="25:37" x14ac:dyDescent="0.2">
      <c r="Y401386" s="5"/>
      <c r="AB401386" s="5"/>
      <c r="AE401386" s="5"/>
      <c r="AH401386" s="5"/>
      <c r="AK401386" s="5"/>
    </row>
    <row r="401396" spans="25:37" x14ac:dyDescent="0.2">
      <c r="Y401396" s="251"/>
      <c r="AB401396" s="251"/>
      <c r="AE401396" s="251"/>
      <c r="AH401396" s="251"/>
      <c r="AK401396" s="251"/>
    </row>
    <row r="401511" spans="25:37" x14ac:dyDescent="0.2">
      <c r="Y401511" s="5"/>
      <c r="AB401511" s="5"/>
      <c r="AE401511" s="5"/>
      <c r="AH401511" s="5"/>
      <c r="AK401511" s="5"/>
    </row>
    <row r="401521" spans="25:37" x14ac:dyDescent="0.2">
      <c r="Y401521" s="251"/>
      <c r="AB401521" s="251"/>
      <c r="AE401521" s="251"/>
      <c r="AH401521" s="251"/>
      <c r="AK401521" s="251"/>
    </row>
    <row r="401636" spans="25:37" x14ac:dyDescent="0.2">
      <c r="Y401636" s="5"/>
      <c r="AB401636" s="5"/>
      <c r="AE401636" s="5"/>
      <c r="AH401636" s="5"/>
      <c r="AK401636" s="5"/>
    </row>
    <row r="401646" spans="25:37" x14ac:dyDescent="0.2">
      <c r="Y401646" s="251"/>
      <c r="AB401646" s="251"/>
      <c r="AE401646" s="251"/>
      <c r="AH401646" s="251"/>
      <c r="AK401646" s="251"/>
    </row>
    <row r="401761" spans="25:37" x14ac:dyDescent="0.2">
      <c r="Y401761" s="5"/>
      <c r="AB401761" s="5"/>
      <c r="AE401761" s="5"/>
      <c r="AH401761" s="5"/>
      <c r="AK401761" s="5"/>
    </row>
    <row r="401771" spans="25:37" x14ac:dyDescent="0.2">
      <c r="Y401771" s="251"/>
      <c r="AB401771" s="251"/>
      <c r="AE401771" s="251"/>
      <c r="AH401771" s="251"/>
      <c r="AK401771" s="251"/>
    </row>
    <row r="401886" spans="25:37" x14ac:dyDescent="0.2">
      <c r="Y401886" s="5"/>
      <c r="AB401886" s="5"/>
      <c r="AE401886" s="5"/>
      <c r="AH401886" s="5"/>
      <c r="AK401886" s="5"/>
    </row>
    <row r="401896" spans="25:37" x14ac:dyDescent="0.2">
      <c r="Y401896" s="251"/>
      <c r="AB401896" s="251"/>
      <c r="AE401896" s="251"/>
      <c r="AH401896" s="251"/>
      <c r="AK401896" s="251"/>
    </row>
    <row r="402011" spans="25:37" x14ac:dyDescent="0.2">
      <c r="Y402011" s="5"/>
      <c r="AB402011" s="5"/>
      <c r="AE402011" s="5"/>
      <c r="AH402011" s="5"/>
      <c r="AK402011" s="5"/>
    </row>
    <row r="402021" spans="25:37" x14ac:dyDescent="0.2">
      <c r="Y402021" s="251"/>
      <c r="AB402021" s="251"/>
      <c r="AE402021" s="251"/>
      <c r="AH402021" s="251"/>
      <c r="AK402021" s="251"/>
    </row>
    <row r="402136" spans="25:37" x14ac:dyDescent="0.2">
      <c r="Y402136" s="5"/>
      <c r="AB402136" s="5"/>
      <c r="AE402136" s="5"/>
      <c r="AH402136" s="5"/>
      <c r="AK402136" s="5"/>
    </row>
    <row r="402146" spans="25:37" x14ac:dyDescent="0.2">
      <c r="Y402146" s="251"/>
      <c r="AB402146" s="251"/>
      <c r="AE402146" s="251"/>
      <c r="AH402146" s="251"/>
      <c r="AK402146" s="251"/>
    </row>
    <row r="402261" spans="25:37" x14ac:dyDescent="0.2">
      <c r="Y402261" s="5"/>
      <c r="AB402261" s="5"/>
      <c r="AE402261" s="5"/>
      <c r="AH402261" s="5"/>
      <c r="AK402261" s="5"/>
    </row>
    <row r="402271" spans="25:37" x14ac:dyDescent="0.2">
      <c r="Y402271" s="251"/>
      <c r="AB402271" s="251"/>
      <c r="AE402271" s="251"/>
      <c r="AH402271" s="251"/>
      <c r="AK402271" s="251"/>
    </row>
    <row r="402386" spans="25:37" x14ac:dyDescent="0.2">
      <c r="Y402386" s="5"/>
      <c r="AB402386" s="5"/>
      <c r="AE402386" s="5"/>
      <c r="AH402386" s="5"/>
      <c r="AK402386" s="5"/>
    </row>
    <row r="402396" spans="25:37" x14ac:dyDescent="0.2">
      <c r="Y402396" s="251"/>
      <c r="AB402396" s="251"/>
      <c r="AE402396" s="251"/>
      <c r="AH402396" s="251"/>
      <c r="AK402396" s="251"/>
    </row>
    <row r="402511" spans="25:37" x14ac:dyDescent="0.2">
      <c r="Y402511" s="5"/>
      <c r="AB402511" s="5"/>
      <c r="AE402511" s="5"/>
      <c r="AH402511" s="5"/>
      <c r="AK402511" s="5"/>
    </row>
    <row r="402521" spans="25:37" x14ac:dyDescent="0.2">
      <c r="Y402521" s="251"/>
      <c r="AB402521" s="251"/>
      <c r="AE402521" s="251"/>
      <c r="AH402521" s="251"/>
      <c r="AK402521" s="251"/>
    </row>
    <row r="402636" spans="25:37" x14ac:dyDescent="0.2">
      <c r="Y402636" s="5"/>
      <c r="AB402636" s="5"/>
      <c r="AE402636" s="5"/>
      <c r="AH402636" s="5"/>
      <c r="AK402636" s="5"/>
    </row>
    <row r="402646" spans="25:37" x14ac:dyDescent="0.2">
      <c r="Y402646" s="251"/>
      <c r="AB402646" s="251"/>
      <c r="AE402646" s="251"/>
      <c r="AH402646" s="251"/>
      <c r="AK402646" s="251"/>
    </row>
    <row r="402761" spans="25:37" x14ac:dyDescent="0.2">
      <c r="Y402761" s="5"/>
      <c r="AB402761" s="5"/>
      <c r="AE402761" s="5"/>
      <c r="AH402761" s="5"/>
      <c r="AK402761" s="5"/>
    </row>
    <row r="402771" spans="25:37" x14ac:dyDescent="0.2">
      <c r="Y402771" s="251"/>
      <c r="AB402771" s="251"/>
      <c r="AE402771" s="251"/>
      <c r="AH402771" s="251"/>
      <c r="AK402771" s="251"/>
    </row>
    <row r="402886" spans="25:37" x14ac:dyDescent="0.2">
      <c r="Y402886" s="5"/>
      <c r="AB402886" s="5"/>
      <c r="AE402886" s="5"/>
      <c r="AH402886" s="5"/>
      <c r="AK402886" s="5"/>
    </row>
    <row r="402896" spans="25:37" x14ac:dyDescent="0.2">
      <c r="Y402896" s="251"/>
      <c r="AB402896" s="251"/>
      <c r="AE402896" s="251"/>
      <c r="AH402896" s="251"/>
      <c r="AK402896" s="251"/>
    </row>
    <row r="403011" spans="25:37" x14ac:dyDescent="0.2">
      <c r="Y403011" s="5"/>
      <c r="AB403011" s="5"/>
      <c r="AE403011" s="5"/>
      <c r="AH403011" s="5"/>
      <c r="AK403011" s="5"/>
    </row>
    <row r="403021" spans="25:37" x14ac:dyDescent="0.2">
      <c r="Y403021" s="251"/>
      <c r="AB403021" s="251"/>
      <c r="AE403021" s="251"/>
      <c r="AH403021" s="251"/>
      <c r="AK403021" s="251"/>
    </row>
    <row r="403136" spans="25:37" x14ac:dyDescent="0.2">
      <c r="Y403136" s="5"/>
      <c r="AB403136" s="5"/>
      <c r="AE403136" s="5"/>
      <c r="AH403136" s="5"/>
      <c r="AK403136" s="5"/>
    </row>
    <row r="403146" spans="25:37" x14ac:dyDescent="0.2">
      <c r="Y403146" s="251"/>
      <c r="AB403146" s="251"/>
      <c r="AE403146" s="251"/>
      <c r="AH403146" s="251"/>
      <c r="AK403146" s="251"/>
    </row>
    <row r="403261" spans="25:37" x14ac:dyDescent="0.2">
      <c r="Y403261" s="5"/>
      <c r="AB403261" s="5"/>
      <c r="AE403261" s="5"/>
      <c r="AH403261" s="5"/>
      <c r="AK403261" s="5"/>
    </row>
    <row r="403271" spans="25:37" x14ac:dyDescent="0.2">
      <c r="Y403271" s="251"/>
      <c r="AB403271" s="251"/>
      <c r="AE403271" s="251"/>
      <c r="AH403271" s="251"/>
      <c r="AK403271" s="251"/>
    </row>
    <row r="403386" spans="25:37" x14ac:dyDescent="0.2">
      <c r="Y403386" s="5"/>
      <c r="AB403386" s="5"/>
      <c r="AE403386" s="5"/>
      <c r="AH403386" s="5"/>
      <c r="AK403386" s="5"/>
    </row>
    <row r="403396" spans="25:37" x14ac:dyDescent="0.2">
      <c r="Y403396" s="251"/>
      <c r="AB403396" s="251"/>
      <c r="AE403396" s="251"/>
      <c r="AH403396" s="251"/>
      <c r="AK403396" s="251"/>
    </row>
    <row r="403511" spans="25:37" x14ac:dyDescent="0.2">
      <c r="Y403511" s="5"/>
      <c r="AB403511" s="5"/>
      <c r="AE403511" s="5"/>
      <c r="AH403511" s="5"/>
      <c r="AK403511" s="5"/>
    </row>
    <row r="403521" spans="25:37" x14ac:dyDescent="0.2">
      <c r="Y403521" s="251"/>
      <c r="AB403521" s="251"/>
      <c r="AE403521" s="251"/>
      <c r="AH403521" s="251"/>
      <c r="AK403521" s="251"/>
    </row>
    <row r="403636" spans="25:37" x14ac:dyDescent="0.2">
      <c r="Y403636" s="5"/>
      <c r="AB403636" s="5"/>
      <c r="AE403636" s="5"/>
      <c r="AH403636" s="5"/>
      <c r="AK403636" s="5"/>
    </row>
    <row r="403646" spans="25:37" x14ac:dyDescent="0.2">
      <c r="Y403646" s="251"/>
      <c r="AB403646" s="251"/>
      <c r="AE403646" s="251"/>
      <c r="AH403646" s="251"/>
      <c r="AK403646" s="251"/>
    </row>
    <row r="403761" spans="25:37" x14ac:dyDescent="0.2">
      <c r="Y403761" s="5"/>
      <c r="AB403761" s="5"/>
      <c r="AE403761" s="5"/>
      <c r="AH403761" s="5"/>
      <c r="AK403761" s="5"/>
    </row>
    <row r="403771" spans="25:37" x14ac:dyDescent="0.2">
      <c r="Y403771" s="251"/>
      <c r="AB403771" s="251"/>
      <c r="AE403771" s="251"/>
      <c r="AH403771" s="251"/>
      <c r="AK403771" s="251"/>
    </row>
    <row r="403886" spans="25:37" x14ac:dyDescent="0.2">
      <c r="Y403886" s="5"/>
      <c r="AB403886" s="5"/>
      <c r="AE403886" s="5"/>
      <c r="AH403886" s="5"/>
      <c r="AK403886" s="5"/>
    </row>
    <row r="403896" spans="25:37" x14ac:dyDescent="0.2">
      <c r="Y403896" s="251"/>
      <c r="AB403896" s="251"/>
      <c r="AE403896" s="251"/>
      <c r="AH403896" s="251"/>
      <c r="AK403896" s="251"/>
    </row>
    <row r="404011" spans="25:37" x14ac:dyDescent="0.2">
      <c r="Y404011" s="5"/>
      <c r="AB404011" s="5"/>
      <c r="AE404011" s="5"/>
      <c r="AH404011" s="5"/>
      <c r="AK404011" s="5"/>
    </row>
    <row r="404021" spans="25:37" x14ac:dyDescent="0.2">
      <c r="Y404021" s="251"/>
      <c r="AB404021" s="251"/>
      <c r="AE404021" s="251"/>
      <c r="AH404021" s="251"/>
      <c r="AK404021" s="251"/>
    </row>
    <row r="404136" spans="25:37" x14ac:dyDescent="0.2">
      <c r="Y404136" s="5"/>
      <c r="AB404136" s="5"/>
      <c r="AE404136" s="5"/>
      <c r="AH404136" s="5"/>
      <c r="AK404136" s="5"/>
    </row>
    <row r="404146" spans="25:37" x14ac:dyDescent="0.2">
      <c r="Y404146" s="251"/>
      <c r="AB404146" s="251"/>
      <c r="AE404146" s="251"/>
      <c r="AH404146" s="251"/>
      <c r="AK404146" s="251"/>
    </row>
    <row r="404261" spans="25:37" x14ac:dyDescent="0.2">
      <c r="Y404261" s="5"/>
      <c r="AB404261" s="5"/>
      <c r="AE404261" s="5"/>
      <c r="AH404261" s="5"/>
      <c r="AK404261" s="5"/>
    </row>
    <row r="404271" spans="25:37" x14ac:dyDescent="0.2">
      <c r="Y404271" s="251"/>
      <c r="AB404271" s="251"/>
      <c r="AE404271" s="251"/>
      <c r="AH404271" s="251"/>
      <c r="AK404271" s="251"/>
    </row>
    <row r="404386" spans="25:37" x14ac:dyDescent="0.2">
      <c r="Y404386" s="5"/>
      <c r="AB404386" s="5"/>
      <c r="AE404386" s="5"/>
      <c r="AH404386" s="5"/>
      <c r="AK404386" s="5"/>
    </row>
    <row r="404396" spans="25:37" x14ac:dyDescent="0.2">
      <c r="Y404396" s="251"/>
      <c r="AB404396" s="251"/>
      <c r="AE404396" s="251"/>
      <c r="AH404396" s="251"/>
      <c r="AK404396" s="251"/>
    </row>
    <row r="404511" spans="25:37" x14ac:dyDescent="0.2">
      <c r="Y404511" s="5"/>
      <c r="AB404511" s="5"/>
      <c r="AE404511" s="5"/>
      <c r="AH404511" s="5"/>
      <c r="AK404511" s="5"/>
    </row>
    <row r="404521" spans="25:37" x14ac:dyDescent="0.2">
      <c r="Y404521" s="251"/>
      <c r="AB404521" s="251"/>
      <c r="AE404521" s="251"/>
      <c r="AH404521" s="251"/>
      <c r="AK404521" s="251"/>
    </row>
    <row r="404636" spans="25:37" x14ac:dyDescent="0.2">
      <c r="Y404636" s="5"/>
      <c r="AB404636" s="5"/>
      <c r="AE404636" s="5"/>
      <c r="AH404636" s="5"/>
      <c r="AK404636" s="5"/>
    </row>
    <row r="404646" spans="25:37" x14ac:dyDescent="0.2">
      <c r="Y404646" s="251"/>
      <c r="AB404646" s="251"/>
      <c r="AE404646" s="251"/>
      <c r="AH404646" s="251"/>
      <c r="AK404646" s="251"/>
    </row>
    <row r="404761" spans="25:37" x14ac:dyDescent="0.2">
      <c r="Y404761" s="5"/>
      <c r="AB404761" s="5"/>
      <c r="AE404761" s="5"/>
      <c r="AH404761" s="5"/>
      <c r="AK404761" s="5"/>
    </row>
    <row r="404771" spans="25:37" x14ac:dyDescent="0.2">
      <c r="Y404771" s="251"/>
      <c r="AB404771" s="251"/>
      <c r="AE404771" s="251"/>
      <c r="AH404771" s="251"/>
      <c r="AK404771" s="251"/>
    </row>
    <row r="404886" spans="25:37" x14ac:dyDescent="0.2">
      <c r="Y404886" s="5"/>
      <c r="AB404886" s="5"/>
      <c r="AE404886" s="5"/>
      <c r="AH404886" s="5"/>
      <c r="AK404886" s="5"/>
    </row>
    <row r="404896" spans="25:37" x14ac:dyDescent="0.2">
      <c r="Y404896" s="251"/>
      <c r="AB404896" s="251"/>
      <c r="AE404896" s="251"/>
      <c r="AH404896" s="251"/>
      <c r="AK404896" s="251"/>
    </row>
    <row r="405011" spans="25:37" x14ac:dyDescent="0.2">
      <c r="Y405011" s="5"/>
      <c r="AB405011" s="5"/>
      <c r="AE405011" s="5"/>
      <c r="AH405011" s="5"/>
      <c r="AK405011" s="5"/>
    </row>
    <row r="405021" spans="25:37" x14ac:dyDescent="0.2">
      <c r="Y405021" s="251"/>
      <c r="AB405021" s="251"/>
      <c r="AE405021" s="251"/>
      <c r="AH405021" s="251"/>
      <c r="AK405021" s="251"/>
    </row>
    <row r="405136" spans="25:37" x14ac:dyDescent="0.2">
      <c r="Y405136" s="5"/>
      <c r="AB405136" s="5"/>
      <c r="AE405136" s="5"/>
      <c r="AH405136" s="5"/>
      <c r="AK405136" s="5"/>
    </row>
    <row r="405146" spans="25:37" x14ac:dyDescent="0.2">
      <c r="Y405146" s="251"/>
      <c r="AB405146" s="251"/>
      <c r="AE405146" s="251"/>
      <c r="AH405146" s="251"/>
      <c r="AK405146" s="251"/>
    </row>
    <row r="405261" spans="25:37" x14ac:dyDescent="0.2">
      <c r="Y405261" s="5"/>
      <c r="AB405261" s="5"/>
      <c r="AE405261" s="5"/>
      <c r="AH405261" s="5"/>
      <c r="AK405261" s="5"/>
    </row>
    <row r="405271" spans="25:37" x14ac:dyDescent="0.2">
      <c r="Y405271" s="251"/>
      <c r="AB405271" s="251"/>
      <c r="AE405271" s="251"/>
      <c r="AH405271" s="251"/>
      <c r="AK405271" s="251"/>
    </row>
    <row r="405386" spans="25:37" x14ac:dyDescent="0.2">
      <c r="Y405386" s="5"/>
      <c r="AB405386" s="5"/>
      <c r="AE405386" s="5"/>
      <c r="AH405386" s="5"/>
      <c r="AK405386" s="5"/>
    </row>
    <row r="405396" spans="25:37" x14ac:dyDescent="0.2">
      <c r="Y405396" s="251"/>
      <c r="AB405396" s="251"/>
      <c r="AE405396" s="251"/>
      <c r="AH405396" s="251"/>
      <c r="AK405396" s="251"/>
    </row>
    <row r="405511" spans="25:37" x14ac:dyDescent="0.2">
      <c r="Y405511" s="5"/>
      <c r="AB405511" s="5"/>
      <c r="AE405511" s="5"/>
      <c r="AH405511" s="5"/>
      <c r="AK405511" s="5"/>
    </row>
    <row r="405521" spans="25:37" x14ac:dyDescent="0.2">
      <c r="Y405521" s="251"/>
      <c r="AB405521" s="251"/>
      <c r="AE405521" s="251"/>
      <c r="AH405521" s="251"/>
      <c r="AK405521" s="251"/>
    </row>
    <row r="405636" spans="25:37" x14ac:dyDescent="0.2">
      <c r="Y405636" s="5"/>
      <c r="AB405636" s="5"/>
      <c r="AE405636" s="5"/>
      <c r="AH405636" s="5"/>
      <c r="AK405636" s="5"/>
    </row>
    <row r="405646" spans="25:37" x14ac:dyDescent="0.2">
      <c r="Y405646" s="251"/>
      <c r="AB405646" s="251"/>
      <c r="AE405646" s="251"/>
      <c r="AH405646" s="251"/>
      <c r="AK405646" s="251"/>
    </row>
    <row r="405761" spans="25:37" x14ac:dyDescent="0.2">
      <c r="Y405761" s="5"/>
      <c r="AB405761" s="5"/>
      <c r="AE405761" s="5"/>
      <c r="AH405761" s="5"/>
      <c r="AK405761" s="5"/>
    </row>
    <row r="405771" spans="25:37" x14ac:dyDescent="0.2">
      <c r="Y405771" s="251"/>
      <c r="AB405771" s="251"/>
      <c r="AE405771" s="251"/>
      <c r="AH405771" s="251"/>
      <c r="AK405771" s="251"/>
    </row>
    <row r="405886" spans="25:37" x14ac:dyDescent="0.2">
      <c r="Y405886" s="5"/>
      <c r="AB405886" s="5"/>
      <c r="AE405886" s="5"/>
      <c r="AH405886" s="5"/>
      <c r="AK405886" s="5"/>
    </row>
    <row r="405896" spans="25:37" x14ac:dyDescent="0.2">
      <c r="Y405896" s="251"/>
      <c r="AB405896" s="251"/>
      <c r="AE405896" s="251"/>
      <c r="AH405896" s="251"/>
      <c r="AK405896" s="251"/>
    </row>
    <row r="406011" spans="25:37" x14ac:dyDescent="0.2">
      <c r="Y406011" s="5"/>
      <c r="AB406011" s="5"/>
      <c r="AE406011" s="5"/>
      <c r="AH406011" s="5"/>
      <c r="AK406011" s="5"/>
    </row>
    <row r="406021" spans="25:37" x14ac:dyDescent="0.2">
      <c r="Y406021" s="251"/>
      <c r="AB406021" s="251"/>
      <c r="AE406021" s="251"/>
      <c r="AH406021" s="251"/>
      <c r="AK406021" s="251"/>
    </row>
    <row r="406136" spans="25:37" x14ac:dyDescent="0.2">
      <c r="Y406136" s="5"/>
      <c r="AB406136" s="5"/>
      <c r="AE406136" s="5"/>
      <c r="AH406136" s="5"/>
      <c r="AK406136" s="5"/>
    </row>
    <row r="406146" spans="25:37" x14ac:dyDescent="0.2">
      <c r="Y406146" s="251"/>
      <c r="AB406146" s="251"/>
      <c r="AE406146" s="251"/>
      <c r="AH406146" s="251"/>
      <c r="AK406146" s="251"/>
    </row>
    <row r="406261" spans="25:37" x14ac:dyDescent="0.2">
      <c r="Y406261" s="5"/>
      <c r="AB406261" s="5"/>
      <c r="AE406261" s="5"/>
      <c r="AH406261" s="5"/>
      <c r="AK406261" s="5"/>
    </row>
    <row r="406271" spans="25:37" x14ac:dyDescent="0.2">
      <c r="Y406271" s="251"/>
      <c r="AB406271" s="251"/>
      <c r="AE406271" s="251"/>
      <c r="AH406271" s="251"/>
      <c r="AK406271" s="251"/>
    </row>
    <row r="406386" spans="25:37" x14ac:dyDescent="0.2">
      <c r="Y406386" s="5"/>
      <c r="AB406386" s="5"/>
      <c r="AE406386" s="5"/>
      <c r="AH406386" s="5"/>
      <c r="AK406386" s="5"/>
    </row>
    <row r="406396" spans="25:37" x14ac:dyDescent="0.2">
      <c r="Y406396" s="251"/>
      <c r="AB406396" s="251"/>
      <c r="AE406396" s="251"/>
      <c r="AH406396" s="251"/>
      <c r="AK406396" s="251"/>
    </row>
    <row r="406511" spans="25:37" x14ac:dyDescent="0.2">
      <c r="Y406511" s="5"/>
      <c r="AB406511" s="5"/>
      <c r="AE406511" s="5"/>
      <c r="AH406511" s="5"/>
      <c r="AK406511" s="5"/>
    </row>
    <row r="406521" spans="25:37" x14ac:dyDescent="0.2">
      <c r="Y406521" s="251"/>
      <c r="AB406521" s="251"/>
      <c r="AE406521" s="251"/>
      <c r="AH406521" s="251"/>
      <c r="AK406521" s="251"/>
    </row>
    <row r="406636" spans="25:37" x14ac:dyDescent="0.2">
      <c r="Y406636" s="5"/>
      <c r="AB406636" s="5"/>
      <c r="AE406636" s="5"/>
      <c r="AH406636" s="5"/>
      <c r="AK406636" s="5"/>
    </row>
    <row r="406646" spans="25:37" x14ac:dyDescent="0.2">
      <c r="Y406646" s="251"/>
      <c r="AB406646" s="251"/>
      <c r="AE406646" s="251"/>
      <c r="AH406646" s="251"/>
      <c r="AK406646" s="251"/>
    </row>
    <row r="406761" spans="25:37" x14ac:dyDescent="0.2">
      <c r="Y406761" s="5"/>
      <c r="AB406761" s="5"/>
      <c r="AE406761" s="5"/>
      <c r="AH406761" s="5"/>
      <c r="AK406761" s="5"/>
    </row>
    <row r="406771" spans="25:37" x14ac:dyDescent="0.2">
      <c r="Y406771" s="251"/>
      <c r="AB406771" s="251"/>
      <c r="AE406771" s="251"/>
      <c r="AH406771" s="251"/>
      <c r="AK406771" s="251"/>
    </row>
    <row r="406886" spans="25:37" x14ac:dyDescent="0.2">
      <c r="Y406886" s="5"/>
      <c r="AB406886" s="5"/>
      <c r="AE406886" s="5"/>
      <c r="AH406886" s="5"/>
      <c r="AK406886" s="5"/>
    </row>
    <row r="406896" spans="25:37" x14ac:dyDescent="0.2">
      <c r="Y406896" s="251"/>
      <c r="AB406896" s="251"/>
      <c r="AE406896" s="251"/>
      <c r="AH406896" s="251"/>
      <c r="AK406896" s="251"/>
    </row>
    <row r="407011" spans="25:37" x14ac:dyDescent="0.2">
      <c r="Y407011" s="5"/>
      <c r="AB407011" s="5"/>
      <c r="AE407011" s="5"/>
      <c r="AH407011" s="5"/>
      <c r="AK407011" s="5"/>
    </row>
    <row r="407021" spans="25:37" x14ac:dyDescent="0.2">
      <c r="Y407021" s="251"/>
      <c r="AB407021" s="251"/>
      <c r="AE407021" s="251"/>
      <c r="AH407021" s="251"/>
      <c r="AK407021" s="251"/>
    </row>
    <row r="407136" spans="25:37" x14ac:dyDescent="0.2">
      <c r="Y407136" s="5"/>
      <c r="AB407136" s="5"/>
      <c r="AE407136" s="5"/>
      <c r="AH407136" s="5"/>
      <c r="AK407136" s="5"/>
    </row>
    <row r="407146" spans="25:37" x14ac:dyDescent="0.2">
      <c r="Y407146" s="251"/>
      <c r="AB407146" s="251"/>
      <c r="AE407146" s="251"/>
      <c r="AH407146" s="251"/>
      <c r="AK407146" s="251"/>
    </row>
    <row r="407261" spans="25:37" x14ac:dyDescent="0.2">
      <c r="Y407261" s="5"/>
      <c r="AB407261" s="5"/>
      <c r="AE407261" s="5"/>
      <c r="AH407261" s="5"/>
      <c r="AK407261" s="5"/>
    </row>
    <row r="407271" spans="25:37" x14ac:dyDescent="0.2">
      <c r="Y407271" s="251"/>
      <c r="AB407271" s="251"/>
      <c r="AE407271" s="251"/>
      <c r="AH407271" s="251"/>
      <c r="AK407271" s="251"/>
    </row>
    <row r="407386" spans="25:37" x14ac:dyDescent="0.2">
      <c r="Y407386" s="5"/>
      <c r="AB407386" s="5"/>
      <c r="AE407386" s="5"/>
      <c r="AH407386" s="5"/>
      <c r="AK407386" s="5"/>
    </row>
    <row r="407396" spans="25:37" x14ac:dyDescent="0.2">
      <c r="Y407396" s="251"/>
      <c r="AB407396" s="251"/>
      <c r="AE407396" s="251"/>
      <c r="AH407396" s="251"/>
      <c r="AK407396" s="251"/>
    </row>
    <row r="407511" spans="25:37" x14ac:dyDescent="0.2">
      <c r="Y407511" s="5"/>
      <c r="AB407511" s="5"/>
      <c r="AE407511" s="5"/>
      <c r="AH407511" s="5"/>
      <c r="AK407511" s="5"/>
    </row>
    <row r="407521" spans="25:37" x14ac:dyDescent="0.2">
      <c r="Y407521" s="251"/>
      <c r="AB407521" s="251"/>
      <c r="AE407521" s="251"/>
      <c r="AH407521" s="251"/>
      <c r="AK407521" s="251"/>
    </row>
    <row r="407636" spans="25:37" x14ac:dyDescent="0.2">
      <c r="Y407636" s="5"/>
      <c r="AB407636" s="5"/>
      <c r="AE407636" s="5"/>
      <c r="AH407636" s="5"/>
      <c r="AK407636" s="5"/>
    </row>
    <row r="407646" spans="25:37" x14ac:dyDescent="0.2">
      <c r="Y407646" s="251"/>
      <c r="AB407646" s="251"/>
      <c r="AE407646" s="251"/>
      <c r="AH407646" s="251"/>
      <c r="AK407646" s="251"/>
    </row>
    <row r="407761" spans="25:37" x14ac:dyDescent="0.2">
      <c r="Y407761" s="5"/>
      <c r="AB407761" s="5"/>
      <c r="AE407761" s="5"/>
      <c r="AH407761" s="5"/>
      <c r="AK407761" s="5"/>
    </row>
    <row r="407771" spans="25:37" x14ac:dyDescent="0.2">
      <c r="Y407771" s="251"/>
      <c r="AB407771" s="251"/>
      <c r="AE407771" s="251"/>
      <c r="AH407771" s="251"/>
      <c r="AK407771" s="251"/>
    </row>
    <row r="407886" spans="25:37" x14ac:dyDescent="0.2">
      <c r="Y407886" s="5"/>
      <c r="AB407886" s="5"/>
      <c r="AE407886" s="5"/>
      <c r="AH407886" s="5"/>
      <c r="AK407886" s="5"/>
    </row>
    <row r="407896" spans="25:37" x14ac:dyDescent="0.2">
      <c r="Y407896" s="251"/>
      <c r="AB407896" s="251"/>
      <c r="AE407896" s="251"/>
      <c r="AH407896" s="251"/>
      <c r="AK407896" s="251"/>
    </row>
    <row r="408011" spans="25:37" x14ac:dyDescent="0.2">
      <c r="Y408011" s="5"/>
      <c r="AB408011" s="5"/>
      <c r="AE408011" s="5"/>
      <c r="AH408011" s="5"/>
      <c r="AK408011" s="5"/>
    </row>
    <row r="408021" spans="25:37" x14ac:dyDescent="0.2">
      <c r="Y408021" s="251"/>
      <c r="AB408021" s="251"/>
      <c r="AE408021" s="251"/>
      <c r="AH408021" s="251"/>
      <c r="AK408021" s="251"/>
    </row>
    <row r="408136" spans="25:37" x14ac:dyDescent="0.2">
      <c r="Y408136" s="5"/>
      <c r="AB408136" s="5"/>
      <c r="AE408136" s="5"/>
      <c r="AH408136" s="5"/>
      <c r="AK408136" s="5"/>
    </row>
    <row r="408146" spans="25:37" x14ac:dyDescent="0.2">
      <c r="Y408146" s="251"/>
      <c r="AB408146" s="251"/>
      <c r="AE408146" s="251"/>
      <c r="AH408146" s="251"/>
      <c r="AK408146" s="251"/>
    </row>
    <row r="408261" spans="25:37" x14ac:dyDescent="0.2">
      <c r="Y408261" s="5"/>
      <c r="AB408261" s="5"/>
      <c r="AE408261" s="5"/>
      <c r="AH408261" s="5"/>
      <c r="AK408261" s="5"/>
    </row>
    <row r="408271" spans="25:37" x14ac:dyDescent="0.2">
      <c r="Y408271" s="251"/>
      <c r="AB408271" s="251"/>
      <c r="AE408271" s="251"/>
      <c r="AH408271" s="251"/>
      <c r="AK408271" s="251"/>
    </row>
    <row r="408386" spans="25:37" x14ac:dyDescent="0.2">
      <c r="Y408386" s="5"/>
      <c r="AB408386" s="5"/>
      <c r="AE408386" s="5"/>
      <c r="AH408386" s="5"/>
      <c r="AK408386" s="5"/>
    </row>
    <row r="408396" spans="25:37" x14ac:dyDescent="0.2">
      <c r="Y408396" s="251"/>
      <c r="AB408396" s="251"/>
      <c r="AE408396" s="251"/>
      <c r="AH408396" s="251"/>
      <c r="AK408396" s="251"/>
    </row>
    <row r="408511" spans="25:37" x14ac:dyDescent="0.2">
      <c r="Y408511" s="5"/>
      <c r="AB408511" s="5"/>
      <c r="AE408511" s="5"/>
      <c r="AH408511" s="5"/>
      <c r="AK408511" s="5"/>
    </row>
    <row r="408521" spans="25:37" x14ac:dyDescent="0.2">
      <c r="Y408521" s="251"/>
      <c r="AB408521" s="251"/>
      <c r="AE408521" s="251"/>
      <c r="AH408521" s="251"/>
      <c r="AK408521" s="251"/>
    </row>
    <row r="408636" spans="25:37" x14ac:dyDescent="0.2">
      <c r="Y408636" s="5"/>
      <c r="AB408636" s="5"/>
      <c r="AE408636" s="5"/>
      <c r="AH408636" s="5"/>
      <c r="AK408636" s="5"/>
    </row>
    <row r="408646" spans="25:37" x14ac:dyDescent="0.2">
      <c r="Y408646" s="251"/>
      <c r="AB408646" s="251"/>
      <c r="AE408646" s="251"/>
      <c r="AH408646" s="251"/>
      <c r="AK408646" s="251"/>
    </row>
    <row r="408761" spans="25:37" x14ac:dyDescent="0.2">
      <c r="Y408761" s="5"/>
      <c r="AB408761" s="5"/>
      <c r="AE408761" s="5"/>
      <c r="AH408761" s="5"/>
      <c r="AK408761" s="5"/>
    </row>
    <row r="408771" spans="25:37" x14ac:dyDescent="0.2">
      <c r="Y408771" s="251"/>
      <c r="AB408771" s="251"/>
      <c r="AE408771" s="251"/>
      <c r="AH408771" s="251"/>
      <c r="AK408771" s="251"/>
    </row>
    <row r="408886" spans="25:37" x14ac:dyDescent="0.2">
      <c r="Y408886" s="5"/>
      <c r="AB408886" s="5"/>
      <c r="AE408886" s="5"/>
      <c r="AH408886" s="5"/>
      <c r="AK408886" s="5"/>
    </row>
    <row r="408896" spans="25:37" x14ac:dyDescent="0.2">
      <c r="Y408896" s="251"/>
      <c r="AB408896" s="251"/>
      <c r="AE408896" s="251"/>
      <c r="AH408896" s="251"/>
      <c r="AK408896" s="251"/>
    </row>
    <row r="409011" spans="25:37" x14ac:dyDescent="0.2">
      <c r="Y409011" s="5"/>
      <c r="AB409011" s="5"/>
      <c r="AE409011" s="5"/>
      <c r="AH409011" s="5"/>
      <c r="AK409011" s="5"/>
    </row>
    <row r="409021" spans="25:37" x14ac:dyDescent="0.2">
      <c r="Y409021" s="251"/>
      <c r="AB409021" s="251"/>
      <c r="AE409021" s="251"/>
      <c r="AH409021" s="251"/>
      <c r="AK409021" s="251"/>
    </row>
    <row r="409136" spans="25:37" x14ac:dyDescent="0.2">
      <c r="Y409136" s="5"/>
      <c r="AB409136" s="5"/>
      <c r="AE409136" s="5"/>
      <c r="AH409136" s="5"/>
      <c r="AK409136" s="5"/>
    </row>
    <row r="409146" spans="25:37" x14ac:dyDescent="0.2">
      <c r="Y409146" s="251"/>
      <c r="AB409146" s="251"/>
      <c r="AE409146" s="251"/>
      <c r="AH409146" s="251"/>
      <c r="AK409146" s="251"/>
    </row>
    <row r="409261" spans="25:37" x14ac:dyDescent="0.2">
      <c r="Y409261" s="5"/>
      <c r="AB409261" s="5"/>
      <c r="AE409261" s="5"/>
      <c r="AH409261" s="5"/>
      <c r="AK409261" s="5"/>
    </row>
    <row r="409271" spans="25:37" x14ac:dyDescent="0.2">
      <c r="Y409271" s="251"/>
      <c r="AB409271" s="251"/>
      <c r="AE409271" s="251"/>
      <c r="AH409271" s="251"/>
      <c r="AK409271" s="251"/>
    </row>
    <row r="409386" spans="25:37" x14ac:dyDescent="0.2">
      <c r="Y409386" s="5"/>
      <c r="AB409386" s="5"/>
      <c r="AE409386" s="5"/>
      <c r="AH409386" s="5"/>
      <c r="AK409386" s="5"/>
    </row>
    <row r="409396" spans="25:37" x14ac:dyDescent="0.2">
      <c r="Y409396" s="251"/>
      <c r="AB409396" s="251"/>
      <c r="AE409396" s="251"/>
      <c r="AH409396" s="251"/>
      <c r="AK409396" s="251"/>
    </row>
    <row r="409511" spans="25:37" x14ac:dyDescent="0.2">
      <c r="Y409511" s="5"/>
      <c r="AB409511" s="5"/>
      <c r="AE409511" s="5"/>
      <c r="AH409511" s="5"/>
      <c r="AK409511" s="5"/>
    </row>
    <row r="409521" spans="25:37" x14ac:dyDescent="0.2">
      <c r="Y409521" s="251"/>
      <c r="AB409521" s="251"/>
      <c r="AE409521" s="251"/>
      <c r="AH409521" s="251"/>
      <c r="AK409521" s="251"/>
    </row>
    <row r="409636" spans="25:37" x14ac:dyDescent="0.2">
      <c r="Y409636" s="5"/>
      <c r="AB409636" s="5"/>
      <c r="AE409636" s="5"/>
      <c r="AH409636" s="5"/>
      <c r="AK409636" s="5"/>
    </row>
    <row r="409646" spans="25:37" x14ac:dyDescent="0.2">
      <c r="Y409646" s="251"/>
      <c r="AB409646" s="251"/>
      <c r="AE409646" s="251"/>
      <c r="AH409646" s="251"/>
      <c r="AK409646" s="251"/>
    </row>
    <row r="409761" spans="25:37" x14ac:dyDescent="0.2">
      <c r="Y409761" s="5"/>
      <c r="AB409761" s="5"/>
      <c r="AE409761" s="5"/>
      <c r="AH409761" s="5"/>
      <c r="AK409761" s="5"/>
    </row>
    <row r="409771" spans="25:37" x14ac:dyDescent="0.2">
      <c r="Y409771" s="251"/>
      <c r="AB409771" s="251"/>
      <c r="AE409771" s="251"/>
      <c r="AH409771" s="251"/>
      <c r="AK409771" s="251"/>
    </row>
    <row r="409886" spans="25:37" x14ac:dyDescent="0.2">
      <c r="Y409886" s="5"/>
      <c r="AB409886" s="5"/>
      <c r="AE409886" s="5"/>
      <c r="AH409886" s="5"/>
      <c r="AK409886" s="5"/>
    </row>
    <row r="409896" spans="25:37" x14ac:dyDescent="0.2">
      <c r="Y409896" s="251"/>
      <c r="AB409896" s="251"/>
      <c r="AE409896" s="251"/>
      <c r="AH409896" s="251"/>
      <c r="AK409896" s="251"/>
    </row>
    <row r="410011" spans="25:37" x14ac:dyDescent="0.2">
      <c r="Y410011" s="5"/>
      <c r="AB410011" s="5"/>
      <c r="AE410011" s="5"/>
      <c r="AH410011" s="5"/>
      <c r="AK410011" s="5"/>
    </row>
    <row r="410021" spans="25:37" x14ac:dyDescent="0.2">
      <c r="Y410021" s="251"/>
      <c r="AB410021" s="251"/>
      <c r="AE410021" s="251"/>
      <c r="AH410021" s="251"/>
      <c r="AK410021" s="251"/>
    </row>
    <row r="410136" spans="25:37" x14ac:dyDescent="0.2">
      <c r="Y410136" s="5"/>
      <c r="AB410136" s="5"/>
      <c r="AE410136" s="5"/>
      <c r="AH410136" s="5"/>
      <c r="AK410136" s="5"/>
    </row>
    <row r="410146" spans="25:37" x14ac:dyDescent="0.2">
      <c r="Y410146" s="251"/>
      <c r="AB410146" s="251"/>
      <c r="AE410146" s="251"/>
      <c r="AH410146" s="251"/>
      <c r="AK410146" s="251"/>
    </row>
    <row r="410261" spans="25:37" x14ac:dyDescent="0.2">
      <c r="Y410261" s="5"/>
      <c r="AB410261" s="5"/>
      <c r="AE410261" s="5"/>
      <c r="AH410261" s="5"/>
      <c r="AK410261" s="5"/>
    </row>
    <row r="410271" spans="25:37" x14ac:dyDescent="0.2">
      <c r="Y410271" s="251"/>
      <c r="AB410271" s="251"/>
      <c r="AE410271" s="251"/>
      <c r="AH410271" s="251"/>
      <c r="AK410271" s="251"/>
    </row>
    <row r="410386" spans="25:37" x14ac:dyDescent="0.2">
      <c r="Y410386" s="5"/>
      <c r="AB410386" s="5"/>
      <c r="AE410386" s="5"/>
      <c r="AH410386" s="5"/>
      <c r="AK410386" s="5"/>
    </row>
    <row r="410396" spans="25:37" x14ac:dyDescent="0.2">
      <c r="Y410396" s="251"/>
      <c r="AB410396" s="251"/>
      <c r="AE410396" s="251"/>
      <c r="AH410396" s="251"/>
      <c r="AK410396" s="251"/>
    </row>
    <row r="410511" spans="25:37" x14ac:dyDescent="0.2">
      <c r="Y410511" s="5"/>
      <c r="AB410511" s="5"/>
      <c r="AE410511" s="5"/>
      <c r="AH410511" s="5"/>
      <c r="AK410511" s="5"/>
    </row>
    <row r="410521" spans="25:37" x14ac:dyDescent="0.2">
      <c r="Y410521" s="251"/>
      <c r="AB410521" s="251"/>
      <c r="AE410521" s="251"/>
      <c r="AH410521" s="251"/>
      <c r="AK410521" s="251"/>
    </row>
    <row r="410636" spans="25:37" x14ac:dyDescent="0.2">
      <c r="Y410636" s="5"/>
      <c r="AB410636" s="5"/>
      <c r="AE410636" s="5"/>
      <c r="AH410636" s="5"/>
      <c r="AK410636" s="5"/>
    </row>
    <row r="410646" spans="25:37" x14ac:dyDescent="0.2">
      <c r="Y410646" s="251"/>
      <c r="AB410646" s="251"/>
      <c r="AE410646" s="251"/>
      <c r="AH410646" s="251"/>
      <c r="AK410646" s="251"/>
    </row>
    <row r="410761" spans="25:37" x14ac:dyDescent="0.2">
      <c r="Y410761" s="5"/>
      <c r="AB410761" s="5"/>
      <c r="AE410761" s="5"/>
      <c r="AH410761" s="5"/>
      <c r="AK410761" s="5"/>
    </row>
    <row r="410771" spans="25:37" x14ac:dyDescent="0.2">
      <c r="Y410771" s="251"/>
      <c r="AB410771" s="251"/>
      <c r="AE410771" s="251"/>
      <c r="AH410771" s="251"/>
      <c r="AK410771" s="251"/>
    </row>
    <row r="410886" spans="25:37" x14ac:dyDescent="0.2">
      <c r="Y410886" s="5"/>
      <c r="AB410886" s="5"/>
      <c r="AE410886" s="5"/>
      <c r="AH410886" s="5"/>
      <c r="AK410886" s="5"/>
    </row>
    <row r="410896" spans="25:37" x14ac:dyDescent="0.2">
      <c r="Y410896" s="251"/>
      <c r="AB410896" s="251"/>
      <c r="AE410896" s="251"/>
      <c r="AH410896" s="251"/>
      <c r="AK410896" s="251"/>
    </row>
    <row r="411011" spans="25:37" x14ac:dyDescent="0.2">
      <c r="Y411011" s="5"/>
      <c r="AB411011" s="5"/>
      <c r="AE411011" s="5"/>
      <c r="AH411011" s="5"/>
      <c r="AK411011" s="5"/>
    </row>
    <row r="411021" spans="25:37" x14ac:dyDescent="0.2">
      <c r="Y411021" s="251"/>
      <c r="AB411021" s="251"/>
      <c r="AE411021" s="251"/>
      <c r="AH411021" s="251"/>
      <c r="AK411021" s="251"/>
    </row>
    <row r="411136" spans="25:37" x14ac:dyDescent="0.2">
      <c r="Y411136" s="5"/>
      <c r="AB411136" s="5"/>
      <c r="AE411136" s="5"/>
      <c r="AH411136" s="5"/>
      <c r="AK411136" s="5"/>
    </row>
    <row r="411146" spans="25:37" x14ac:dyDescent="0.2">
      <c r="Y411146" s="251"/>
      <c r="AB411146" s="251"/>
      <c r="AE411146" s="251"/>
      <c r="AH411146" s="251"/>
      <c r="AK411146" s="251"/>
    </row>
    <row r="411261" spans="25:37" x14ac:dyDescent="0.2">
      <c r="Y411261" s="5"/>
      <c r="AB411261" s="5"/>
      <c r="AE411261" s="5"/>
      <c r="AH411261" s="5"/>
      <c r="AK411261" s="5"/>
    </row>
    <row r="411271" spans="25:37" x14ac:dyDescent="0.2">
      <c r="Y411271" s="251"/>
      <c r="AB411271" s="251"/>
      <c r="AE411271" s="251"/>
      <c r="AH411271" s="251"/>
      <c r="AK411271" s="251"/>
    </row>
    <row r="411386" spans="25:37" x14ac:dyDescent="0.2">
      <c r="Y411386" s="5"/>
      <c r="AB411386" s="5"/>
      <c r="AE411386" s="5"/>
      <c r="AH411386" s="5"/>
      <c r="AK411386" s="5"/>
    </row>
    <row r="411396" spans="25:37" x14ac:dyDescent="0.2">
      <c r="Y411396" s="251"/>
      <c r="AB411396" s="251"/>
      <c r="AE411396" s="251"/>
      <c r="AH411396" s="251"/>
      <c r="AK411396" s="251"/>
    </row>
    <row r="411511" spans="25:37" x14ac:dyDescent="0.2">
      <c r="Y411511" s="5"/>
      <c r="AB411511" s="5"/>
      <c r="AE411511" s="5"/>
      <c r="AH411511" s="5"/>
      <c r="AK411511" s="5"/>
    </row>
    <row r="411521" spans="25:37" x14ac:dyDescent="0.2">
      <c r="Y411521" s="251"/>
      <c r="AB411521" s="251"/>
      <c r="AE411521" s="251"/>
      <c r="AH411521" s="251"/>
      <c r="AK411521" s="251"/>
    </row>
    <row r="411636" spans="25:37" x14ac:dyDescent="0.2">
      <c r="Y411636" s="5"/>
      <c r="AB411636" s="5"/>
      <c r="AE411636" s="5"/>
      <c r="AH411636" s="5"/>
      <c r="AK411636" s="5"/>
    </row>
    <row r="411646" spans="25:37" x14ac:dyDescent="0.2">
      <c r="Y411646" s="251"/>
      <c r="AB411646" s="251"/>
      <c r="AE411646" s="251"/>
      <c r="AH411646" s="251"/>
      <c r="AK411646" s="251"/>
    </row>
    <row r="411761" spans="25:37" x14ac:dyDescent="0.2">
      <c r="Y411761" s="5"/>
      <c r="AB411761" s="5"/>
      <c r="AE411761" s="5"/>
      <c r="AH411761" s="5"/>
      <c r="AK411761" s="5"/>
    </row>
    <row r="411771" spans="25:37" x14ac:dyDescent="0.2">
      <c r="Y411771" s="251"/>
      <c r="AB411771" s="251"/>
      <c r="AE411771" s="251"/>
      <c r="AH411771" s="251"/>
      <c r="AK411771" s="251"/>
    </row>
    <row r="411886" spans="25:37" x14ac:dyDescent="0.2">
      <c r="Y411886" s="5"/>
      <c r="AB411886" s="5"/>
      <c r="AE411886" s="5"/>
      <c r="AH411886" s="5"/>
      <c r="AK411886" s="5"/>
    </row>
    <row r="411896" spans="25:37" x14ac:dyDescent="0.2">
      <c r="Y411896" s="251"/>
      <c r="AB411896" s="251"/>
      <c r="AE411896" s="251"/>
      <c r="AH411896" s="251"/>
      <c r="AK411896" s="251"/>
    </row>
    <row r="412011" spans="25:37" x14ac:dyDescent="0.2">
      <c r="Y412011" s="5"/>
      <c r="AB412011" s="5"/>
      <c r="AE412011" s="5"/>
      <c r="AH412011" s="5"/>
      <c r="AK412011" s="5"/>
    </row>
    <row r="412021" spans="25:37" x14ac:dyDescent="0.2">
      <c r="Y412021" s="251"/>
      <c r="AB412021" s="251"/>
      <c r="AE412021" s="251"/>
      <c r="AH412021" s="251"/>
      <c r="AK412021" s="251"/>
    </row>
    <row r="412136" spans="25:37" x14ac:dyDescent="0.2">
      <c r="Y412136" s="5"/>
      <c r="AB412136" s="5"/>
      <c r="AE412136" s="5"/>
      <c r="AH412136" s="5"/>
      <c r="AK412136" s="5"/>
    </row>
    <row r="412146" spans="25:37" x14ac:dyDescent="0.2">
      <c r="Y412146" s="251"/>
      <c r="AB412146" s="251"/>
      <c r="AE412146" s="251"/>
      <c r="AH412146" s="251"/>
      <c r="AK412146" s="251"/>
    </row>
    <row r="412261" spans="25:37" x14ac:dyDescent="0.2">
      <c r="Y412261" s="5"/>
      <c r="AB412261" s="5"/>
      <c r="AE412261" s="5"/>
      <c r="AH412261" s="5"/>
      <c r="AK412261" s="5"/>
    </row>
    <row r="412271" spans="25:37" x14ac:dyDescent="0.2">
      <c r="Y412271" s="251"/>
      <c r="AB412271" s="251"/>
      <c r="AE412271" s="251"/>
      <c r="AH412271" s="251"/>
      <c r="AK412271" s="251"/>
    </row>
    <row r="412386" spans="25:37" x14ac:dyDescent="0.2">
      <c r="Y412386" s="5"/>
      <c r="AB412386" s="5"/>
      <c r="AE412386" s="5"/>
      <c r="AH412386" s="5"/>
      <c r="AK412386" s="5"/>
    </row>
    <row r="412396" spans="25:37" x14ac:dyDescent="0.2">
      <c r="Y412396" s="251"/>
      <c r="AB412396" s="251"/>
      <c r="AE412396" s="251"/>
      <c r="AH412396" s="251"/>
      <c r="AK412396" s="251"/>
    </row>
    <row r="412511" spans="25:37" x14ac:dyDescent="0.2">
      <c r="Y412511" s="5"/>
      <c r="AB412511" s="5"/>
      <c r="AE412511" s="5"/>
      <c r="AH412511" s="5"/>
      <c r="AK412511" s="5"/>
    </row>
    <row r="412521" spans="25:37" x14ac:dyDescent="0.2">
      <c r="Y412521" s="251"/>
      <c r="AB412521" s="251"/>
      <c r="AE412521" s="251"/>
      <c r="AH412521" s="251"/>
      <c r="AK412521" s="251"/>
    </row>
    <row r="412636" spans="25:37" x14ac:dyDescent="0.2">
      <c r="Y412636" s="5"/>
      <c r="AB412636" s="5"/>
      <c r="AE412636" s="5"/>
      <c r="AH412636" s="5"/>
      <c r="AK412636" s="5"/>
    </row>
    <row r="412646" spans="25:37" x14ac:dyDescent="0.2">
      <c r="Y412646" s="251"/>
      <c r="AB412646" s="251"/>
      <c r="AE412646" s="251"/>
      <c r="AH412646" s="251"/>
      <c r="AK412646" s="251"/>
    </row>
    <row r="412761" spans="25:37" x14ac:dyDescent="0.2">
      <c r="Y412761" s="5"/>
      <c r="AB412761" s="5"/>
      <c r="AE412761" s="5"/>
      <c r="AH412761" s="5"/>
      <c r="AK412761" s="5"/>
    </row>
    <row r="412771" spans="25:37" x14ac:dyDescent="0.2">
      <c r="Y412771" s="251"/>
      <c r="AB412771" s="251"/>
      <c r="AE412771" s="251"/>
      <c r="AH412771" s="251"/>
      <c r="AK412771" s="251"/>
    </row>
    <row r="412886" spans="25:37" x14ac:dyDescent="0.2">
      <c r="Y412886" s="5"/>
      <c r="AB412886" s="5"/>
      <c r="AE412886" s="5"/>
      <c r="AH412886" s="5"/>
      <c r="AK412886" s="5"/>
    </row>
    <row r="412896" spans="25:37" x14ac:dyDescent="0.2">
      <c r="Y412896" s="251"/>
      <c r="AB412896" s="251"/>
      <c r="AE412896" s="251"/>
      <c r="AH412896" s="251"/>
      <c r="AK412896" s="251"/>
    </row>
    <row r="413011" spans="25:37" x14ac:dyDescent="0.2">
      <c r="Y413011" s="5"/>
      <c r="AB413011" s="5"/>
      <c r="AE413011" s="5"/>
      <c r="AH413011" s="5"/>
      <c r="AK413011" s="5"/>
    </row>
    <row r="413021" spans="25:37" x14ac:dyDescent="0.2">
      <c r="Y413021" s="251"/>
      <c r="AB413021" s="251"/>
      <c r="AE413021" s="251"/>
      <c r="AH413021" s="251"/>
      <c r="AK413021" s="251"/>
    </row>
    <row r="413136" spans="25:37" x14ac:dyDescent="0.2">
      <c r="Y413136" s="5"/>
      <c r="AB413136" s="5"/>
      <c r="AE413136" s="5"/>
      <c r="AH413136" s="5"/>
      <c r="AK413136" s="5"/>
    </row>
    <row r="413146" spans="25:37" x14ac:dyDescent="0.2">
      <c r="Y413146" s="251"/>
      <c r="AB413146" s="251"/>
      <c r="AE413146" s="251"/>
      <c r="AH413146" s="251"/>
      <c r="AK413146" s="251"/>
    </row>
    <row r="413261" spans="25:37" x14ac:dyDescent="0.2">
      <c r="Y413261" s="5"/>
      <c r="AB413261" s="5"/>
      <c r="AE413261" s="5"/>
      <c r="AH413261" s="5"/>
      <c r="AK413261" s="5"/>
    </row>
    <row r="413271" spans="25:37" x14ac:dyDescent="0.2">
      <c r="Y413271" s="251"/>
      <c r="AB413271" s="251"/>
      <c r="AE413271" s="251"/>
      <c r="AH413271" s="251"/>
      <c r="AK413271" s="251"/>
    </row>
    <row r="413386" spans="25:37" x14ac:dyDescent="0.2">
      <c r="Y413386" s="5"/>
      <c r="AB413386" s="5"/>
      <c r="AE413386" s="5"/>
      <c r="AH413386" s="5"/>
      <c r="AK413386" s="5"/>
    </row>
    <row r="413396" spans="25:37" x14ac:dyDescent="0.2">
      <c r="Y413396" s="251"/>
      <c r="AB413396" s="251"/>
      <c r="AE413396" s="251"/>
      <c r="AH413396" s="251"/>
      <c r="AK413396" s="251"/>
    </row>
    <row r="413511" spans="25:37" x14ac:dyDescent="0.2">
      <c r="Y413511" s="5"/>
      <c r="AB413511" s="5"/>
      <c r="AE413511" s="5"/>
      <c r="AH413511" s="5"/>
      <c r="AK413511" s="5"/>
    </row>
    <row r="413521" spans="25:37" x14ac:dyDescent="0.2">
      <c r="Y413521" s="251"/>
      <c r="AB413521" s="251"/>
      <c r="AE413521" s="251"/>
      <c r="AH413521" s="251"/>
      <c r="AK413521" s="251"/>
    </row>
    <row r="413636" spans="25:37" x14ac:dyDescent="0.2">
      <c r="Y413636" s="5"/>
      <c r="AB413636" s="5"/>
      <c r="AE413636" s="5"/>
      <c r="AH413636" s="5"/>
      <c r="AK413636" s="5"/>
    </row>
    <row r="413646" spans="25:37" x14ac:dyDescent="0.2">
      <c r="Y413646" s="251"/>
      <c r="AB413646" s="251"/>
      <c r="AE413646" s="251"/>
      <c r="AH413646" s="251"/>
      <c r="AK413646" s="251"/>
    </row>
    <row r="413761" spans="25:37" x14ac:dyDescent="0.2">
      <c r="Y413761" s="5"/>
      <c r="AB413761" s="5"/>
      <c r="AE413761" s="5"/>
      <c r="AH413761" s="5"/>
      <c r="AK413761" s="5"/>
    </row>
    <row r="413771" spans="25:37" x14ac:dyDescent="0.2">
      <c r="Y413771" s="251"/>
      <c r="AB413771" s="251"/>
      <c r="AE413771" s="251"/>
      <c r="AH413771" s="251"/>
      <c r="AK413771" s="251"/>
    </row>
    <row r="413886" spans="25:37" x14ac:dyDescent="0.2">
      <c r="Y413886" s="5"/>
      <c r="AB413886" s="5"/>
      <c r="AE413886" s="5"/>
      <c r="AH413886" s="5"/>
      <c r="AK413886" s="5"/>
    </row>
    <row r="413896" spans="25:37" x14ac:dyDescent="0.2">
      <c r="Y413896" s="251"/>
      <c r="AB413896" s="251"/>
      <c r="AE413896" s="251"/>
      <c r="AH413896" s="251"/>
      <c r="AK413896" s="251"/>
    </row>
    <row r="414011" spans="25:37" x14ac:dyDescent="0.2">
      <c r="Y414011" s="5"/>
      <c r="AB414011" s="5"/>
      <c r="AE414011" s="5"/>
      <c r="AH414011" s="5"/>
      <c r="AK414011" s="5"/>
    </row>
    <row r="414021" spans="25:37" x14ac:dyDescent="0.2">
      <c r="Y414021" s="251"/>
      <c r="AB414021" s="251"/>
      <c r="AE414021" s="251"/>
      <c r="AH414021" s="251"/>
      <c r="AK414021" s="251"/>
    </row>
    <row r="414136" spans="25:37" x14ac:dyDescent="0.2">
      <c r="Y414136" s="5"/>
      <c r="AB414136" s="5"/>
      <c r="AE414136" s="5"/>
      <c r="AH414136" s="5"/>
      <c r="AK414136" s="5"/>
    </row>
    <row r="414146" spans="25:37" x14ac:dyDescent="0.2">
      <c r="Y414146" s="251"/>
      <c r="AB414146" s="251"/>
      <c r="AE414146" s="251"/>
      <c r="AH414146" s="251"/>
      <c r="AK414146" s="251"/>
    </row>
    <row r="414261" spans="25:37" x14ac:dyDescent="0.2">
      <c r="Y414261" s="5"/>
      <c r="AB414261" s="5"/>
      <c r="AE414261" s="5"/>
      <c r="AH414261" s="5"/>
      <c r="AK414261" s="5"/>
    </row>
    <row r="414271" spans="25:37" x14ac:dyDescent="0.2">
      <c r="Y414271" s="251"/>
      <c r="AB414271" s="251"/>
      <c r="AE414271" s="251"/>
      <c r="AH414271" s="251"/>
      <c r="AK414271" s="251"/>
    </row>
    <row r="414386" spans="25:37" x14ac:dyDescent="0.2">
      <c r="Y414386" s="5"/>
      <c r="AB414386" s="5"/>
      <c r="AE414386" s="5"/>
      <c r="AH414386" s="5"/>
      <c r="AK414386" s="5"/>
    </row>
    <row r="414396" spans="25:37" x14ac:dyDescent="0.2">
      <c r="Y414396" s="251"/>
      <c r="AB414396" s="251"/>
      <c r="AE414396" s="251"/>
      <c r="AH414396" s="251"/>
      <c r="AK414396" s="251"/>
    </row>
    <row r="414511" spans="25:37" x14ac:dyDescent="0.2">
      <c r="Y414511" s="5"/>
      <c r="AB414511" s="5"/>
      <c r="AE414511" s="5"/>
      <c r="AH414511" s="5"/>
      <c r="AK414511" s="5"/>
    </row>
    <row r="414521" spans="25:37" x14ac:dyDescent="0.2">
      <c r="Y414521" s="251"/>
      <c r="AB414521" s="251"/>
      <c r="AE414521" s="251"/>
      <c r="AH414521" s="251"/>
      <c r="AK414521" s="251"/>
    </row>
    <row r="414636" spans="25:37" x14ac:dyDescent="0.2">
      <c r="Y414636" s="5"/>
      <c r="AB414636" s="5"/>
      <c r="AE414636" s="5"/>
      <c r="AH414636" s="5"/>
      <c r="AK414636" s="5"/>
    </row>
    <row r="414646" spans="25:37" x14ac:dyDescent="0.2">
      <c r="Y414646" s="251"/>
      <c r="AB414646" s="251"/>
      <c r="AE414646" s="251"/>
      <c r="AH414646" s="251"/>
      <c r="AK414646" s="251"/>
    </row>
    <row r="414761" spans="25:37" x14ac:dyDescent="0.2">
      <c r="Y414761" s="5"/>
      <c r="AB414761" s="5"/>
      <c r="AE414761" s="5"/>
      <c r="AH414761" s="5"/>
      <c r="AK414761" s="5"/>
    </row>
    <row r="414771" spans="25:37" x14ac:dyDescent="0.2">
      <c r="Y414771" s="251"/>
      <c r="AB414771" s="251"/>
      <c r="AE414771" s="251"/>
      <c r="AH414771" s="251"/>
      <c r="AK414771" s="251"/>
    </row>
    <row r="414886" spans="25:37" x14ac:dyDescent="0.2">
      <c r="Y414886" s="5"/>
      <c r="AB414886" s="5"/>
      <c r="AE414886" s="5"/>
      <c r="AH414886" s="5"/>
      <c r="AK414886" s="5"/>
    </row>
    <row r="414896" spans="25:37" x14ac:dyDescent="0.2">
      <c r="Y414896" s="251"/>
      <c r="AB414896" s="251"/>
      <c r="AE414896" s="251"/>
      <c r="AH414896" s="251"/>
      <c r="AK414896" s="251"/>
    </row>
    <row r="415011" spans="25:37" x14ac:dyDescent="0.2">
      <c r="Y415011" s="5"/>
      <c r="AB415011" s="5"/>
      <c r="AE415011" s="5"/>
      <c r="AH415011" s="5"/>
      <c r="AK415011" s="5"/>
    </row>
    <row r="415021" spans="25:37" x14ac:dyDescent="0.2">
      <c r="Y415021" s="251"/>
      <c r="AB415021" s="251"/>
      <c r="AE415021" s="251"/>
      <c r="AH415021" s="251"/>
      <c r="AK415021" s="251"/>
    </row>
    <row r="415136" spans="25:37" x14ac:dyDescent="0.2">
      <c r="Y415136" s="5"/>
      <c r="AB415136" s="5"/>
      <c r="AE415136" s="5"/>
      <c r="AH415136" s="5"/>
      <c r="AK415136" s="5"/>
    </row>
    <row r="415146" spans="25:37" x14ac:dyDescent="0.2">
      <c r="Y415146" s="251"/>
      <c r="AB415146" s="251"/>
      <c r="AE415146" s="251"/>
      <c r="AH415146" s="251"/>
      <c r="AK415146" s="251"/>
    </row>
    <row r="415261" spans="25:37" x14ac:dyDescent="0.2">
      <c r="Y415261" s="5"/>
      <c r="AB415261" s="5"/>
      <c r="AE415261" s="5"/>
      <c r="AH415261" s="5"/>
      <c r="AK415261" s="5"/>
    </row>
    <row r="415271" spans="25:37" x14ac:dyDescent="0.2">
      <c r="Y415271" s="251"/>
      <c r="AB415271" s="251"/>
      <c r="AE415271" s="251"/>
      <c r="AH415271" s="251"/>
      <c r="AK415271" s="251"/>
    </row>
    <row r="415386" spans="25:37" x14ac:dyDescent="0.2">
      <c r="Y415386" s="5"/>
      <c r="AB415386" s="5"/>
      <c r="AE415386" s="5"/>
      <c r="AH415386" s="5"/>
      <c r="AK415386" s="5"/>
    </row>
    <row r="415396" spans="25:37" x14ac:dyDescent="0.2">
      <c r="Y415396" s="251"/>
      <c r="AB415396" s="251"/>
      <c r="AE415396" s="251"/>
      <c r="AH415396" s="251"/>
      <c r="AK415396" s="251"/>
    </row>
    <row r="415511" spans="25:37" x14ac:dyDescent="0.2">
      <c r="Y415511" s="5"/>
      <c r="AB415511" s="5"/>
      <c r="AE415511" s="5"/>
      <c r="AH415511" s="5"/>
      <c r="AK415511" s="5"/>
    </row>
    <row r="415521" spans="25:37" x14ac:dyDescent="0.2">
      <c r="Y415521" s="251"/>
      <c r="AB415521" s="251"/>
      <c r="AE415521" s="251"/>
      <c r="AH415521" s="251"/>
      <c r="AK415521" s="251"/>
    </row>
    <row r="415636" spans="25:37" x14ac:dyDescent="0.2">
      <c r="Y415636" s="5"/>
      <c r="AB415636" s="5"/>
      <c r="AE415636" s="5"/>
      <c r="AH415636" s="5"/>
      <c r="AK415636" s="5"/>
    </row>
    <row r="415646" spans="25:37" x14ac:dyDescent="0.2">
      <c r="Y415646" s="251"/>
      <c r="AB415646" s="251"/>
      <c r="AE415646" s="251"/>
      <c r="AH415646" s="251"/>
      <c r="AK415646" s="251"/>
    </row>
    <row r="415761" spans="25:37" x14ac:dyDescent="0.2">
      <c r="Y415761" s="5"/>
      <c r="AB415761" s="5"/>
      <c r="AE415761" s="5"/>
      <c r="AH415761" s="5"/>
      <c r="AK415761" s="5"/>
    </row>
    <row r="415771" spans="25:37" x14ac:dyDescent="0.2">
      <c r="Y415771" s="251"/>
      <c r="AB415771" s="251"/>
      <c r="AE415771" s="251"/>
      <c r="AH415771" s="251"/>
      <c r="AK415771" s="251"/>
    </row>
    <row r="415886" spans="25:37" x14ac:dyDescent="0.2">
      <c r="Y415886" s="5"/>
      <c r="AB415886" s="5"/>
      <c r="AE415886" s="5"/>
      <c r="AH415886" s="5"/>
      <c r="AK415886" s="5"/>
    </row>
    <row r="415896" spans="25:37" x14ac:dyDescent="0.2">
      <c r="Y415896" s="251"/>
      <c r="AB415896" s="251"/>
      <c r="AE415896" s="251"/>
      <c r="AH415896" s="251"/>
      <c r="AK415896" s="251"/>
    </row>
    <row r="416011" spans="25:37" x14ac:dyDescent="0.2">
      <c r="Y416011" s="5"/>
      <c r="AB416011" s="5"/>
      <c r="AE416011" s="5"/>
      <c r="AH416011" s="5"/>
      <c r="AK416011" s="5"/>
    </row>
    <row r="416021" spans="25:37" x14ac:dyDescent="0.2">
      <c r="Y416021" s="251"/>
      <c r="AB416021" s="251"/>
      <c r="AE416021" s="251"/>
      <c r="AH416021" s="251"/>
      <c r="AK416021" s="251"/>
    </row>
    <row r="416136" spans="25:37" x14ac:dyDescent="0.2">
      <c r="Y416136" s="5"/>
      <c r="AB416136" s="5"/>
      <c r="AE416136" s="5"/>
      <c r="AH416136" s="5"/>
      <c r="AK416136" s="5"/>
    </row>
    <row r="416146" spans="25:37" x14ac:dyDescent="0.2">
      <c r="Y416146" s="251"/>
      <c r="AB416146" s="251"/>
      <c r="AE416146" s="251"/>
      <c r="AH416146" s="251"/>
      <c r="AK416146" s="251"/>
    </row>
    <row r="416261" spans="25:37" x14ac:dyDescent="0.2">
      <c r="Y416261" s="5"/>
      <c r="AB416261" s="5"/>
      <c r="AE416261" s="5"/>
      <c r="AH416261" s="5"/>
      <c r="AK416261" s="5"/>
    </row>
    <row r="416271" spans="25:37" x14ac:dyDescent="0.2">
      <c r="Y416271" s="251"/>
      <c r="AB416271" s="251"/>
      <c r="AE416271" s="251"/>
      <c r="AH416271" s="251"/>
      <c r="AK416271" s="251"/>
    </row>
    <row r="416386" spans="25:37" x14ac:dyDescent="0.2">
      <c r="Y416386" s="5"/>
      <c r="AB416386" s="5"/>
      <c r="AE416386" s="5"/>
      <c r="AH416386" s="5"/>
      <c r="AK416386" s="5"/>
    </row>
    <row r="416396" spans="25:37" x14ac:dyDescent="0.2">
      <c r="Y416396" s="251"/>
      <c r="AB416396" s="251"/>
      <c r="AE416396" s="251"/>
      <c r="AH416396" s="251"/>
      <c r="AK416396" s="251"/>
    </row>
    <row r="416511" spans="25:37" x14ac:dyDescent="0.2">
      <c r="Y416511" s="5"/>
      <c r="AB416511" s="5"/>
      <c r="AE416511" s="5"/>
      <c r="AH416511" s="5"/>
      <c r="AK416511" s="5"/>
    </row>
    <row r="416521" spans="25:37" x14ac:dyDescent="0.2">
      <c r="Y416521" s="251"/>
      <c r="AB416521" s="251"/>
      <c r="AE416521" s="251"/>
      <c r="AH416521" s="251"/>
      <c r="AK416521" s="251"/>
    </row>
    <row r="416636" spans="25:37" x14ac:dyDescent="0.2">
      <c r="Y416636" s="5"/>
      <c r="AB416636" s="5"/>
      <c r="AE416636" s="5"/>
      <c r="AH416636" s="5"/>
      <c r="AK416636" s="5"/>
    </row>
    <row r="416646" spans="25:37" x14ac:dyDescent="0.2">
      <c r="Y416646" s="251"/>
      <c r="AB416646" s="251"/>
      <c r="AE416646" s="251"/>
      <c r="AH416646" s="251"/>
      <c r="AK416646" s="251"/>
    </row>
    <row r="416761" spans="25:37" x14ac:dyDescent="0.2">
      <c r="Y416761" s="5"/>
      <c r="AB416761" s="5"/>
      <c r="AE416761" s="5"/>
      <c r="AH416761" s="5"/>
      <c r="AK416761" s="5"/>
    </row>
    <row r="416771" spans="25:37" x14ac:dyDescent="0.2">
      <c r="Y416771" s="251"/>
      <c r="AB416771" s="251"/>
      <c r="AE416771" s="251"/>
      <c r="AH416771" s="251"/>
      <c r="AK416771" s="251"/>
    </row>
    <row r="416886" spans="25:37" x14ac:dyDescent="0.2">
      <c r="Y416886" s="5"/>
      <c r="AB416886" s="5"/>
      <c r="AE416886" s="5"/>
      <c r="AH416886" s="5"/>
      <c r="AK416886" s="5"/>
    </row>
    <row r="416896" spans="25:37" x14ac:dyDescent="0.2">
      <c r="Y416896" s="251"/>
      <c r="AB416896" s="251"/>
      <c r="AE416896" s="251"/>
      <c r="AH416896" s="251"/>
      <c r="AK416896" s="251"/>
    </row>
    <row r="417011" spans="25:37" x14ac:dyDescent="0.2">
      <c r="Y417011" s="5"/>
      <c r="AB417011" s="5"/>
      <c r="AE417011" s="5"/>
      <c r="AH417011" s="5"/>
      <c r="AK417011" s="5"/>
    </row>
    <row r="417021" spans="25:37" x14ac:dyDescent="0.2">
      <c r="Y417021" s="251"/>
      <c r="AB417021" s="251"/>
      <c r="AE417021" s="251"/>
      <c r="AH417021" s="251"/>
      <c r="AK417021" s="251"/>
    </row>
    <row r="417136" spans="25:37" x14ac:dyDescent="0.2">
      <c r="Y417136" s="5"/>
      <c r="AB417136" s="5"/>
      <c r="AE417136" s="5"/>
      <c r="AH417136" s="5"/>
      <c r="AK417136" s="5"/>
    </row>
    <row r="417146" spans="25:37" x14ac:dyDescent="0.2">
      <c r="Y417146" s="251"/>
      <c r="AB417146" s="251"/>
      <c r="AE417146" s="251"/>
      <c r="AH417146" s="251"/>
      <c r="AK417146" s="251"/>
    </row>
    <row r="417261" spans="25:37" x14ac:dyDescent="0.2">
      <c r="Y417261" s="5"/>
      <c r="AB417261" s="5"/>
      <c r="AE417261" s="5"/>
      <c r="AH417261" s="5"/>
      <c r="AK417261" s="5"/>
    </row>
    <row r="417271" spans="25:37" x14ac:dyDescent="0.2">
      <c r="Y417271" s="251"/>
      <c r="AB417271" s="251"/>
      <c r="AE417271" s="251"/>
      <c r="AH417271" s="251"/>
      <c r="AK417271" s="251"/>
    </row>
    <row r="417386" spans="25:37" x14ac:dyDescent="0.2">
      <c r="Y417386" s="5"/>
      <c r="AB417386" s="5"/>
      <c r="AE417386" s="5"/>
      <c r="AH417386" s="5"/>
      <c r="AK417386" s="5"/>
    </row>
    <row r="417396" spans="25:37" x14ac:dyDescent="0.2">
      <c r="Y417396" s="251"/>
      <c r="AB417396" s="251"/>
      <c r="AE417396" s="251"/>
      <c r="AH417396" s="251"/>
      <c r="AK417396" s="251"/>
    </row>
    <row r="417511" spans="25:37" x14ac:dyDescent="0.2">
      <c r="Y417511" s="5"/>
      <c r="AB417511" s="5"/>
      <c r="AE417511" s="5"/>
      <c r="AH417511" s="5"/>
      <c r="AK417511" s="5"/>
    </row>
    <row r="417521" spans="25:37" x14ac:dyDescent="0.2">
      <c r="Y417521" s="251"/>
      <c r="AB417521" s="251"/>
      <c r="AE417521" s="251"/>
      <c r="AH417521" s="251"/>
      <c r="AK417521" s="251"/>
    </row>
    <row r="417636" spans="25:37" x14ac:dyDescent="0.2">
      <c r="Y417636" s="5"/>
      <c r="AB417636" s="5"/>
      <c r="AE417636" s="5"/>
      <c r="AH417636" s="5"/>
      <c r="AK417636" s="5"/>
    </row>
    <row r="417646" spans="25:37" x14ac:dyDescent="0.2">
      <c r="Y417646" s="251"/>
      <c r="AB417646" s="251"/>
      <c r="AE417646" s="251"/>
      <c r="AH417646" s="251"/>
      <c r="AK417646" s="251"/>
    </row>
    <row r="417761" spans="25:37" x14ac:dyDescent="0.2">
      <c r="Y417761" s="5"/>
      <c r="AB417761" s="5"/>
      <c r="AE417761" s="5"/>
      <c r="AH417761" s="5"/>
      <c r="AK417761" s="5"/>
    </row>
    <row r="417771" spans="25:37" x14ac:dyDescent="0.2">
      <c r="Y417771" s="251"/>
      <c r="AB417771" s="251"/>
      <c r="AE417771" s="251"/>
      <c r="AH417771" s="251"/>
      <c r="AK417771" s="251"/>
    </row>
    <row r="417886" spans="25:37" x14ac:dyDescent="0.2">
      <c r="Y417886" s="5"/>
      <c r="AB417886" s="5"/>
      <c r="AE417886" s="5"/>
      <c r="AH417886" s="5"/>
      <c r="AK417886" s="5"/>
    </row>
    <row r="417896" spans="25:37" x14ac:dyDescent="0.2">
      <c r="Y417896" s="251"/>
      <c r="AB417896" s="251"/>
      <c r="AE417896" s="251"/>
      <c r="AH417896" s="251"/>
      <c r="AK417896" s="251"/>
    </row>
    <row r="418011" spans="25:37" x14ac:dyDescent="0.2">
      <c r="Y418011" s="5"/>
      <c r="AB418011" s="5"/>
      <c r="AE418011" s="5"/>
      <c r="AH418011" s="5"/>
      <c r="AK418011" s="5"/>
    </row>
    <row r="418021" spans="25:37" x14ac:dyDescent="0.2">
      <c r="Y418021" s="251"/>
      <c r="AB418021" s="251"/>
      <c r="AE418021" s="251"/>
      <c r="AH418021" s="251"/>
      <c r="AK418021" s="251"/>
    </row>
    <row r="418136" spans="25:37" x14ac:dyDescent="0.2">
      <c r="Y418136" s="5"/>
      <c r="AB418136" s="5"/>
      <c r="AE418136" s="5"/>
      <c r="AH418136" s="5"/>
      <c r="AK418136" s="5"/>
    </row>
    <row r="418146" spans="25:37" x14ac:dyDescent="0.2">
      <c r="Y418146" s="251"/>
      <c r="AB418146" s="251"/>
      <c r="AE418146" s="251"/>
      <c r="AH418146" s="251"/>
      <c r="AK418146" s="251"/>
    </row>
    <row r="418261" spans="25:37" x14ac:dyDescent="0.2">
      <c r="Y418261" s="5"/>
      <c r="AB418261" s="5"/>
      <c r="AE418261" s="5"/>
      <c r="AH418261" s="5"/>
      <c r="AK418261" s="5"/>
    </row>
    <row r="418271" spans="25:37" x14ac:dyDescent="0.2">
      <c r="Y418271" s="251"/>
      <c r="AB418271" s="251"/>
      <c r="AE418271" s="251"/>
      <c r="AH418271" s="251"/>
      <c r="AK418271" s="251"/>
    </row>
    <row r="418386" spans="25:37" x14ac:dyDescent="0.2">
      <c r="Y418386" s="5"/>
      <c r="AB418386" s="5"/>
      <c r="AE418386" s="5"/>
      <c r="AH418386" s="5"/>
      <c r="AK418386" s="5"/>
    </row>
    <row r="418396" spans="25:37" x14ac:dyDescent="0.2">
      <c r="Y418396" s="251"/>
      <c r="AB418396" s="251"/>
      <c r="AE418396" s="251"/>
      <c r="AH418396" s="251"/>
      <c r="AK418396" s="251"/>
    </row>
    <row r="418511" spans="25:37" x14ac:dyDescent="0.2">
      <c r="Y418511" s="5"/>
      <c r="AB418511" s="5"/>
      <c r="AE418511" s="5"/>
      <c r="AH418511" s="5"/>
      <c r="AK418511" s="5"/>
    </row>
    <row r="418521" spans="25:37" x14ac:dyDescent="0.2">
      <c r="Y418521" s="251"/>
      <c r="AB418521" s="251"/>
      <c r="AE418521" s="251"/>
      <c r="AH418521" s="251"/>
      <c r="AK418521" s="251"/>
    </row>
    <row r="418636" spans="25:37" x14ac:dyDescent="0.2">
      <c r="Y418636" s="5"/>
      <c r="AB418636" s="5"/>
      <c r="AE418636" s="5"/>
      <c r="AH418636" s="5"/>
      <c r="AK418636" s="5"/>
    </row>
    <row r="418646" spans="25:37" x14ac:dyDescent="0.2">
      <c r="Y418646" s="251"/>
      <c r="AB418646" s="251"/>
      <c r="AE418646" s="251"/>
      <c r="AH418646" s="251"/>
      <c r="AK418646" s="251"/>
    </row>
    <row r="418761" spans="25:37" x14ac:dyDescent="0.2">
      <c r="Y418761" s="5"/>
      <c r="AB418761" s="5"/>
      <c r="AE418761" s="5"/>
      <c r="AH418761" s="5"/>
      <c r="AK418761" s="5"/>
    </row>
    <row r="418771" spans="25:37" x14ac:dyDescent="0.2">
      <c r="Y418771" s="251"/>
      <c r="AB418771" s="251"/>
      <c r="AE418771" s="251"/>
      <c r="AH418771" s="251"/>
      <c r="AK418771" s="251"/>
    </row>
    <row r="418886" spans="25:37" x14ac:dyDescent="0.2">
      <c r="Y418886" s="5"/>
      <c r="AB418886" s="5"/>
      <c r="AE418886" s="5"/>
      <c r="AH418886" s="5"/>
      <c r="AK418886" s="5"/>
    </row>
    <row r="418896" spans="25:37" x14ac:dyDescent="0.2">
      <c r="Y418896" s="251"/>
      <c r="AB418896" s="251"/>
      <c r="AE418896" s="251"/>
      <c r="AH418896" s="251"/>
      <c r="AK418896" s="251"/>
    </row>
    <row r="419011" spans="25:37" x14ac:dyDescent="0.2">
      <c r="Y419011" s="5"/>
      <c r="AB419011" s="5"/>
      <c r="AE419011" s="5"/>
      <c r="AH419011" s="5"/>
      <c r="AK419011" s="5"/>
    </row>
    <row r="419021" spans="25:37" x14ac:dyDescent="0.2">
      <c r="Y419021" s="251"/>
      <c r="AB419021" s="251"/>
      <c r="AE419021" s="251"/>
      <c r="AH419021" s="251"/>
      <c r="AK419021" s="251"/>
    </row>
    <row r="419136" spans="25:37" x14ac:dyDescent="0.2">
      <c r="Y419136" s="5"/>
      <c r="AB419136" s="5"/>
      <c r="AE419136" s="5"/>
      <c r="AH419136" s="5"/>
      <c r="AK419136" s="5"/>
    </row>
    <row r="419146" spans="25:37" x14ac:dyDescent="0.2">
      <c r="Y419146" s="251"/>
      <c r="AB419146" s="251"/>
      <c r="AE419146" s="251"/>
      <c r="AH419146" s="251"/>
      <c r="AK419146" s="251"/>
    </row>
    <row r="419261" spans="25:37" x14ac:dyDescent="0.2">
      <c r="Y419261" s="5"/>
      <c r="AB419261" s="5"/>
      <c r="AE419261" s="5"/>
      <c r="AH419261" s="5"/>
      <c r="AK419261" s="5"/>
    </row>
    <row r="419271" spans="25:37" x14ac:dyDescent="0.2">
      <c r="Y419271" s="251"/>
      <c r="AB419271" s="251"/>
      <c r="AE419271" s="251"/>
      <c r="AH419271" s="251"/>
      <c r="AK419271" s="251"/>
    </row>
    <row r="419386" spans="25:37" x14ac:dyDescent="0.2">
      <c r="Y419386" s="5"/>
      <c r="AB419386" s="5"/>
      <c r="AE419386" s="5"/>
      <c r="AH419386" s="5"/>
      <c r="AK419386" s="5"/>
    </row>
    <row r="419396" spans="25:37" x14ac:dyDescent="0.2">
      <c r="Y419396" s="251"/>
      <c r="AB419396" s="251"/>
      <c r="AE419396" s="251"/>
      <c r="AH419396" s="251"/>
      <c r="AK419396" s="251"/>
    </row>
    <row r="419511" spans="25:37" x14ac:dyDescent="0.2">
      <c r="Y419511" s="5"/>
      <c r="AB419511" s="5"/>
      <c r="AE419511" s="5"/>
      <c r="AH419511" s="5"/>
      <c r="AK419511" s="5"/>
    </row>
    <row r="419521" spans="25:37" x14ac:dyDescent="0.2">
      <c r="Y419521" s="251"/>
      <c r="AB419521" s="251"/>
      <c r="AE419521" s="251"/>
      <c r="AH419521" s="251"/>
      <c r="AK419521" s="251"/>
    </row>
    <row r="419636" spans="25:37" x14ac:dyDescent="0.2">
      <c r="Y419636" s="5"/>
      <c r="AB419636" s="5"/>
      <c r="AE419636" s="5"/>
      <c r="AH419636" s="5"/>
      <c r="AK419636" s="5"/>
    </row>
    <row r="419646" spans="25:37" x14ac:dyDescent="0.2">
      <c r="Y419646" s="251"/>
      <c r="AB419646" s="251"/>
      <c r="AE419646" s="251"/>
      <c r="AH419646" s="251"/>
      <c r="AK419646" s="251"/>
    </row>
    <row r="419761" spans="25:37" x14ac:dyDescent="0.2">
      <c r="Y419761" s="5"/>
      <c r="AB419761" s="5"/>
      <c r="AE419761" s="5"/>
      <c r="AH419761" s="5"/>
      <c r="AK419761" s="5"/>
    </row>
    <row r="419771" spans="25:37" x14ac:dyDescent="0.2">
      <c r="Y419771" s="251"/>
      <c r="AB419771" s="251"/>
      <c r="AE419771" s="251"/>
      <c r="AH419771" s="251"/>
      <c r="AK419771" s="251"/>
    </row>
    <row r="419886" spans="25:37" x14ac:dyDescent="0.2">
      <c r="Y419886" s="5"/>
      <c r="AB419886" s="5"/>
      <c r="AE419886" s="5"/>
      <c r="AH419886" s="5"/>
      <c r="AK419886" s="5"/>
    </row>
    <row r="419896" spans="25:37" x14ac:dyDescent="0.2">
      <c r="Y419896" s="251"/>
      <c r="AB419896" s="251"/>
      <c r="AE419896" s="251"/>
      <c r="AH419896" s="251"/>
      <c r="AK419896" s="251"/>
    </row>
    <row r="420011" spans="25:37" x14ac:dyDescent="0.2">
      <c r="Y420011" s="5"/>
      <c r="AB420011" s="5"/>
      <c r="AE420011" s="5"/>
      <c r="AH420011" s="5"/>
      <c r="AK420011" s="5"/>
    </row>
    <row r="420021" spans="25:37" x14ac:dyDescent="0.2">
      <c r="Y420021" s="251"/>
      <c r="AB420021" s="251"/>
      <c r="AE420021" s="251"/>
      <c r="AH420021" s="251"/>
      <c r="AK420021" s="251"/>
    </row>
    <row r="420136" spans="25:37" x14ac:dyDescent="0.2">
      <c r="Y420136" s="5"/>
      <c r="AB420136" s="5"/>
      <c r="AE420136" s="5"/>
      <c r="AH420136" s="5"/>
      <c r="AK420136" s="5"/>
    </row>
    <row r="420146" spans="25:37" x14ac:dyDescent="0.2">
      <c r="Y420146" s="251"/>
      <c r="AB420146" s="251"/>
      <c r="AE420146" s="251"/>
      <c r="AH420146" s="251"/>
      <c r="AK420146" s="251"/>
    </row>
    <row r="420261" spans="25:37" x14ac:dyDescent="0.2">
      <c r="Y420261" s="5"/>
      <c r="AB420261" s="5"/>
      <c r="AE420261" s="5"/>
      <c r="AH420261" s="5"/>
      <c r="AK420261" s="5"/>
    </row>
    <row r="420271" spans="25:37" x14ac:dyDescent="0.2">
      <c r="Y420271" s="251"/>
      <c r="AB420271" s="251"/>
      <c r="AE420271" s="251"/>
      <c r="AH420271" s="251"/>
      <c r="AK420271" s="251"/>
    </row>
    <row r="420386" spans="25:37" x14ac:dyDescent="0.2">
      <c r="Y420386" s="5"/>
      <c r="AB420386" s="5"/>
      <c r="AE420386" s="5"/>
      <c r="AH420386" s="5"/>
      <c r="AK420386" s="5"/>
    </row>
    <row r="420396" spans="25:37" x14ac:dyDescent="0.2">
      <c r="Y420396" s="251"/>
      <c r="AB420396" s="251"/>
      <c r="AE420396" s="251"/>
      <c r="AH420396" s="251"/>
      <c r="AK420396" s="251"/>
    </row>
    <row r="420511" spans="25:37" x14ac:dyDescent="0.2">
      <c r="Y420511" s="5"/>
      <c r="AB420511" s="5"/>
      <c r="AE420511" s="5"/>
      <c r="AH420511" s="5"/>
      <c r="AK420511" s="5"/>
    </row>
    <row r="420521" spans="25:37" x14ac:dyDescent="0.2">
      <c r="Y420521" s="251"/>
      <c r="AB420521" s="251"/>
      <c r="AE420521" s="251"/>
      <c r="AH420521" s="251"/>
      <c r="AK420521" s="251"/>
    </row>
    <row r="420636" spans="25:37" x14ac:dyDescent="0.2">
      <c r="Y420636" s="5"/>
      <c r="AB420636" s="5"/>
      <c r="AE420636" s="5"/>
      <c r="AH420636" s="5"/>
      <c r="AK420636" s="5"/>
    </row>
    <row r="420646" spans="25:37" x14ac:dyDescent="0.2">
      <c r="Y420646" s="251"/>
      <c r="AB420646" s="251"/>
      <c r="AE420646" s="251"/>
      <c r="AH420646" s="251"/>
      <c r="AK420646" s="251"/>
    </row>
    <row r="420761" spans="25:37" x14ac:dyDescent="0.2">
      <c r="Y420761" s="5"/>
      <c r="AB420761" s="5"/>
      <c r="AE420761" s="5"/>
      <c r="AH420761" s="5"/>
      <c r="AK420761" s="5"/>
    </row>
    <row r="420771" spans="25:37" x14ac:dyDescent="0.2">
      <c r="Y420771" s="251"/>
      <c r="AB420771" s="251"/>
      <c r="AE420771" s="251"/>
      <c r="AH420771" s="251"/>
      <c r="AK420771" s="251"/>
    </row>
    <row r="420886" spans="25:37" x14ac:dyDescent="0.2">
      <c r="Y420886" s="5"/>
      <c r="AB420886" s="5"/>
      <c r="AE420886" s="5"/>
      <c r="AH420886" s="5"/>
      <c r="AK420886" s="5"/>
    </row>
    <row r="420896" spans="25:37" x14ac:dyDescent="0.2">
      <c r="Y420896" s="251"/>
      <c r="AB420896" s="251"/>
      <c r="AE420896" s="251"/>
      <c r="AH420896" s="251"/>
      <c r="AK420896" s="251"/>
    </row>
    <row r="421011" spans="25:37" x14ac:dyDescent="0.2">
      <c r="Y421011" s="5"/>
      <c r="AB421011" s="5"/>
      <c r="AE421011" s="5"/>
      <c r="AH421011" s="5"/>
      <c r="AK421011" s="5"/>
    </row>
    <row r="421021" spans="25:37" x14ac:dyDescent="0.2">
      <c r="Y421021" s="251"/>
      <c r="AB421021" s="251"/>
      <c r="AE421021" s="251"/>
      <c r="AH421021" s="251"/>
      <c r="AK421021" s="251"/>
    </row>
    <row r="421136" spans="25:37" x14ac:dyDescent="0.2">
      <c r="Y421136" s="5"/>
      <c r="AB421136" s="5"/>
      <c r="AE421136" s="5"/>
      <c r="AH421136" s="5"/>
      <c r="AK421136" s="5"/>
    </row>
    <row r="421146" spans="25:37" x14ac:dyDescent="0.2">
      <c r="Y421146" s="251"/>
      <c r="AB421146" s="251"/>
      <c r="AE421146" s="251"/>
      <c r="AH421146" s="251"/>
      <c r="AK421146" s="251"/>
    </row>
    <row r="421261" spans="25:37" x14ac:dyDescent="0.2">
      <c r="Y421261" s="5"/>
      <c r="AB421261" s="5"/>
      <c r="AE421261" s="5"/>
      <c r="AH421261" s="5"/>
      <c r="AK421261" s="5"/>
    </row>
    <row r="421271" spans="25:37" x14ac:dyDescent="0.2">
      <c r="Y421271" s="251"/>
      <c r="AB421271" s="251"/>
      <c r="AE421271" s="251"/>
      <c r="AH421271" s="251"/>
      <c r="AK421271" s="251"/>
    </row>
    <row r="421386" spans="25:37" x14ac:dyDescent="0.2">
      <c r="Y421386" s="5"/>
      <c r="AB421386" s="5"/>
      <c r="AE421386" s="5"/>
      <c r="AH421386" s="5"/>
      <c r="AK421386" s="5"/>
    </row>
    <row r="421396" spans="25:37" x14ac:dyDescent="0.2">
      <c r="Y421396" s="251"/>
      <c r="AB421396" s="251"/>
      <c r="AE421396" s="251"/>
      <c r="AH421396" s="251"/>
      <c r="AK421396" s="251"/>
    </row>
    <row r="421511" spans="25:37" x14ac:dyDescent="0.2">
      <c r="Y421511" s="5"/>
      <c r="AB421511" s="5"/>
      <c r="AE421511" s="5"/>
      <c r="AH421511" s="5"/>
      <c r="AK421511" s="5"/>
    </row>
    <row r="421521" spans="25:37" x14ac:dyDescent="0.2">
      <c r="Y421521" s="251"/>
      <c r="AB421521" s="251"/>
      <c r="AE421521" s="251"/>
      <c r="AH421521" s="251"/>
      <c r="AK421521" s="251"/>
    </row>
    <row r="421636" spans="25:37" x14ac:dyDescent="0.2">
      <c r="Y421636" s="5"/>
      <c r="AB421636" s="5"/>
      <c r="AE421636" s="5"/>
      <c r="AH421636" s="5"/>
      <c r="AK421636" s="5"/>
    </row>
    <row r="421646" spans="25:37" x14ac:dyDescent="0.2">
      <c r="Y421646" s="251"/>
      <c r="AB421646" s="251"/>
      <c r="AE421646" s="251"/>
      <c r="AH421646" s="251"/>
      <c r="AK421646" s="251"/>
    </row>
    <row r="421761" spans="25:37" x14ac:dyDescent="0.2">
      <c r="Y421761" s="5"/>
      <c r="AB421761" s="5"/>
      <c r="AE421761" s="5"/>
      <c r="AH421761" s="5"/>
      <c r="AK421761" s="5"/>
    </row>
    <row r="421771" spans="25:37" x14ac:dyDescent="0.2">
      <c r="Y421771" s="251"/>
      <c r="AB421771" s="251"/>
      <c r="AE421771" s="251"/>
      <c r="AH421771" s="251"/>
      <c r="AK421771" s="251"/>
    </row>
    <row r="421886" spans="25:37" x14ac:dyDescent="0.2">
      <c r="Y421886" s="5"/>
      <c r="AB421886" s="5"/>
      <c r="AE421886" s="5"/>
      <c r="AH421886" s="5"/>
      <c r="AK421886" s="5"/>
    </row>
    <row r="421896" spans="25:37" x14ac:dyDescent="0.2">
      <c r="Y421896" s="251"/>
      <c r="AB421896" s="251"/>
      <c r="AE421896" s="251"/>
      <c r="AH421896" s="251"/>
      <c r="AK421896" s="251"/>
    </row>
    <row r="422011" spans="25:37" x14ac:dyDescent="0.2">
      <c r="Y422011" s="5"/>
      <c r="AB422011" s="5"/>
      <c r="AE422011" s="5"/>
      <c r="AH422011" s="5"/>
      <c r="AK422011" s="5"/>
    </row>
    <row r="422021" spans="25:37" x14ac:dyDescent="0.2">
      <c r="Y422021" s="251"/>
      <c r="AB422021" s="251"/>
      <c r="AE422021" s="251"/>
      <c r="AH422021" s="251"/>
      <c r="AK422021" s="251"/>
    </row>
    <row r="422136" spans="25:37" x14ac:dyDescent="0.2">
      <c r="Y422136" s="5"/>
      <c r="AB422136" s="5"/>
      <c r="AE422136" s="5"/>
      <c r="AH422136" s="5"/>
      <c r="AK422136" s="5"/>
    </row>
    <row r="422146" spans="25:37" x14ac:dyDescent="0.2">
      <c r="Y422146" s="251"/>
      <c r="AB422146" s="251"/>
      <c r="AE422146" s="251"/>
      <c r="AH422146" s="251"/>
      <c r="AK422146" s="251"/>
    </row>
    <row r="422261" spans="25:37" x14ac:dyDescent="0.2">
      <c r="Y422261" s="5"/>
      <c r="AB422261" s="5"/>
      <c r="AE422261" s="5"/>
      <c r="AH422261" s="5"/>
      <c r="AK422261" s="5"/>
    </row>
    <row r="422271" spans="25:37" x14ac:dyDescent="0.2">
      <c r="Y422271" s="251"/>
      <c r="AB422271" s="251"/>
      <c r="AE422271" s="251"/>
      <c r="AH422271" s="251"/>
      <c r="AK422271" s="251"/>
    </row>
    <row r="422386" spans="25:37" x14ac:dyDescent="0.2">
      <c r="Y422386" s="5"/>
      <c r="AB422386" s="5"/>
      <c r="AE422386" s="5"/>
      <c r="AH422386" s="5"/>
      <c r="AK422386" s="5"/>
    </row>
    <row r="422396" spans="25:37" x14ac:dyDescent="0.2">
      <c r="Y422396" s="251"/>
      <c r="AB422396" s="251"/>
      <c r="AE422396" s="251"/>
      <c r="AH422396" s="251"/>
      <c r="AK422396" s="251"/>
    </row>
    <row r="422511" spans="25:37" x14ac:dyDescent="0.2">
      <c r="Y422511" s="5"/>
      <c r="AB422511" s="5"/>
      <c r="AE422511" s="5"/>
      <c r="AH422511" s="5"/>
      <c r="AK422511" s="5"/>
    </row>
    <row r="422521" spans="25:37" x14ac:dyDescent="0.2">
      <c r="Y422521" s="251"/>
      <c r="AB422521" s="251"/>
      <c r="AE422521" s="251"/>
      <c r="AH422521" s="251"/>
      <c r="AK422521" s="251"/>
    </row>
    <row r="422636" spans="25:37" x14ac:dyDescent="0.2">
      <c r="Y422636" s="5"/>
      <c r="AB422636" s="5"/>
      <c r="AE422636" s="5"/>
      <c r="AH422636" s="5"/>
      <c r="AK422636" s="5"/>
    </row>
    <row r="422646" spans="25:37" x14ac:dyDescent="0.2">
      <c r="Y422646" s="251"/>
      <c r="AB422646" s="251"/>
      <c r="AE422646" s="251"/>
      <c r="AH422646" s="251"/>
      <c r="AK422646" s="251"/>
    </row>
    <row r="422761" spans="25:37" x14ac:dyDescent="0.2">
      <c r="Y422761" s="5"/>
      <c r="AB422761" s="5"/>
      <c r="AE422761" s="5"/>
      <c r="AH422761" s="5"/>
      <c r="AK422761" s="5"/>
    </row>
    <row r="422771" spans="25:37" x14ac:dyDescent="0.2">
      <c r="Y422771" s="251"/>
      <c r="AB422771" s="251"/>
      <c r="AE422771" s="251"/>
      <c r="AH422771" s="251"/>
      <c r="AK422771" s="251"/>
    </row>
    <row r="422886" spans="25:37" x14ac:dyDescent="0.2">
      <c r="Y422886" s="5"/>
      <c r="AB422886" s="5"/>
      <c r="AE422886" s="5"/>
      <c r="AH422886" s="5"/>
      <c r="AK422886" s="5"/>
    </row>
    <row r="422896" spans="25:37" x14ac:dyDescent="0.2">
      <c r="Y422896" s="251"/>
      <c r="AB422896" s="251"/>
      <c r="AE422896" s="251"/>
      <c r="AH422896" s="251"/>
      <c r="AK422896" s="251"/>
    </row>
    <row r="423011" spans="25:37" x14ac:dyDescent="0.2">
      <c r="Y423011" s="5"/>
      <c r="AB423011" s="5"/>
      <c r="AE423011" s="5"/>
      <c r="AH423011" s="5"/>
      <c r="AK423011" s="5"/>
    </row>
    <row r="423021" spans="25:37" x14ac:dyDescent="0.2">
      <c r="Y423021" s="251"/>
      <c r="AB423021" s="251"/>
      <c r="AE423021" s="251"/>
      <c r="AH423021" s="251"/>
      <c r="AK423021" s="251"/>
    </row>
    <row r="423136" spans="25:37" x14ac:dyDescent="0.2">
      <c r="Y423136" s="5"/>
      <c r="AB423136" s="5"/>
      <c r="AE423136" s="5"/>
      <c r="AH423136" s="5"/>
      <c r="AK423136" s="5"/>
    </row>
    <row r="423146" spans="25:37" x14ac:dyDescent="0.2">
      <c r="Y423146" s="251"/>
      <c r="AB423146" s="251"/>
      <c r="AE423146" s="251"/>
      <c r="AH423146" s="251"/>
      <c r="AK423146" s="251"/>
    </row>
    <row r="423261" spans="25:37" x14ac:dyDescent="0.2">
      <c r="Y423261" s="5"/>
      <c r="AB423261" s="5"/>
      <c r="AE423261" s="5"/>
      <c r="AH423261" s="5"/>
      <c r="AK423261" s="5"/>
    </row>
    <row r="423271" spans="25:37" x14ac:dyDescent="0.2">
      <c r="Y423271" s="251"/>
      <c r="AB423271" s="251"/>
      <c r="AE423271" s="251"/>
      <c r="AH423271" s="251"/>
      <c r="AK423271" s="251"/>
    </row>
    <row r="423386" spans="25:37" x14ac:dyDescent="0.2">
      <c r="Y423386" s="5"/>
      <c r="AB423386" s="5"/>
      <c r="AE423386" s="5"/>
      <c r="AH423386" s="5"/>
      <c r="AK423386" s="5"/>
    </row>
    <row r="423396" spans="25:37" x14ac:dyDescent="0.2">
      <c r="Y423396" s="251"/>
      <c r="AB423396" s="251"/>
      <c r="AE423396" s="251"/>
      <c r="AH423396" s="251"/>
      <c r="AK423396" s="251"/>
    </row>
    <row r="423511" spans="25:37" x14ac:dyDescent="0.2">
      <c r="Y423511" s="5"/>
      <c r="AB423511" s="5"/>
      <c r="AE423511" s="5"/>
      <c r="AH423511" s="5"/>
      <c r="AK423511" s="5"/>
    </row>
    <row r="423521" spans="25:37" x14ac:dyDescent="0.2">
      <c r="Y423521" s="251"/>
      <c r="AB423521" s="251"/>
      <c r="AE423521" s="251"/>
      <c r="AH423521" s="251"/>
      <c r="AK423521" s="251"/>
    </row>
    <row r="423636" spans="25:37" x14ac:dyDescent="0.2">
      <c r="Y423636" s="5"/>
      <c r="AB423636" s="5"/>
      <c r="AE423636" s="5"/>
      <c r="AH423636" s="5"/>
      <c r="AK423636" s="5"/>
    </row>
    <row r="423646" spans="25:37" x14ac:dyDescent="0.2">
      <c r="Y423646" s="251"/>
      <c r="AB423646" s="251"/>
      <c r="AE423646" s="251"/>
      <c r="AH423646" s="251"/>
      <c r="AK423646" s="251"/>
    </row>
    <row r="423761" spans="25:37" x14ac:dyDescent="0.2">
      <c r="Y423761" s="5"/>
      <c r="AB423761" s="5"/>
      <c r="AE423761" s="5"/>
      <c r="AH423761" s="5"/>
      <c r="AK423761" s="5"/>
    </row>
    <row r="423771" spans="25:37" x14ac:dyDescent="0.2">
      <c r="Y423771" s="251"/>
      <c r="AB423771" s="251"/>
      <c r="AE423771" s="251"/>
      <c r="AH423771" s="251"/>
      <c r="AK423771" s="251"/>
    </row>
    <row r="423886" spans="25:37" x14ac:dyDescent="0.2">
      <c r="Y423886" s="5"/>
      <c r="AB423886" s="5"/>
      <c r="AE423886" s="5"/>
      <c r="AH423886" s="5"/>
      <c r="AK423886" s="5"/>
    </row>
    <row r="423896" spans="25:37" x14ac:dyDescent="0.2">
      <c r="Y423896" s="251"/>
      <c r="AB423896" s="251"/>
      <c r="AE423896" s="251"/>
      <c r="AH423896" s="251"/>
      <c r="AK423896" s="251"/>
    </row>
    <row r="424011" spans="25:37" x14ac:dyDescent="0.2">
      <c r="Y424011" s="5"/>
      <c r="AB424011" s="5"/>
      <c r="AE424011" s="5"/>
      <c r="AH424011" s="5"/>
      <c r="AK424011" s="5"/>
    </row>
    <row r="424021" spans="25:37" x14ac:dyDescent="0.2">
      <c r="Y424021" s="251"/>
      <c r="AB424021" s="251"/>
      <c r="AE424021" s="251"/>
      <c r="AH424021" s="251"/>
      <c r="AK424021" s="251"/>
    </row>
    <row r="424136" spans="25:37" x14ac:dyDescent="0.2">
      <c r="Y424136" s="5"/>
      <c r="AB424136" s="5"/>
      <c r="AE424136" s="5"/>
      <c r="AH424136" s="5"/>
      <c r="AK424136" s="5"/>
    </row>
    <row r="424146" spans="25:37" x14ac:dyDescent="0.2">
      <c r="Y424146" s="251"/>
      <c r="AB424146" s="251"/>
      <c r="AE424146" s="251"/>
      <c r="AH424146" s="251"/>
      <c r="AK424146" s="251"/>
    </row>
    <row r="424261" spans="25:37" x14ac:dyDescent="0.2">
      <c r="Y424261" s="5"/>
      <c r="AB424261" s="5"/>
      <c r="AE424261" s="5"/>
      <c r="AH424261" s="5"/>
      <c r="AK424261" s="5"/>
    </row>
    <row r="424271" spans="25:37" x14ac:dyDescent="0.2">
      <c r="Y424271" s="251"/>
      <c r="AB424271" s="251"/>
      <c r="AE424271" s="251"/>
      <c r="AH424271" s="251"/>
      <c r="AK424271" s="251"/>
    </row>
    <row r="424386" spans="25:37" x14ac:dyDescent="0.2">
      <c r="Y424386" s="5"/>
      <c r="AB424386" s="5"/>
      <c r="AE424386" s="5"/>
      <c r="AH424386" s="5"/>
      <c r="AK424386" s="5"/>
    </row>
    <row r="424396" spans="25:37" x14ac:dyDescent="0.2">
      <c r="Y424396" s="251"/>
      <c r="AB424396" s="251"/>
      <c r="AE424396" s="251"/>
      <c r="AH424396" s="251"/>
      <c r="AK424396" s="251"/>
    </row>
    <row r="424511" spans="25:37" x14ac:dyDescent="0.2">
      <c r="Y424511" s="5"/>
      <c r="AB424511" s="5"/>
      <c r="AE424511" s="5"/>
      <c r="AH424511" s="5"/>
      <c r="AK424511" s="5"/>
    </row>
    <row r="424521" spans="25:37" x14ac:dyDescent="0.2">
      <c r="Y424521" s="251"/>
      <c r="AB424521" s="251"/>
      <c r="AE424521" s="251"/>
      <c r="AH424521" s="251"/>
      <c r="AK424521" s="251"/>
    </row>
    <row r="424636" spans="25:37" x14ac:dyDescent="0.2">
      <c r="Y424636" s="5"/>
      <c r="AB424636" s="5"/>
      <c r="AE424636" s="5"/>
      <c r="AH424636" s="5"/>
      <c r="AK424636" s="5"/>
    </row>
    <row r="424646" spans="25:37" x14ac:dyDescent="0.2">
      <c r="Y424646" s="251"/>
      <c r="AB424646" s="251"/>
      <c r="AE424646" s="251"/>
      <c r="AH424646" s="251"/>
      <c r="AK424646" s="251"/>
    </row>
    <row r="424761" spans="25:37" x14ac:dyDescent="0.2">
      <c r="Y424761" s="5"/>
      <c r="AB424761" s="5"/>
      <c r="AE424761" s="5"/>
      <c r="AH424761" s="5"/>
      <c r="AK424761" s="5"/>
    </row>
    <row r="424771" spans="25:37" x14ac:dyDescent="0.2">
      <c r="Y424771" s="251"/>
      <c r="AB424771" s="251"/>
      <c r="AE424771" s="251"/>
      <c r="AH424771" s="251"/>
      <c r="AK424771" s="251"/>
    </row>
    <row r="424886" spans="25:37" x14ac:dyDescent="0.2">
      <c r="Y424886" s="5"/>
      <c r="AB424886" s="5"/>
      <c r="AE424886" s="5"/>
      <c r="AH424886" s="5"/>
      <c r="AK424886" s="5"/>
    </row>
    <row r="424896" spans="25:37" x14ac:dyDescent="0.2">
      <c r="Y424896" s="251"/>
      <c r="AB424896" s="251"/>
      <c r="AE424896" s="251"/>
      <c r="AH424896" s="251"/>
      <c r="AK424896" s="251"/>
    </row>
    <row r="425011" spans="25:37" x14ac:dyDescent="0.2">
      <c r="Y425011" s="5"/>
      <c r="AB425011" s="5"/>
      <c r="AE425011" s="5"/>
      <c r="AH425011" s="5"/>
      <c r="AK425011" s="5"/>
    </row>
    <row r="425021" spans="25:37" x14ac:dyDescent="0.2">
      <c r="Y425021" s="251"/>
      <c r="AB425021" s="251"/>
      <c r="AE425021" s="251"/>
      <c r="AH425021" s="251"/>
      <c r="AK425021" s="251"/>
    </row>
    <row r="425136" spans="25:37" x14ac:dyDescent="0.2">
      <c r="Y425136" s="5"/>
      <c r="AB425136" s="5"/>
      <c r="AE425136" s="5"/>
      <c r="AH425136" s="5"/>
      <c r="AK425136" s="5"/>
    </row>
    <row r="425146" spans="25:37" x14ac:dyDescent="0.2">
      <c r="Y425146" s="251"/>
      <c r="AB425146" s="251"/>
      <c r="AE425146" s="251"/>
      <c r="AH425146" s="251"/>
      <c r="AK425146" s="251"/>
    </row>
    <row r="425261" spans="25:37" x14ac:dyDescent="0.2">
      <c r="Y425261" s="5"/>
      <c r="AB425261" s="5"/>
      <c r="AE425261" s="5"/>
      <c r="AH425261" s="5"/>
      <c r="AK425261" s="5"/>
    </row>
    <row r="425271" spans="25:37" x14ac:dyDescent="0.2">
      <c r="Y425271" s="251"/>
      <c r="AB425271" s="251"/>
      <c r="AE425271" s="251"/>
      <c r="AH425271" s="251"/>
      <c r="AK425271" s="251"/>
    </row>
    <row r="425386" spans="25:37" x14ac:dyDescent="0.2">
      <c r="Y425386" s="5"/>
      <c r="AB425386" s="5"/>
      <c r="AE425386" s="5"/>
      <c r="AH425386" s="5"/>
      <c r="AK425386" s="5"/>
    </row>
    <row r="425396" spans="25:37" x14ac:dyDescent="0.2">
      <c r="Y425396" s="251"/>
      <c r="AB425396" s="251"/>
      <c r="AE425396" s="251"/>
      <c r="AH425396" s="251"/>
      <c r="AK425396" s="251"/>
    </row>
    <row r="425511" spans="25:37" x14ac:dyDescent="0.2">
      <c r="Y425511" s="5"/>
      <c r="AB425511" s="5"/>
      <c r="AE425511" s="5"/>
      <c r="AH425511" s="5"/>
      <c r="AK425511" s="5"/>
    </row>
    <row r="425521" spans="25:37" x14ac:dyDescent="0.2">
      <c r="Y425521" s="251"/>
      <c r="AB425521" s="251"/>
      <c r="AE425521" s="251"/>
      <c r="AH425521" s="251"/>
      <c r="AK425521" s="251"/>
    </row>
    <row r="425636" spans="25:37" x14ac:dyDescent="0.2">
      <c r="Y425636" s="5"/>
      <c r="AB425636" s="5"/>
      <c r="AE425636" s="5"/>
      <c r="AH425636" s="5"/>
      <c r="AK425636" s="5"/>
    </row>
    <row r="425646" spans="25:37" x14ac:dyDescent="0.2">
      <c r="Y425646" s="251"/>
      <c r="AB425646" s="251"/>
      <c r="AE425646" s="251"/>
      <c r="AH425646" s="251"/>
      <c r="AK425646" s="251"/>
    </row>
    <row r="425761" spans="25:37" x14ac:dyDescent="0.2">
      <c r="Y425761" s="5"/>
      <c r="AB425761" s="5"/>
      <c r="AE425761" s="5"/>
      <c r="AH425761" s="5"/>
      <c r="AK425761" s="5"/>
    </row>
    <row r="425771" spans="25:37" x14ac:dyDescent="0.2">
      <c r="Y425771" s="251"/>
      <c r="AB425771" s="251"/>
      <c r="AE425771" s="251"/>
      <c r="AH425771" s="251"/>
      <c r="AK425771" s="251"/>
    </row>
    <row r="425886" spans="25:37" x14ac:dyDescent="0.2">
      <c r="Y425886" s="5"/>
      <c r="AB425886" s="5"/>
      <c r="AE425886" s="5"/>
      <c r="AH425886" s="5"/>
      <c r="AK425886" s="5"/>
    </row>
    <row r="425896" spans="25:37" x14ac:dyDescent="0.2">
      <c r="Y425896" s="251"/>
      <c r="AB425896" s="251"/>
      <c r="AE425896" s="251"/>
      <c r="AH425896" s="251"/>
      <c r="AK425896" s="251"/>
    </row>
    <row r="426011" spans="25:37" x14ac:dyDescent="0.2">
      <c r="Y426011" s="5"/>
      <c r="AB426011" s="5"/>
      <c r="AE426011" s="5"/>
      <c r="AH426011" s="5"/>
      <c r="AK426011" s="5"/>
    </row>
    <row r="426021" spans="25:37" x14ac:dyDescent="0.2">
      <c r="Y426021" s="251"/>
      <c r="AB426021" s="251"/>
      <c r="AE426021" s="251"/>
      <c r="AH426021" s="251"/>
      <c r="AK426021" s="251"/>
    </row>
    <row r="426136" spans="25:37" x14ac:dyDescent="0.2">
      <c r="Y426136" s="5"/>
      <c r="AB426136" s="5"/>
      <c r="AE426136" s="5"/>
      <c r="AH426136" s="5"/>
      <c r="AK426136" s="5"/>
    </row>
    <row r="426146" spans="25:37" x14ac:dyDescent="0.2">
      <c r="Y426146" s="251"/>
      <c r="AB426146" s="251"/>
      <c r="AE426146" s="251"/>
      <c r="AH426146" s="251"/>
      <c r="AK426146" s="251"/>
    </row>
    <row r="426261" spans="25:37" x14ac:dyDescent="0.2">
      <c r="Y426261" s="5"/>
      <c r="AB426261" s="5"/>
      <c r="AE426261" s="5"/>
      <c r="AH426261" s="5"/>
      <c r="AK426261" s="5"/>
    </row>
    <row r="426271" spans="25:37" x14ac:dyDescent="0.2">
      <c r="Y426271" s="251"/>
      <c r="AB426271" s="251"/>
      <c r="AE426271" s="251"/>
      <c r="AH426271" s="251"/>
      <c r="AK426271" s="251"/>
    </row>
    <row r="426386" spans="25:37" x14ac:dyDescent="0.2">
      <c r="Y426386" s="5"/>
      <c r="AB426386" s="5"/>
      <c r="AE426386" s="5"/>
      <c r="AH426386" s="5"/>
      <c r="AK426386" s="5"/>
    </row>
    <row r="426396" spans="25:37" x14ac:dyDescent="0.2">
      <c r="Y426396" s="251"/>
      <c r="AB426396" s="251"/>
      <c r="AE426396" s="251"/>
      <c r="AH426396" s="251"/>
      <c r="AK426396" s="251"/>
    </row>
    <row r="426511" spans="25:37" x14ac:dyDescent="0.2">
      <c r="Y426511" s="5"/>
      <c r="AB426511" s="5"/>
      <c r="AE426511" s="5"/>
      <c r="AH426511" s="5"/>
      <c r="AK426511" s="5"/>
    </row>
    <row r="426521" spans="25:37" x14ac:dyDescent="0.2">
      <c r="Y426521" s="251"/>
      <c r="AB426521" s="251"/>
      <c r="AE426521" s="251"/>
      <c r="AH426521" s="251"/>
      <c r="AK426521" s="251"/>
    </row>
    <row r="426636" spans="25:37" x14ac:dyDescent="0.2">
      <c r="Y426636" s="5"/>
      <c r="AB426636" s="5"/>
      <c r="AE426636" s="5"/>
      <c r="AH426636" s="5"/>
      <c r="AK426636" s="5"/>
    </row>
    <row r="426646" spans="25:37" x14ac:dyDescent="0.2">
      <c r="Y426646" s="251"/>
      <c r="AB426646" s="251"/>
      <c r="AE426646" s="251"/>
      <c r="AH426646" s="251"/>
      <c r="AK426646" s="251"/>
    </row>
    <row r="426761" spans="25:37" x14ac:dyDescent="0.2">
      <c r="Y426761" s="5"/>
      <c r="AB426761" s="5"/>
      <c r="AE426761" s="5"/>
      <c r="AH426761" s="5"/>
      <c r="AK426761" s="5"/>
    </row>
    <row r="426771" spans="25:37" x14ac:dyDescent="0.2">
      <c r="Y426771" s="251"/>
      <c r="AB426771" s="251"/>
      <c r="AE426771" s="251"/>
      <c r="AH426771" s="251"/>
      <c r="AK426771" s="251"/>
    </row>
    <row r="426886" spans="25:37" x14ac:dyDescent="0.2">
      <c r="Y426886" s="5"/>
      <c r="AB426886" s="5"/>
      <c r="AE426886" s="5"/>
      <c r="AH426886" s="5"/>
      <c r="AK426886" s="5"/>
    </row>
    <row r="426896" spans="25:37" x14ac:dyDescent="0.2">
      <c r="Y426896" s="251"/>
      <c r="AB426896" s="251"/>
      <c r="AE426896" s="251"/>
      <c r="AH426896" s="251"/>
      <c r="AK426896" s="251"/>
    </row>
    <row r="427011" spans="25:37" x14ac:dyDescent="0.2">
      <c r="Y427011" s="5"/>
      <c r="AB427011" s="5"/>
      <c r="AE427011" s="5"/>
      <c r="AH427011" s="5"/>
      <c r="AK427011" s="5"/>
    </row>
    <row r="427021" spans="25:37" x14ac:dyDescent="0.2">
      <c r="Y427021" s="251"/>
      <c r="AB427021" s="251"/>
      <c r="AE427021" s="251"/>
      <c r="AH427021" s="251"/>
      <c r="AK427021" s="251"/>
    </row>
    <row r="427136" spans="25:37" x14ac:dyDescent="0.2">
      <c r="Y427136" s="5"/>
      <c r="AB427136" s="5"/>
      <c r="AE427136" s="5"/>
      <c r="AH427136" s="5"/>
      <c r="AK427136" s="5"/>
    </row>
    <row r="427146" spans="25:37" x14ac:dyDescent="0.2">
      <c r="Y427146" s="251"/>
      <c r="AB427146" s="251"/>
      <c r="AE427146" s="251"/>
      <c r="AH427146" s="251"/>
      <c r="AK427146" s="251"/>
    </row>
    <row r="427261" spans="25:37" x14ac:dyDescent="0.2">
      <c r="Y427261" s="5"/>
      <c r="AB427261" s="5"/>
      <c r="AE427261" s="5"/>
      <c r="AH427261" s="5"/>
      <c r="AK427261" s="5"/>
    </row>
    <row r="427271" spans="25:37" x14ac:dyDescent="0.2">
      <c r="Y427271" s="251"/>
      <c r="AB427271" s="251"/>
      <c r="AE427271" s="251"/>
      <c r="AH427271" s="251"/>
      <c r="AK427271" s="251"/>
    </row>
    <row r="427386" spans="25:37" x14ac:dyDescent="0.2">
      <c r="Y427386" s="5"/>
      <c r="AB427386" s="5"/>
      <c r="AE427386" s="5"/>
      <c r="AH427386" s="5"/>
      <c r="AK427386" s="5"/>
    </row>
    <row r="427396" spans="25:37" x14ac:dyDescent="0.2">
      <c r="Y427396" s="251"/>
      <c r="AB427396" s="251"/>
      <c r="AE427396" s="251"/>
      <c r="AH427396" s="251"/>
      <c r="AK427396" s="251"/>
    </row>
    <row r="427511" spans="25:37" x14ac:dyDescent="0.2">
      <c r="Y427511" s="5"/>
      <c r="AB427511" s="5"/>
      <c r="AE427511" s="5"/>
      <c r="AH427511" s="5"/>
      <c r="AK427511" s="5"/>
    </row>
    <row r="427521" spans="25:37" x14ac:dyDescent="0.2">
      <c r="Y427521" s="251"/>
      <c r="AB427521" s="251"/>
      <c r="AE427521" s="251"/>
      <c r="AH427521" s="251"/>
      <c r="AK427521" s="251"/>
    </row>
    <row r="427636" spans="25:37" x14ac:dyDescent="0.2">
      <c r="Y427636" s="5"/>
      <c r="AB427636" s="5"/>
      <c r="AE427636" s="5"/>
      <c r="AH427636" s="5"/>
      <c r="AK427636" s="5"/>
    </row>
    <row r="427646" spans="25:37" x14ac:dyDescent="0.2">
      <c r="Y427646" s="251"/>
      <c r="AB427646" s="251"/>
      <c r="AE427646" s="251"/>
      <c r="AH427646" s="251"/>
      <c r="AK427646" s="251"/>
    </row>
    <row r="427761" spans="25:37" x14ac:dyDescent="0.2">
      <c r="Y427761" s="5"/>
      <c r="AB427761" s="5"/>
      <c r="AE427761" s="5"/>
      <c r="AH427761" s="5"/>
      <c r="AK427761" s="5"/>
    </row>
    <row r="427771" spans="25:37" x14ac:dyDescent="0.2">
      <c r="Y427771" s="251"/>
      <c r="AB427771" s="251"/>
      <c r="AE427771" s="251"/>
      <c r="AH427771" s="251"/>
      <c r="AK427771" s="251"/>
    </row>
    <row r="427886" spans="25:37" x14ac:dyDescent="0.2">
      <c r="Y427886" s="5"/>
      <c r="AB427886" s="5"/>
      <c r="AE427886" s="5"/>
      <c r="AH427886" s="5"/>
      <c r="AK427886" s="5"/>
    </row>
    <row r="427896" spans="25:37" x14ac:dyDescent="0.2">
      <c r="Y427896" s="251"/>
      <c r="AB427896" s="251"/>
      <c r="AE427896" s="251"/>
      <c r="AH427896" s="251"/>
      <c r="AK427896" s="251"/>
    </row>
    <row r="428011" spans="25:37" x14ac:dyDescent="0.2">
      <c r="Y428011" s="5"/>
      <c r="AB428011" s="5"/>
      <c r="AE428011" s="5"/>
      <c r="AH428011" s="5"/>
      <c r="AK428011" s="5"/>
    </row>
    <row r="428021" spans="25:37" x14ac:dyDescent="0.2">
      <c r="Y428021" s="251"/>
      <c r="AB428021" s="251"/>
      <c r="AE428021" s="251"/>
      <c r="AH428021" s="251"/>
      <c r="AK428021" s="251"/>
    </row>
    <row r="428136" spans="25:37" x14ac:dyDescent="0.2">
      <c r="Y428136" s="5"/>
      <c r="AB428136" s="5"/>
      <c r="AE428136" s="5"/>
      <c r="AH428136" s="5"/>
      <c r="AK428136" s="5"/>
    </row>
    <row r="428146" spans="25:37" x14ac:dyDescent="0.2">
      <c r="Y428146" s="251"/>
      <c r="AB428146" s="251"/>
      <c r="AE428146" s="251"/>
      <c r="AH428146" s="251"/>
      <c r="AK428146" s="251"/>
    </row>
    <row r="428261" spans="25:37" x14ac:dyDescent="0.2">
      <c r="Y428261" s="5"/>
      <c r="AB428261" s="5"/>
      <c r="AE428261" s="5"/>
      <c r="AH428261" s="5"/>
      <c r="AK428261" s="5"/>
    </row>
    <row r="428271" spans="25:37" x14ac:dyDescent="0.2">
      <c r="Y428271" s="251"/>
      <c r="AB428271" s="251"/>
      <c r="AE428271" s="251"/>
      <c r="AH428271" s="251"/>
      <c r="AK428271" s="251"/>
    </row>
    <row r="428386" spans="25:37" x14ac:dyDescent="0.2">
      <c r="Y428386" s="5"/>
      <c r="AB428386" s="5"/>
      <c r="AE428386" s="5"/>
      <c r="AH428386" s="5"/>
      <c r="AK428386" s="5"/>
    </row>
    <row r="428396" spans="25:37" x14ac:dyDescent="0.2">
      <c r="Y428396" s="251"/>
      <c r="AB428396" s="251"/>
      <c r="AE428396" s="251"/>
      <c r="AH428396" s="251"/>
      <c r="AK428396" s="251"/>
    </row>
    <row r="428511" spans="25:37" x14ac:dyDescent="0.2">
      <c r="Y428511" s="5"/>
      <c r="AB428511" s="5"/>
      <c r="AE428511" s="5"/>
      <c r="AH428511" s="5"/>
      <c r="AK428511" s="5"/>
    </row>
    <row r="428521" spans="25:37" x14ac:dyDescent="0.2">
      <c r="Y428521" s="251"/>
      <c r="AB428521" s="251"/>
      <c r="AE428521" s="251"/>
      <c r="AH428521" s="251"/>
      <c r="AK428521" s="251"/>
    </row>
    <row r="428636" spans="25:37" x14ac:dyDescent="0.2">
      <c r="Y428636" s="5"/>
      <c r="AB428636" s="5"/>
      <c r="AE428636" s="5"/>
      <c r="AH428636" s="5"/>
      <c r="AK428636" s="5"/>
    </row>
    <row r="428646" spans="25:37" x14ac:dyDescent="0.2">
      <c r="Y428646" s="251"/>
      <c r="AB428646" s="251"/>
      <c r="AE428646" s="251"/>
      <c r="AH428646" s="251"/>
      <c r="AK428646" s="251"/>
    </row>
    <row r="428761" spans="25:37" x14ac:dyDescent="0.2">
      <c r="Y428761" s="5"/>
      <c r="AB428761" s="5"/>
      <c r="AE428761" s="5"/>
      <c r="AH428761" s="5"/>
      <c r="AK428761" s="5"/>
    </row>
    <row r="428771" spans="25:37" x14ac:dyDescent="0.2">
      <c r="Y428771" s="251"/>
      <c r="AB428771" s="251"/>
      <c r="AE428771" s="251"/>
      <c r="AH428771" s="251"/>
      <c r="AK428771" s="251"/>
    </row>
    <row r="428886" spans="25:37" x14ac:dyDescent="0.2">
      <c r="Y428886" s="5"/>
      <c r="AB428886" s="5"/>
      <c r="AE428886" s="5"/>
      <c r="AH428886" s="5"/>
      <c r="AK428886" s="5"/>
    </row>
    <row r="428896" spans="25:37" x14ac:dyDescent="0.2">
      <c r="Y428896" s="251"/>
      <c r="AB428896" s="251"/>
      <c r="AE428896" s="251"/>
      <c r="AH428896" s="251"/>
      <c r="AK428896" s="251"/>
    </row>
    <row r="429011" spans="25:37" x14ac:dyDescent="0.2">
      <c r="Y429011" s="5"/>
      <c r="AB429011" s="5"/>
      <c r="AE429011" s="5"/>
      <c r="AH429011" s="5"/>
      <c r="AK429011" s="5"/>
    </row>
    <row r="429021" spans="25:37" x14ac:dyDescent="0.2">
      <c r="Y429021" s="251"/>
      <c r="AB429021" s="251"/>
      <c r="AE429021" s="251"/>
      <c r="AH429021" s="251"/>
      <c r="AK429021" s="251"/>
    </row>
    <row r="429136" spans="25:37" x14ac:dyDescent="0.2">
      <c r="Y429136" s="5"/>
      <c r="AB429136" s="5"/>
      <c r="AE429136" s="5"/>
      <c r="AH429136" s="5"/>
      <c r="AK429136" s="5"/>
    </row>
    <row r="429146" spans="25:37" x14ac:dyDescent="0.2">
      <c r="Y429146" s="251"/>
      <c r="AB429146" s="251"/>
      <c r="AE429146" s="251"/>
      <c r="AH429146" s="251"/>
      <c r="AK429146" s="251"/>
    </row>
    <row r="429261" spans="25:37" x14ac:dyDescent="0.2">
      <c r="Y429261" s="5"/>
      <c r="AB429261" s="5"/>
      <c r="AE429261" s="5"/>
      <c r="AH429261" s="5"/>
      <c r="AK429261" s="5"/>
    </row>
    <row r="429271" spans="25:37" x14ac:dyDescent="0.2">
      <c r="Y429271" s="251"/>
      <c r="AB429271" s="251"/>
      <c r="AE429271" s="251"/>
      <c r="AH429271" s="251"/>
      <c r="AK429271" s="251"/>
    </row>
    <row r="429386" spans="25:37" x14ac:dyDescent="0.2">
      <c r="Y429386" s="5"/>
      <c r="AB429386" s="5"/>
      <c r="AE429386" s="5"/>
      <c r="AH429386" s="5"/>
      <c r="AK429386" s="5"/>
    </row>
    <row r="429396" spans="25:37" x14ac:dyDescent="0.2">
      <c r="Y429396" s="251"/>
      <c r="AB429396" s="251"/>
      <c r="AE429396" s="251"/>
      <c r="AH429396" s="251"/>
      <c r="AK429396" s="251"/>
    </row>
    <row r="429511" spans="25:37" x14ac:dyDescent="0.2">
      <c r="Y429511" s="5"/>
      <c r="AB429511" s="5"/>
      <c r="AE429511" s="5"/>
      <c r="AH429511" s="5"/>
      <c r="AK429511" s="5"/>
    </row>
    <row r="429521" spans="25:37" x14ac:dyDescent="0.2">
      <c r="Y429521" s="251"/>
      <c r="AB429521" s="251"/>
      <c r="AE429521" s="251"/>
      <c r="AH429521" s="251"/>
      <c r="AK429521" s="251"/>
    </row>
    <row r="429636" spans="25:37" x14ac:dyDescent="0.2">
      <c r="Y429636" s="5"/>
      <c r="AB429636" s="5"/>
      <c r="AE429636" s="5"/>
      <c r="AH429636" s="5"/>
      <c r="AK429636" s="5"/>
    </row>
    <row r="429646" spans="25:37" x14ac:dyDescent="0.2">
      <c r="Y429646" s="251"/>
      <c r="AB429646" s="251"/>
      <c r="AE429646" s="251"/>
      <c r="AH429646" s="251"/>
      <c r="AK429646" s="251"/>
    </row>
    <row r="429761" spans="25:37" x14ac:dyDescent="0.2">
      <c r="Y429761" s="5"/>
      <c r="AB429761" s="5"/>
      <c r="AE429761" s="5"/>
      <c r="AH429761" s="5"/>
      <c r="AK429761" s="5"/>
    </row>
    <row r="429771" spans="25:37" x14ac:dyDescent="0.2">
      <c r="Y429771" s="251"/>
      <c r="AB429771" s="251"/>
      <c r="AE429771" s="251"/>
      <c r="AH429771" s="251"/>
      <c r="AK429771" s="251"/>
    </row>
    <row r="429886" spans="25:37" x14ac:dyDescent="0.2">
      <c r="Y429886" s="5"/>
      <c r="AB429886" s="5"/>
      <c r="AE429886" s="5"/>
      <c r="AH429886" s="5"/>
      <c r="AK429886" s="5"/>
    </row>
    <row r="429896" spans="25:37" x14ac:dyDescent="0.2">
      <c r="Y429896" s="251"/>
      <c r="AB429896" s="251"/>
      <c r="AE429896" s="251"/>
      <c r="AH429896" s="251"/>
      <c r="AK429896" s="251"/>
    </row>
    <row r="430011" spans="25:37" x14ac:dyDescent="0.2">
      <c r="Y430011" s="5"/>
      <c r="AB430011" s="5"/>
      <c r="AE430011" s="5"/>
      <c r="AH430011" s="5"/>
      <c r="AK430011" s="5"/>
    </row>
    <row r="430021" spans="25:37" x14ac:dyDescent="0.2">
      <c r="Y430021" s="251"/>
      <c r="AB430021" s="251"/>
      <c r="AE430021" s="251"/>
      <c r="AH430021" s="251"/>
      <c r="AK430021" s="251"/>
    </row>
    <row r="430136" spans="25:37" x14ac:dyDescent="0.2">
      <c r="Y430136" s="5"/>
      <c r="AB430136" s="5"/>
      <c r="AE430136" s="5"/>
      <c r="AH430136" s="5"/>
      <c r="AK430136" s="5"/>
    </row>
    <row r="430146" spans="25:37" x14ac:dyDescent="0.2">
      <c r="Y430146" s="251"/>
      <c r="AB430146" s="251"/>
      <c r="AE430146" s="251"/>
      <c r="AH430146" s="251"/>
      <c r="AK430146" s="251"/>
    </row>
    <row r="430261" spans="25:37" x14ac:dyDescent="0.2">
      <c r="Y430261" s="5"/>
      <c r="AB430261" s="5"/>
      <c r="AE430261" s="5"/>
      <c r="AH430261" s="5"/>
      <c r="AK430261" s="5"/>
    </row>
    <row r="430271" spans="25:37" x14ac:dyDescent="0.2">
      <c r="Y430271" s="251"/>
      <c r="AB430271" s="251"/>
      <c r="AE430271" s="251"/>
      <c r="AH430271" s="251"/>
      <c r="AK430271" s="251"/>
    </row>
    <row r="430386" spans="25:37" x14ac:dyDescent="0.2">
      <c r="Y430386" s="5"/>
      <c r="AB430386" s="5"/>
      <c r="AE430386" s="5"/>
      <c r="AH430386" s="5"/>
      <c r="AK430386" s="5"/>
    </row>
    <row r="430396" spans="25:37" x14ac:dyDescent="0.2">
      <c r="Y430396" s="251"/>
      <c r="AB430396" s="251"/>
      <c r="AE430396" s="251"/>
      <c r="AH430396" s="251"/>
      <c r="AK430396" s="251"/>
    </row>
    <row r="430511" spans="25:37" x14ac:dyDescent="0.2">
      <c r="Y430511" s="5"/>
      <c r="AB430511" s="5"/>
      <c r="AE430511" s="5"/>
      <c r="AH430511" s="5"/>
      <c r="AK430511" s="5"/>
    </row>
    <row r="430521" spans="25:37" x14ac:dyDescent="0.2">
      <c r="Y430521" s="251"/>
      <c r="AB430521" s="251"/>
      <c r="AE430521" s="251"/>
      <c r="AH430521" s="251"/>
      <c r="AK430521" s="251"/>
    </row>
    <row r="430636" spans="25:37" x14ac:dyDescent="0.2">
      <c r="Y430636" s="5"/>
      <c r="AB430636" s="5"/>
      <c r="AE430636" s="5"/>
      <c r="AH430636" s="5"/>
      <c r="AK430636" s="5"/>
    </row>
    <row r="430646" spans="25:37" x14ac:dyDescent="0.2">
      <c r="Y430646" s="251"/>
      <c r="AB430646" s="251"/>
      <c r="AE430646" s="251"/>
      <c r="AH430646" s="251"/>
      <c r="AK430646" s="251"/>
    </row>
    <row r="430761" spans="25:37" x14ac:dyDescent="0.2">
      <c r="Y430761" s="5"/>
      <c r="AB430761" s="5"/>
      <c r="AE430761" s="5"/>
      <c r="AH430761" s="5"/>
      <c r="AK430761" s="5"/>
    </row>
    <row r="430771" spans="25:37" x14ac:dyDescent="0.2">
      <c r="Y430771" s="251"/>
      <c r="AB430771" s="251"/>
      <c r="AE430771" s="251"/>
      <c r="AH430771" s="251"/>
      <c r="AK430771" s="251"/>
    </row>
    <row r="430886" spans="25:37" x14ac:dyDescent="0.2">
      <c r="Y430886" s="5"/>
      <c r="AB430886" s="5"/>
      <c r="AE430886" s="5"/>
      <c r="AH430886" s="5"/>
      <c r="AK430886" s="5"/>
    </row>
    <row r="430896" spans="25:37" x14ac:dyDescent="0.2">
      <c r="Y430896" s="251"/>
      <c r="AB430896" s="251"/>
      <c r="AE430896" s="251"/>
      <c r="AH430896" s="251"/>
      <c r="AK430896" s="251"/>
    </row>
    <row r="431011" spans="25:37" x14ac:dyDescent="0.2">
      <c r="Y431011" s="5"/>
      <c r="AB431011" s="5"/>
      <c r="AE431011" s="5"/>
      <c r="AH431011" s="5"/>
      <c r="AK431011" s="5"/>
    </row>
    <row r="431021" spans="25:37" x14ac:dyDescent="0.2">
      <c r="Y431021" s="251"/>
      <c r="AB431021" s="251"/>
      <c r="AE431021" s="251"/>
      <c r="AH431021" s="251"/>
      <c r="AK431021" s="251"/>
    </row>
    <row r="431136" spans="25:37" x14ac:dyDescent="0.2">
      <c r="Y431136" s="5"/>
      <c r="AB431136" s="5"/>
      <c r="AE431136" s="5"/>
      <c r="AH431136" s="5"/>
      <c r="AK431136" s="5"/>
    </row>
    <row r="431146" spans="25:37" x14ac:dyDescent="0.2">
      <c r="Y431146" s="251"/>
      <c r="AB431146" s="251"/>
      <c r="AE431146" s="251"/>
      <c r="AH431146" s="251"/>
      <c r="AK431146" s="251"/>
    </row>
    <row r="431261" spans="25:37" x14ac:dyDescent="0.2">
      <c r="Y431261" s="5"/>
      <c r="AB431261" s="5"/>
      <c r="AE431261" s="5"/>
      <c r="AH431261" s="5"/>
      <c r="AK431261" s="5"/>
    </row>
    <row r="431271" spans="25:37" x14ac:dyDescent="0.2">
      <c r="Y431271" s="251"/>
      <c r="AB431271" s="251"/>
      <c r="AE431271" s="251"/>
      <c r="AH431271" s="251"/>
      <c r="AK431271" s="251"/>
    </row>
    <row r="431386" spans="25:37" x14ac:dyDescent="0.2">
      <c r="Y431386" s="5"/>
      <c r="AB431386" s="5"/>
      <c r="AE431386" s="5"/>
      <c r="AH431386" s="5"/>
      <c r="AK431386" s="5"/>
    </row>
    <row r="431396" spans="25:37" x14ac:dyDescent="0.2">
      <c r="Y431396" s="251"/>
      <c r="AB431396" s="251"/>
      <c r="AE431396" s="251"/>
      <c r="AH431396" s="251"/>
      <c r="AK431396" s="251"/>
    </row>
    <row r="431511" spans="25:37" x14ac:dyDescent="0.2">
      <c r="Y431511" s="5"/>
      <c r="AB431511" s="5"/>
      <c r="AE431511" s="5"/>
      <c r="AH431511" s="5"/>
      <c r="AK431511" s="5"/>
    </row>
    <row r="431521" spans="25:37" x14ac:dyDescent="0.2">
      <c r="Y431521" s="251"/>
      <c r="AB431521" s="251"/>
      <c r="AE431521" s="251"/>
      <c r="AH431521" s="251"/>
      <c r="AK431521" s="251"/>
    </row>
    <row r="431636" spans="25:37" x14ac:dyDescent="0.2">
      <c r="Y431636" s="5"/>
      <c r="AB431636" s="5"/>
      <c r="AE431636" s="5"/>
      <c r="AH431636" s="5"/>
      <c r="AK431636" s="5"/>
    </row>
    <row r="431646" spans="25:37" x14ac:dyDescent="0.2">
      <c r="Y431646" s="251"/>
      <c r="AB431646" s="251"/>
      <c r="AE431646" s="251"/>
      <c r="AH431646" s="251"/>
      <c r="AK431646" s="251"/>
    </row>
    <row r="431761" spans="25:37" x14ac:dyDescent="0.2">
      <c r="Y431761" s="5"/>
      <c r="AB431761" s="5"/>
      <c r="AE431761" s="5"/>
      <c r="AH431761" s="5"/>
      <c r="AK431761" s="5"/>
    </row>
    <row r="431771" spans="25:37" x14ac:dyDescent="0.2">
      <c r="Y431771" s="251"/>
      <c r="AB431771" s="251"/>
      <c r="AE431771" s="251"/>
      <c r="AH431771" s="251"/>
      <c r="AK431771" s="251"/>
    </row>
    <row r="431886" spans="25:37" x14ac:dyDescent="0.2">
      <c r="Y431886" s="5"/>
      <c r="AB431886" s="5"/>
      <c r="AE431886" s="5"/>
      <c r="AH431886" s="5"/>
      <c r="AK431886" s="5"/>
    </row>
    <row r="431896" spans="25:37" x14ac:dyDescent="0.2">
      <c r="Y431896" s="251"/>
      <c r="AB431896" s="251"/>
      <c r="AE431896" s="251"/>
      <c r="AH431896" s="251"/>
      <c r="AK431896" s="251"/>
    </row>
    <row r="432011" spans="25:37" x14ac:dyDescent="0.2">
      <c r="Y432011" s="5"/>
      <c r="AB432011" s="5"/>
      <c r="AE432011" s="5"/>
      <c r="AH432011" s="5"/>
      <c r="AK432011" s="5"/>
    </row>
    <row r="432021" spans="25:37" x14ac:dyDescent="0.2">
      <c r="Y432021" s="251"/>
      <c r="AB432021" s="251"/>
      <c r="AE432021" s="251"/>
      <c r="AH432021" s="251"/>
      <c r="AK432021" s="251"/>
    </row>
    <row r="432136" spans="25:37" x14ac:dyDescent="0.2">
      <c r="Y432136" s="5"/>
      <c r="AB432136" s="5"/>
      <c r="AE432136" s="5"/>
      <c r="AH432136" s="5"/>
      <c r="AK432136" s="5"/>
    </row>
    <row r="432146" spans="25:37" x14ac:dyDescent="0.2">
      <c r="Y432146" s="251"/>
      <c r="AB432146" s="251"/>
      <c r="AE432146" s="251"/>
      <c r="AH432146" s="251"/>
      <c r="AK432146" s="251"/>
    </row>
    <row r="432261" spans="25:37" x14ac:dyDescent="0.2">
      <c r="Y432261" s="5"/>
      <c r="AB432261" s="5"/>
      <c r="AE432261" s="5"/>
      <c r="AH432261" s="5"/>
      <c r="AK432261" s="5"/>
    </row>
    <row r="432271" spans="25:37" x14ac:dyDescent="0.2">
      <c r="Y432271" s="251"/>
      <c r="AB432271" s="251"/>
      <c r="AE432271" s="251"/>
      <c r="AH432271" s="251"/>
      <c r="AK432271" s="251"/>
    </row>
    <row r="432386" spans="25:37" x14ac:dyDescent="0.2">
      <c r="Y432386" s="5"/>
      <c r="AB432386" s="5"/>
      <c r="AE432386" s="5"/>
      <c r="AH432386" s="5"/>
      <c r="AK432386" s="5"/>
    </row>
    <row r="432396" spans="25:37" x14ac:dyDescent="0.2">
      <c r="Y432396" s="251"/>
      <c r="AB432396" s="251"/>
      <c r="AE432396" s="251"/>
      <c r="AH432396" s="251"/>
      <c r="AK432396" s="251"/>
    </row>
    <row r="432511" spans="25:37" x14ac:dyDescent="0.2">
      <c r="Y432511" s="5"/>
      <c r="AB432511" s="5"/>
      <c r="AE432511" s="5"/>
      <c r="AH432511" s="5"/>
      <c r="AK432511" s="5"/>
    </row>
    <row r="432521" spans="25:37" x14ac:dyDescent="0.2">
      <c r="Y432521" s="251"/>
      <c r="AB432521" s="251"/>
      <c r="AE432521" s="251"/>
      <c r="AH432521" s="251"/>
      <c r="AK432521" s="251"/>
    </row>
    <row r="432636" spans="25:37" x14ac:dyDescent="0.2">
      <c r="Y432636" s="5"/>
      <c r="AB432636" s="5"/>
      <c r="AE432636" s="5"/>
      <c r="AH432636" s="5"/>
      <c r="AK432636" s="5"/>
    </row>
    <row r="432646" spans="25:37" x14ac:dyDescent="0.2">
      <c r="Y432646" s="251"/>
      <c r="AB432646" s="251"/>
      <c r="AE432646" s="251"/>
      <c r="AH432646" s="251"/>
      <c r="AK432646" s="251"/>
    </row>
    <row r="432761" spans="25:37" x14ac:dyDescent="0.2">
      <c r="Y432761" s="5"/>
      <c r="AB432761" s="5"/>
      <c r="AE432761" s="5"/>
      <c r="AH432761" s="5"/>
      <c r="AK432761" s="5"/>
    </row>
    <row r="432771" spans="25:37" x14ac:dyDescent="0.2">
      <c r="Y432771" s="251"/>
      <c r="AB432771" s="251"/>
      <c r="AE432771" s="251"/>
      <c r="AH432771" s="251"/>
      <c r="AK432771" s="251"/>
    </row>
    <row r="432886" spans="25:37" x14ac:dyDescent="0.2">
      <c r="Y432886" s="5"/>
      <c r="AB432886" s="5"/>
      <c r="AE432886" s="5"/>
      <c r="AH432886" s="5"/>
      <c r="AK432886" s="5"/>
    </row>
    <row r="432896" spans="25:37" x14ac:dyDescent="0.2">
      <c r="Y432896" s="251"/>
      <c r="AB432896" s="251"/>
      <c r="AE432896" s="251"/>
      <c r="AH432896" s="251"/>
      <c r="AK432896" s="251"/>
    </row>
    <row r="433011" spans="25:37" x14ac:dyDescent="0.2">
      <c r="Y433011" s="5"/>
      <c r="AB433011" s="5"/>
      <c r="AE433011" s="5"/>
      <c r="AH433011" s="5"/>
      <c r="AK433011" s="5"/>
    </row>
    <row r="433021" spans="25:37" x14ac:dyDescent="0.2">
      <c r="Y433021" s="251"/>
      <c r="AB433021" s="251"/>
      <c r="AE433021" s="251"/>
      <c r="AH433021" s="251"/>
      <c r="AK433021" s="251"/>
    </row>
    <row r="433136" spans="25:37" x14ac:dyDescent="0.2">
      <c r="Y433136" s="5"/>
      <c r="AB433136" s="5"/>
      <c r="AE433136" s="5"/>
      <c r="AH433136" s="5"/>
      <c r="AK433136" s="5"/>
    </row>
    <row r="433146" spans="25:37" x14ac:dyDescent="0.2">
      <c r="Y433146" s="251"/>
      <c r="AB433146" s="251"/>
      <c r="AE433146" s="251"/>
      <c r="AH433146" s="251"/>
      <c r="AK433146" s="251"/>
    </row>
    <row r="433261" spans="25:37" x14ac:dyDescent="0.2">
      <c r="Y433261" s="5"/>
      <c r="AB433261" s="5"/>
      <c r="AE433261" s="5"/>
      <c r="AH433261" s="5"/>
      <c r="AK433261" s="5"/>
    </row>
    <row r="433271" spans="25:37" x14ac:dyDescent="0.2">
      <c r="Y433271" s="251"/>
      <c r="AB433271" s="251"/>
      <c r="AE433271" s="251"/>
      <c r="AH433271" s="251"/>
      <c r="AK433271" s="251"/>
    </row>
    <row r="433386" spans="25:37" x14ac:dyDescent="0.2">
      <c r="Y433386" s="5"/>
      <c r="AB433386" s="5"/>
      <c r="AE433386" s="5"/>
      <c r="AH433386" s="5"/>
      <c r="AK433386" s="5"/>
    </row>
    <row r="433396" spans="25:37" x14ac:dyDescent="0.2">
      <c r="Y433396" s="251"/>
      <c r="AB433396" s="251"/>
      <c r="AE433396" s="251"/>
      <c r="AH433396" s="251"/>
      <c r="AK433396" s="251"/>
    </row>
    <row r="433511" spans="25:37" x14ac:dyDescent="0.2">
      <c r="Y433511" s="5"/>
      <c r="AB433511" s="5"/>
      <c r="AE433511" s="5"/>
      <c r="AH433511" s="5"/>
      <c r="AK433511" s="5"/>
    </row>
    <row r="433521" spans="25:37" x14ac:dyDescent="0.2">
      <c r="Y433521" s="251"/>
      <c r="AB433521" s="251"/>
      <c r="AE433521" s="251"/>
      <c r="AH433521" s="251"/>
      <c r="AK433521" s="251"/>
    </row>
    <row r="433636" spans="25:37" x14ac:dyDescent="0.2">
      <c r="Y433636" s="5"/>
      <c r="AB433636" s="5"/>
      <c r="AE433636" s="5"/>
      <c r="AH433636" s="5"/>
      <c r="AK433636" s="5"/>
    </row>
    <row r="433646" spans="25:37" x14ac:dyDescent="0.2">
      <c r="Y433646" s="251"/>
      <c r="AB433646" s="251"/>
      <c r="AE433646" s="251"/>
      <c r="AH433646" s="251"/>
      <c r="AK433646" s="251"/>
    </row>
    <row r="433761" spans="25:37" x14ac:dyDescent="0.2">
      <c r="Y433761" s="5"/>
      <c r="AB433761" s="5"/>
      <c r="AE433761" s="5"/>
      <c r="AH433761" s="5"/>
      <c r="AK433761" s="5"/>
    </row>
    <row r="433771" spans="25:37" x14ac:dyDescent="0.2">
      <c r="Y433771" s="251"/>
      <c r="AB433771" s="251"/>
      <c r="AE433771" s="251"/>
      <c r="AH433771" s="251"/>
      <c r="AK433771" s="251"/>
    </row>
    <row r="433886" spans="25:37" x14ac:dyDescent="0.2">
      <c r="Y433886" s="5"/>
      <c r="AB433886" s="5"/>
      <c r="AE433886" s="5"/>
      <c r="AH433886" s="5"/>
      <c r="AK433886" s="5"/>
    </row>
    <row r="433896" spans="25:37" x14ac:dyDescent="0.2">
      <c r="Y433896" s="251"/>
      <c r="AB433896" s="251"/>
      <c r="AE433896" s="251"/>
      <c r="AH433896" s="251"/>
      <c r="AK433896" s="251"/>
    </row>
    <row r="434011" spans="25:37" x14ac:dyDescent="0.2">
      <c r="Y434011" s="5"/>
      <c r="AB434011" s="5"/>
      <c r="AE434011" s="5"/>
      <c r="AH434011" s="5"/>
      <c r="AK434011" s="5"/>
    </row>
    <row r="434021" spans="25:37" x14ac:dyDescent="0.2">
      <c r="Y434021" s="251"/>
      <c r="AB434021" s="251"/>
      <c r="AE434021" s="251"/>
      <c r="AH434021" s="251"/>
      <c r="AK434021" s="251"/>
    </row>
    <row r="434136" spans="25:37" x14ac:dyDescent="0.2">
      <c r="Y434136" s="5"/>
      <c r="AB434136" s="5"/>
      <c r="AE434136" s="5"/>
      <c r="AH434136" s="5"/>
      <c r="AK434136" s="5"/>
    </row>
    <row r="434146" spans="25:37" x14ac:dyDescent="0.2">
      <c r="Y434146" s="251"/>
      <c r="AB434146" s="251"/>
      <c r="AE434146" s="251"/>
      <c r="AH434146" s="251"/>
      <c r="AK434146" s="251"/>
    </row>
    <row r="434261" spans="25:37" x14ac:dyDescent="0.2">
      <c r="Y434261" s="5"/>
      <c r="AB434261" s="5"/>
      <c r="AE434261" s="5"/>
      <c r="AH434261" s="5"/>
      <c r="AK434261" s="5"/>
    </row>
    <row r="434271" spans="25:37" x14ac:dyDescent="0.2">
      <c r="Y434271" s="251"/>
      <c r="AB434271" s="251"/>
      <c r="AE434271" s="251"/>
      <c r="AH434271" s="251"/>
      <c r="AK434271" s="251"/>
    </row>
    <row r="434386" spans="25:37" x14ac:dyDescent="0.2">
      <c r="Y434386" s="5"/>
      <c r="AB434386" s="5"/>
      <c r="AE434386" s="5"/>
      <c r="AH434386" s="5"/>
      <c r="AK434386" s="5"/>
    </row>
    <row r="434396" spans="25:37" x14ac:dyDescent="0.2">
      <c r="Y434396" s="251"/>
      <c r="AB434396" s="251"/>
      <c r="AE434396" s="251"/>
      <c r="AH434396" s="251"/>
      <c r="AK434396" s="251"/>
    </row>
    <row r="434511" spans="25:37" x14ac:dyDescent="0.2">
      <c r="Y434511" s="5"/>
      <c r="AB434511" s="5"/>
      <c r="AE434511" s="5"/>
      <c r="AH434511" s="5"/>
      <c r="AK434511" s="5"/>
    </row>
    <row r="434521" spans="25:37" x14ac:dyDescent="0.2">
      <c r="Y434521" s="251"/>
      <c r="AB434521" s="251"/>
      <c r="AE434521" s="251"/>
      <c r="AH434521" s="251"/>
      <c r="AK434521" s="251"/>
    </row>
    <row r="434636" spans="25:37" x14ac:dyDescent="0.2">
      <c r="Y434636" s="5"/>
      <c r="AB434636" s="5"/>
      <c r="AE434636" s="5"/>
      <c r="AH434636" s="5"/>
      <c r="AK434636" s="5"/>
    </row>
    <row r="434646" spans="25:37" x14ac:dyDescent="0.2">
      <c r="Y434646" s="251"/>
      <c r="AB434646" s="251"/>
      <c r="AE434646" s="251"/>
      <c r="AH434646" s="251"/>
      <c r="AK434646" s="251"/>
    </row>
    <row r="434761" spans="25:37" x14ac:dyDescent="0.2">
      <c r="Y434761" s="5"/>
      <c r="AB434761" s="5"/>
      <c r="AE434761" s="5"/>
      <c r="AH434761" s="5"/>
      <c r="AK434761" s="5"/>
    </row>
    <row r="434771" spans="25:37" x14ac:dyDescent="0.2">
      <c r="Y434771" s="251"/>
      <c r="AB434771" s="251"/>
      <c r="AE434771" s="251"/>
      <c r="AH434771" s="251"/>
      <c r="AK434771" s="251"/>
    </row>
    <row r="434886" spans="25:37" x14ac:dyDescent="0.2">
      <c r="Y434886" s="5"/>
      <c r="AB434886" s="5"/>
      <c r="AE434886" s="5"/>
      <c r="AH434886" s="5"/>
      <c r="AK434886" s="5"/>
    </row>
    <row r="434896" spans="25:37" x14ac:dyDescent="0.2">
      <c r="Y434896" s="251"/>
      <c r="AB434896" s="251"/>
      <c r="AE434896" s="251"/>
      <c r="AH434896" s="251"/>
      <c r="AK434896" s="251"/>
    </row>
    <row r="435011" spans="25:37" x14ac:dyDescent="0.2">
      <c r="Y435011" s="5"/>
      <c r="AB435011" s="5"/>
      <c r="AE435011" s="5"/>
      <c r="AH435011" s="5"/>
      <c r="AK435011" s="5"/>
    </row>
    <row r="435021" spans="25:37" x14ac:dyDescent="0.2">
      <c r="Y435021" s="251"/>
      <c r="AB435021" s="251"/>
      <c r="AE435021" s="251"/>
      <c r="AH435021" s="251"/>
      <c r="AK435021" s="251"/>
    </row>
    <row r="435136" spans="25:37" x14ac:dyDescent="0.2">
      <c r="Y435136" s="5"/>
      <c r="AB435136" s="5"/>
      <c r="AE435136" s="5"/>
      <c r="AH435136" s="5"/>
      <c r="AK435136" s="5"/>
    </row>
    <row r="435146" spans="25:37" x14ac:dyDescent="0.2">
      <c r="Y435146" s="251"/>
      <c r="AB435146" s="251"/>
      <c r="AE435146" s="251"/>
      <c r="AH435146" s="251"/>
      <c r="AK435146" s="251"/>
    </row>
    <row r="435261" spans="25:37" x14ac:dyDescent="0.2">
      <c r="Y435261" s="5"/>
      <c r="AB435261" s="5"/>
      <c r="AE435261" s="5"/>
      <c r="AH435261" s="5"/>
      <c r="AK435261" s="5"/>
    </row>
    <row r="435271" spans="25:37" x14ac:dyDescent="0.2">
      <c r="Y435271" s="251"/>
      <c r="AB435271" s="251"/>
      <c r="AE435271" s="251"/>
      <c r="AH435271" s="251"/>
      <c r="AK435271" s="251"/>
    </row>
    <row r="435386" spans="25:37" x14ac:dyDescent="0.2">
      <c r="Y435386" s="5"/>
      <c r="AB435386" s="5"/>
      <c r="AE435386" s="5"/>
      <c r="AH435386" s="5"/>
      <c r="AK435386" s="5"/>
    </row>
    <row r="435396" spans="25:37" x14ac:dyDescent="0.2">
      <c r="Y435396" s="251"/>
      <c r="AB435396" s="251"/>
      <c r="AE435396" s="251"/>
      <c r="AH435396" s="251"/>
      <c r="AK435396" s="251"/>
    </row>
    <row r="435511" spans="25:37" x14ac:dyDescent="0.2">
      <c r="Y435511" s="5"/>
      <c r="AB435511" s="5"/>
      <c r="AE435511" s="5"/>
      <c r="AH435511" s="5"/>
      <c r="AK435511" s="5"/>
    </row>
    <row r="435521" spans="25:37" x14ac:dyDescent="0.2">
      <c r="Y435521" s="251"/>
      <c r="AB435521" s="251"/>
      <c r="AE435521" s="251"/>
      <c r="AH435521" s="251"/>
      <c r="AK435521" s="251"/>
    </row>
    <row r="435636" spans="25:37" x14ac:dyDescent="0.2">
      <c r="Y435636" s="5"/>
      <c r="AB435636" s="5"/>
      <c r="AE435636" s="5"/>
      <c r="AH435636" s="5"/>
      <c r="AK435636" s="5"/>
    </row>
    <row r="435646" spans="25:37" x14ac:dyDescent="0.2">
      <c r="Y435646" s="251"/>
      <c r="AB435646" s="251"/>
      <c r="AE435646" s="251"/>
      <c r="AH435646" s="251"/>
      <c r="AK435646" s="251"/>
    </row>
    <row r="435761" spans="25:37" x14ac:dyDescent="0.2">
      <c r="Y435761" s="5"/>
      <c r="AB435761" s="5"/>
      <c r="AE435761" s="5"/>
      <c r="AH435761" s="5"/>
      <c r="AK435761" s="5"/>
    </row>
    <row r="435771" spans="25:37" x14ac:dyDescent="0.2">
      <c r="Y435771" s="251"/>
      <c r="AB435771" s="251"/>
      <c r="AE435771" s="251"/>
      <c r="AH435771" s="251"/>
      <c r="AK435771" s="251"/>
    </row>
    <row r="435886" spans="25:37" x14ac:dyDescent="0.2">
      <c r="Y435886" s="5"/>
      <c r="AB435886" s="5"/>
      <c r="AE435886" s="5"/>
      <c r="AH435886" s="5"/>
      <c r="AK435886" s="5"/>
    </row>
    <row r="435896" spans="25:37" x14ac:dyDescent="0.2">
      <c r="Y435896" s="251"/>
      <c r="AB435896" s="251"/>
      <c r="AE435896" s="251"/>
      <c r="AH435896" s="251"/>
      <c r="AK435896" s="251"/>
    </row>
    <row r="436011" spans="25:37" x14ac:dyDescent="0.2">
      <c r="Y436011" s="5"/>
      <c r="AB436011" s="5"/>
      <c r="AE436011" s="5"/>
      <c r="AH436011" s="5"/>
      <c r="AK436011" s="5"/>
    </row>
    <row r="436021" spans="25:37" x14ac:dyDescent="0.2">
      <c r="Y436021" s="251"/>
      <c r="AB436021" s="251"/>
      <c r="AE436021" s="251"/>
      <c r="AH436021" s="251"/>
      <c r="AK436021" s="251"/>
    </row>
    <row r="436136" spans="25:37" x14ac:dyDescent="0.2">
      <c r="Y436136" s="5"/>
      <c r="AB436136" s="5"/>
      <c r="AE436136" s="5"/>
      <c r="AH436136" s="5"/>
      <c r="AK436136" s="5"/>
    </row>
    <row r="436146" spans="25:37" x14ac:dyDescent="0.2">
      <c r="Y436146" s="251"/>
      <c r="AB436146" s="251"/>
      <c r="AE436146" s="251"/>
      <c r="AH436146" s="251"/>
      <c r="AK436146" s="251"/>
    </row>
    <row r="436261" spans="25:37" x14ac:dyDescent="0.2">
      <c r="Y436261" s="5"/>
      <c r="AB436261" s="5"/>
      <c r="AE436261" s="5"/>
      <c r="AH436261" s="5"/>
      <c r="AK436261" s="5"/>
    </row>
    <row r="436271" spans="25:37" x14ac:dyDescent="0.2">
      <c r="Y436271" s="251"/>
      <c r="AB436271" s="251"/>
      <c r="AE436271" s="251"/>
      <c r="AH436271" s="251"/>
      <c r="AK436271" s="251"/>
    </row>
    <row r="436386" spans="25:37" x14ac:dyDescent="0.2">
      <c r="Y436386" s="5"/>
      <c r="AB436386" s="5"/>
      <c r="AE436386" s="5"/>
      <c r="AH436386" s="5"/>
      <c r="AK436386" s="5"/>
    </row>
    <row r="436396" spans="25:37" x14ac:dyDescent="0.2">
      <c r="Y436396" s="251"/>
      <c r="AB436396" s="251"/>
      <c r="AE436396" s="251"/>
      <c r="AH436396" s="251"/>
      <c r="AK436396" s="251"/>
    </row>
    <row r="436511" spans="25:37" x14ac:dyDescent="0.2">
      <c r="Y436511" s="5"/>
      <c r="AB436511" s="5"/>
      <c r="AE436511" s="5"/>
      <c r="AH436511" s="5"/>
      <c r="AK436511" s="5"/>
    </row>
    <row r="436521" spans="25:37" x14ac:dyDescent="0.2">
      <c r="Y436521" s="251"/>
      <c r="AB436521" s="251"/>
      <c r="AE436521" s="251"/>
      <c r="AH436521" s="251"/>
      <c r="AK436521" s="251"/>
    </row>
    <row r="436636" spans="25:37" x14ac:dyDescent="0.2">
      <c r="Y436636" s="5"/>
      <c r="AB436636" s="5"/>
      <c r="AE436636" s="5"/>
      <c r="AH436636" s="5"/>
      <c r="AK436636" s="5"/>
    </row>
    <row r="436646" spans="25:37" x14ac:dyDescent="0.2">
      <c r="Y436646" s="251"/>
      <c r="AB436646" s="251"/>
      <c r="AE436646" s="251"/>
      <c r="AH436646" s="251"/>
      <c r="AK436646" s="251"/>
    </row>
    <row r="436761" spans="25:37" x14ac:dyDescent="0.2">
      <c r="Y436761" s="5"/>
      <c r="AB436761" s="5"/>
      <c r="AE436761" s="5"/>
      <c r="AH436761" s="5"/>
      <c r="AK436761" s="5"/>
    </row>
    <row r="436771" spans="25:37" x14ac:dyDescent="0.2">
      <c r="Y436771" s="251"/>
      <c r="AB436771" s="251"/>
      <c r="AE436771" s="251"/>
      <c r="AH436771" s="251"/>
      <c r="AK436771" s="251"/>
    </row>
    <row r="436886" spans="25:37" x14ac:dyDescent="0.2">
      <c r="Y436886" s="5"/>
      <c r="AB436886" s="5"/>
      <c r="AE436886" s="5"/>
      <c r="AH436886" s="5"/>
      <c r="AK436886" s="5"/>
    </row>
    <row r="436896" spans="25:37" x14ac:dyDescent="0.2">
      <c r="Y436896" s="251"/>
      <c r="AB436896" s="251"/>
      <c r="AE436896" s="251"/>
      <c r="AH436896" s="251"/>
      <c r="AK436896" s="251"/>
    </row>
    <row r="437011" spans="25:37" x14ac:dyDescent="0.2">
      <c r="Y437011" s="5"/>
      <c r="AB437011" s="5"/>
      <c r="AE437011" s="5"/>
      <c r="AH437011" s="5"/>
      <c r="AK437011" s="5"/>
    </row>
    <row r="437021" spans="25:37" x14ac:dyDescent="0.2">
      <c r="Y437021" s="251"/>
      <c r="AB437021" s="251"/>
      <c r="AE437021" s="251"/>
      <c r="AH437021" s="251"/>
      <c r="AK437021" s="251"/>
    </row>
    <row r="437136" spans="25:37" x14ac:dyDescent="0.2">
      <c r="Y437136" s="5"/>
      <c r="AB437136" s="5"/>
      <c r="AE437136" s="5"/>
      <c r="AH437136" s="5"/>
      <c r="AK437136" s="5"/>
    </row>
    <row r="437146" spans="25:37" x14ac:dyDescent="0.2">
      <c r="Y437146" s="251"/>
      <c r="AB437146" s="251"/>
      <c r="AE437146" s="251"/>
      <c r="AH437146" s="251"/>
      <c r="AK437146" s="251"/>
    </row>
    <row r="437261" spans="25:37" x14ac:dyDescent="0.2">
      <c r="Y437261" s="5"/>
      <c r="AB437261" s="5"/>
      <c r="AE437261" s="5"/>
      <c r="AH437261" s="5"/>
      <c r="AK437261" s="5"/>
    </row>
    <row r="437271" spans="25:37" x14ac:dyDescent="0.2">
      <c r="Y437271" s="251"/>
      <c r="AB437271" s="251"/>
      <c r="AE437271" s="251"/>
      <c r="AH437271" s="251"/>
      <c r="AK437271" s="251"/>
    </row>
    <row r="437386" spans="25:37" x14ac:dyDescent="0.2">
      <c r="Y437386" s="5"/>
      <c r="AB437386" s="5"/>
      <c r="AE437386" s="5"/>
      <c r="AH437386" s="5"/>
      <c r="AK437386" s="5"/>
    </row>
    <row r="437396" spans="25:37" x14ac:dyDescent="0.2">
      <c r="Y437396" s="251"/>
      <c r="AB437396" s="251"/>
      <c r="AE437396" s="251"/>
      <c r="AH437396" s="251"/>
      <c r="AK437396" s="251"/>
    </row>
    <row r="437511" spans="25:37" x14ac:dyDescent="0.2">
      <c r="Y437511" s="5"/>
      <c r="AB437511" s="5"/>
      <c r="AE437511" s="5"/>
      <c r="AH437511" s="5"/>
      <c r="AK437511" s="5"/>
    </row>
    <row r="437521" spans="25:37" x14ac:dyDescent="0.2">
      <c r="Y437521" s="251"/>
      <c r="AB437521" s="251"/>
      <c r="AE437521" s="251"/>
      <c r="AH437521" s="251"/>
      <c r="AK437521" s="251"/>
    </row>
    <row r="437636" spans="25:37" x14ac:dyDescent="0.2">
      <c r="Y437636" s="5"/>
      <c r="AB437636" s="5"/>
      <c r="AE437636" s="5"/>
      <c r="AH437636" s="5"/>
      <c r="AK437636" s="5"/>
    </row>
    <row r="437646" spans="25:37" x14ac:dyDescent="0.2">
      <c r="Y437646" s="251"/>
      <c r="AB437646" s="251"/>
      <c r="AE437646" s="251"/>
      <c r="AH437646" s="251"/>
      <c r="AK437646" s="251"/>
    </row>
    <row r="437761" spans="25:37" x14ac:dyDescent="0.2">
      <c r="Y437761" s="5"/>
      <c r="AB437761" s="5"/>
      <c r="AE437761" s="5"/>
      <c r="AH437761" s="5"/>
      <c r="AK437761" s="5"/>
    </row>
    <row r="437771" spans="25:37" x14ac:dyDescent="0.2">
      <c r="Y437771" s="251"/>
      <c r="AB437771" s="251"/>
      <c r="AE437771" s="251"/>
      <c r="AH437771" s="251"/>
      <c r="AK437771" s="251"/>
    </row>
    <row r="437886" spans="25:37" x14ac:dyDescent="0.2">
      <c r="Y437886" s="5"/>
      <c r="AB437886" s="5"/>
      <c r="AE437886" s="5"/>
      <c r="AH437886" s="5"/>
      <c r="AK437886" s="5"/>
    </row>
    <row r="437896" spans="25:37" x14ac:dyDescent="0.2">
      <c r="Y437896" s="251"/>
      <c r="AB437896" s="251"/>
      <c r="AE437896" s="251"/>
      <c r="AH437896" s="251"/>
      <c r="AK437896" s="251"/>
    </row>
    <row r="438011" spans="25:37" x14ac:dyDescent="0.2">
      <c r="Y438011" s="5"/>
      <c r="AB438011" s="5"/>
      <c r="AE438011" s="5"/>
      <c r="AH438011" s="5"/>
      <c r="AK438011" s="5"/>
    </row>
    <row r="438021" spans="25:37" x14ac:dyDescent="0.2">
      <c r="Y438021" s="251"/>
      <c r="AB438021" s="251"/>
      <c r="AE438021" s="251"/>
      <c r="AH438021" s="251"/>
      <c r="AK438021" s="251"/>
    </row>
    <row r="438136" spans="25:37" x14ac:dyDescent="0.2">
      <c r="Y438136" s="5"/>
      <c r="AB438136" s="5"/>
      <c r="AE438136" s="5"/>
      <c r="AH438136" s="5"/>
      <c r="AK438136" s="5"/>
    </row>
    <row r="438146" spans="25:37" x14ac:dyDescent="0.2">
      <c r="Y438146" s="251"/>
      <c r="AB438146" s="251"/>
      <c r="AE438146" s="251"/>
      <c r="AH438146" s="251"/>
      <c r="AK438146" s="251"/>
    </row>
    <row r="438261" spans="25:37" x14ac:dyDescent="0.2">
      <c r="Y438261" s="5"/>
      <c r="AB438261" s="5"/>
      <c r="AE438261" s="5"/>
      <c r="AH438261" s="5"/>
      <c r="AK438261" s="5"/>
    </row>
    <row r="438271" spans="25:37" x14ac:dyDescent="0.2">
      <c r="Y438271" s="251"/>
      <c r="AB438271" s="251"/>
      <c r="AE438271" s="251"/>
      <c r="AH438271" s="251"/>
      <c r="AK438271" s="251"/>
    </row>
    <row r="438386" spans="25:37" x14ac:dyDescent="0.2">
      <c r="Y438386" s="5"/>
      <c r="AB438386" s="5"/>
      <c r="AE438386" s="5"/>
      <c r="AH438386" s="5"/>
      <c r="AK438386" s="5"/>
    </row>
    <row r="438396" spans="25:37" x14ac:dyDescent="0.2">
      <c r="Y438396" s="251"/>
      <c r="AB438396" s="251"/>
      <c r="AE438396" s="251"/>
      <c r="AH438396" s="251"/>
      <c r="AK438396" s="251"/>
    </row>
    <row r="438511" spans="25:37" x14ac:dyDescent="0.2">
      <c r="Y438511" s="5"/>
      <c r="AB438511" s="5"/>
      <c r="AE438511" s="5"/>
      <c r="AH438511" s="5"/>
      <c r="AK438511" s="5"/>
    </row>
    <row r="438521" spans="25:37" x14ac:dyDescent="0.2">
      <c r="Y438521" s="251"/>
      <c r="AB438521" s="251"/>
      <c r="AE438521" s="251"/>
      <c r="AH438521" s="251"/>
      <c r="AK438521" s="251"/>
    </row>
    <row r="438636" spans="25:37" x14ac:dyDescent="0.2">
      <c r="Y438636" s="5"/>
      <c r="AB438636" s="5"/>
      <c r="AE438636" s="5"/>
      <c r="AH438636" s="5"/>
      <c r="AK438636" s="5"/>
    </row>
    <row r="438646" spans="25:37" x14ac:dyDescent="0.2">
      <c r="Y438646" s="251"/>
      <c r="AB438646" s="251"/>
      <c r="AE438646" s="251"/>
      <c r="AH438646" s="251"/>
      <c r="AK438646" s="251"/>
    </row>
    <row r="438761" spans="25:37" x14ac:dyDescent="0.2">
      <c r="Y438761" s="5"/>
      <c r="AB438761" s="5"/>
      <c r="AE438761" s="5"/>
      <c r="AH438761" s="5"/>
      <c r="AK438761" s="5"/>
    </row>
    <row r="438771" spans="25:37" x14ac:dyDescent="0.2">
      <c r="Y438771" s="251"/>
      <c r="AB438771" s="251"/>
      <c r="AE438771" s="251"/>
      <c r="AH438771" s="251"/>
      <c r="AK438771" s="251"/>
    </row>
    <row r="438886" spans="25:37" x14ac:dyDescent="0.2">
      <c r="Y438886" s="5"/>
      <c r="AB438886" s="5"/>
      <c r="AE438886" s="5"/>
      <c r="AH438886" s="5"/>
      <c r="AK438886" s="5"/>
    </row>
    <row r="438896" spans="25:37" x14ac:dyDescent="0.2">
      <c r="Y438896" s="251"/>
      <c r="AB438896" s="251"/>
      <c r="AE438896" s="251"/>
      <c r="AH438896" s="251"/>
      <c r="AK438896" s="251"/>
    </row>
    <row r="439011" spans="25:37" x14ac:dyDescent="0.2">
      <c r="Y439011" s="5"/>
      <c r="AB439011" s="5"/>
      <c r="AE439011" s="5"/>
      <c r="AH439011" s="5"/>
      <c r="AK439011" s="5"/>
    </row>
    <row r="439021" spans="25:37" x14ac:dyDescent="0.2">
      <c r="Y439021" s="251"/>
      <c r="AB439021" s="251"/>
      <c r="AE439021" s="251"/>
      <c r="AH439021" s="251"/>
      <c r="AK439021" s="251"/>
    </row>
    <row r="439136" spans="25:37" x14ac:dyDescent="0.2">
      <c r="Y439136" s="5"/>
      <c r="AB439136" s="5"/>
      <c r="AE439136" s="5"/>
      <c r="AH439136" s="5"/>
      <c r="AK439136" s="5"/>
    </row>
    <row r="439146" spans="25:37" x14ac:dyDescent="0.2">
      <c r="Y439146" s="251"/>
      <c r="AB439146" s="251"/>
      <c r="AE439146" s="251"/>
      <c r="AH439146" s="251"/>
      <c r="AK439146" s="251"/>
    </row>
    <row r="439261" spans="25:37" x14ac:dyDescent="0.2">
      <c r="Y439261" s="5"/>
      <c r="AB439261" s="5"/>
      <c r="AE439261" s="5"/>
      <c r="AH439261" s="5"/>
      <c r="AK439261" s="5"/>
    </row>
    <row r="439271" spans="25:37" x14ac:dyDescent="0.2">
      <c r="Y439271" s="251"/>
      <c r="AB439271" s="251"/>
      <c r="AE439271" s="251"/>
      <c r="AH439271" s="251"/>
      <c r="AK439271" s="251"/>
    </row>
    <row r="439386" spans="25:37" x14ac:dyDescent="0.2">
      <c r="Y439386" s="5"/>
      <c r="AB439386" s="5"/>
      <c r="AE439386" s="5"/>
      <c r="AH439386" s="5"/>
      <c r="AK439386" s="5"/>
    </row>
    <row r="439396" spans="25:37" x14ac:dyDescent="0.2">
      <c r="Y439396" s="251"/>
      <c r="AB439396" s="251"/>
      <c r="AE439396" s="251"/>
      <c r="AH439396" s="251"/>
      <c r="AK439396" s="251"/>
    </row>
    <row r="439511" spans="25:37" x14ac:dyDescent="0.2">
      <c r="Y439511" s="5"/>
      <c r="AB439511" s="5"/>
      <c r="AE439511" s="5"/>
      <c r="AH439511" s="5"/>
      <c r="AK439511" s="5"/>
    </row>
    <row r="439521" spans="25:37" x14ac:dyDescent="0.2">
      <c r="Y439521" s="251"/>
      <c r="AB439521" s="251"/>
      <c r="AE439521" s="251"/>
      <c r="AH439521" s="251"/>
      <c r="AK439521" s="251"/>
    </row>
    <row r="439636" spans="25:37" x14ac:dyDescent="0.2">
      <c r="Y439636" s="5"/>
      <c r="AB439636" s="5"/>
      <c r="AE439636" s="5"/>
      <c r="AH439636" s="5"/>
      <c r="AK439636" s="5"/>
    </row>
    <row r="439646" spans="25:37" x14ac:dyDescent="0.2">
      <c r="Y439646" s="251"/>
      <c r="AB439646" s="251"/>
      <c r="AE439646" s="251"/>
      <c r="AH439646" s="251"/>
      <c r="AK439646" s="251"/>
    </row>
    <row r="439761" spans="25:37" x14ac:dyDescent="0.2">
      <c r="Y439761" s="5"/>
      <c r="AB439761" s="5"/>
      <c r="AE439761" s="5"/>
      <c r="AH439761" s="5"/>
      <c r="AK439761" s="5"/>
    </row>
    <row r="439771" spans="25:37" x14ac:dyDescent="0.2">
      <c r="Y439771" s="251"/>
      <c r="AB439771" s="251"/>
      <c r="AE439771" s="251"/>
      <c r="AH439771" s="251"/>
      <c r="AK439771" s="251"/>
    </row>
    <row r="439886" spans="25:37" x14ac:dyDescent="0.2">
      <c r="Y439886" s="5"/>
      <c r="AB439886" s="5"/>
      <c r="AE439886" s="5"/>
      <c r="AH439886" s="5"/>
      <c r="AK439886" s="5"/>
    </row>
    <row r="439896" spans="25:37" x14ac:dyDescent="0.2">
      <c r="Y439896" s="251"/>
      <c r="AB439896" s="251"/>
      <c r="AE439896" s="251"/>
      <c r="AH439896" s="251"/>
      <c r="AK439896" s="251"/>
    </row>
    <row r="440011" spans="25:37" x14ac:dyDescent="0.2">
      <c r="Y440011" s="5"/>
      <c r="AB440011" s="5"/>
      <c r="AE440011" s="5"/>
      <c r="AH440011" s="5"/>
      <c r="AK440011" s="5"/>
    </row>
    <row r="440021" spans="25:37" x14ac:dyDescent="0.2">
      <c r="Y440021" s="251"/>
      <c r="AB440021" s="251"/>
      <c r="AE440021" s="251"/>
      <c r="AH440021" s="251"/>
      <c r="AK440021" s="251"/>
    </row>
    <row r="440136" spans="25:37" x14ac:dyDescent="0.2">
      <c r="Y440136" s="5"/>
      <c r="AB440136" s="5"/>
      <c r="AE440136" s="5"/>
      <c r="AH440136" s="5"/>
      <c r="AK440136" s="5"/>
    </row>
    <row r="440146" spans="25:37" x14ac:dyDescent="0.2">
      <c r="Y440146" s="251"/>
      <c r="AB440146" s="251"/>
      <c r="AE440146" s="251"/>
      <c r="AH440146" s="251"/>
      <c r="AK440146" s="251"/>
    </row>
    <row r="440261" spans="25:37" x14ac:dyDescent="0.2">
      <c r="Y440261" s="5"/>
      <c r="AB440261" s="5"/>
      <c r="AE440261" s="5"/>
      <c r="AH440261" s="5"/>
      <c r="AK440261" s="5"/>
    </row>
    <row r="440271" spans="25:37" x14ac:dyDescent="0.2">
      <c r="Y440271" s="251"/>
      <c r="AB440271" s="251"/>
      <c r="AE440271" s="251"/>
      <c r="AH440271" s="251"/>
      <c r="AK440271" s="251"/>
    </row>
    <row r="440386" spans="25:37" x14ac:dyDescent="0.2">
      <c r="Y440386" s="5"/>
      <c r="AB440386" s="5"/>
      <c r="AE440386" s="5"/>
      <c r="AH440386" s="5"/>
      <c r="AK440386" s="5"/>
    </row>
    <row r="440396" spans="25:37" x14ac:dyDescent="0.2">
      <c r="Y440396" s="251"/>
      <c r="AB440396" s="251"/>
      <c r="AE440396" s="251"/>
      <c r="AH440396" s="251"/>
      <c r="AK440396" s="251"/>
    </row>
    <row r="440511" spans="25:37" x14ac:dyDescent="0.2">
      <c r="Y440511" s="5"/>
      <c r="AB440511" s="5"/>
      <c r="AE440511" s="5"/>
      <c r="AH440511" s="5"/>
      <c r="AK440511" s="5"/>
    </row>
    <row r="440521" spans="25:37" x14ac:dyDescent="0.2">
      <c r="Y440521" s="251"/>
      <c r="AB440521" s="251"/>
      <c r="AE440521" s="251"/>
      <c r="AH440521" s="251"/>
      <c r="AK440521" s="251"/>
    </row>
    <row r="440636" spans="25:37" x14ac:dyDescent="0.2">
      <c r="Y440636" s="5"/>
      <c r="AB440636" s="5"/>
      <c r="AE440636" s="5"/>
      <c r="AH440636" s="5"/>
      <c r="AK440636" s="5"/>
    </row>
    <row r="440646" spans="25:37" x14ac:dyDescent="0.2">
      <c r="Y440646" s="251"/>
      <c r="AB440646" s="251"/>
      <c r="AE440646" s="251"/>
      <c r="AH440646" s="251"/>
      <c r="AK440646" s="251"/>
    </row>
    <row r="440761" spans="25:37" x14ac:dyDescent="0.2">
      <c r="Y440761" s="5"/>
      <c r="AB440761" s="5"/>
      <c r="AE440761" s="5"/>
      <c r="AH440761" s="5"/>
      <c r="AK440761" s="5"/>
    </row>
    <row r="440771" spans="25:37" x14ac:dyDescent="0.2">
      <c r="Y440771" s="251"/>
      <c r="AB440771" s="251"/>
      <c r="AE440771" s="251"/>
      <c r="AH440771" s="251"/>
      <c r="AK440771" s="251"/>
    </row>
    <row r="440886" spans="25:37" x14ac:dyDescent="0.2">
      <c r="Y440886" s="5"/>
      <c r="AB440886" s="5"/>
      <c r="AE440886" s="5"/>
      <c r="AH440886" s="5"/>
      <c r="AK440886" s="5"/>
    </row>
    <row r="440896" spans="25:37" x14ac:dyDescent="0.2">
      <c r="Y440896" s="251"/>
      <c r="AB440896" s="251"/>
      <c r="AE440896" s="251"/>
      <c r="AH440896" s="251"/>
      <c r="AK440896" s="251"/>
    </row>
    <row r="441011" spans="25:37" x14ac:dyDescent="0.2">
      <c r="Y441011" s="5"/>
      <c r="AB441011" s="5"/>
      <c r="AE441011" s="5"/>
      <c r="AH441011" s="5"/>
      <c r="AK441011" s="5"/>
    </row>
    <row r="441021" spans="25:37" x14ac:dyDescent="0.2">
      <c r="Y441021" s="251"/>
      <c r="AB441021" s="251"/>
      <c r="AE441021" s="251"/>
      <c r="AH441021" s="251"/>
      <c r="AK441021" s="251"/>
    </row>
    <row r="441136" spans="25:37" x14ac:dyDescent="0.2">
      <c r="Y441136" s="5"/>
      <c r="AB441136" s="5"/>
      <c r="AE441136" s="5"/>
      <c r="AH441136" s="5"/>
      <c r="AK441136" s="5"/>
    </row>
    <row r="441146" spans="25:37" x14ac:dyDescent="0.2">
      <c r="Y441146" s="251"/>
      <c r="AB441146" s="251"/>
      <c r="AE441146" s="251"/>
      <c r="AH441146" s="251"/>
      <c r="AK441146" s="251"/>
    </row>
    <row r="441261" spans="25:37" x14ac:dyDescent="0.2">
      <c r="Y441261" s="5"/>
      <c r="AB441261" s="5"/>
      <c r="AE441261" s="5"/>
      <c r="AH441261" s="5"/>
      <c r="AK441261" s="5"/>
    </row>
    <row r="441271" spans="25:37" x14ac:dyDescent="0.2">
      <c r="Y441271" s="251"/>
      <c r="AB441271" s="251"/>
      <c r="AE441271" s="251"/>
      <c r="AH441271" s="251"/>
      <c r="AK441271" s="251"/>
    </row>
    <row r="441386" spans="25:37" x14ac:dyDescent="0.2">
      <c r="Y441386" s="5"/>
      <c r="AB441386" s="5"/>
      <c r="AE441386" s="5"/>
      <c r="AH441386" s="5"/>
      <c r="AK441386" s="5"/>
    </row>
    <row r="441396" spans="25:37" x14ac:dyDescent="0.2">
      <c r="Y441396" s="251"/>
      <c r="AB441396" s="251"/>
      <c r="AE441396" s="251"/>
      <c r="AH441396" s="251"/>
      <c r="AK441396" s="251"/>
    </row>
    <row r="441511" spans="25:37" x14ac:dyDescent="0.2">
      <c r="Y441511" s="5"/>
      <c r="AB441511" s="5"/>
      <c r="AE441511" s="5"/>
      <c r="AH441511" s="5"/>
      <c r="AK441511" s="5"/>
    </row>
    <row r="441521" spans="25:37" x14ac:dyDescent="0.2">
      <c r="Y441521" s="251"/>
      <c r="AB441521" s="251"/>
      <c r="AE441521" s="251"/>
      <c r="AH441521" s="251"/>
      <c r="AK441521" s="251"/>
    </row>
    <row r="441636" spans="25:37" x14ac:dyDescent="0.2">
      <c r="Y441636" s="5"/>
      <c r="AB441636" s="5"/>
      <c r="AE441636" s="5"/>
      <c r="AH441636" s="5"/>
      <c r="AK441636" s="5"/>
    </row>
    <row r="441646" spans="25:37" x14ac:dyDescent="0.2">
      <c r="Y441646" s="251"/>
      <c r="AB441646" s="251"/>
      <c r="AE441646" s="251"/>
      <c r="AH441646" s="251"/>
      <c r="AK441646" s="251"/>
    </row>
    <row r="441761" spans="25:37" x14ac:dyDescent="0.2">
      <c r="Y441761" s="5"/>
      <c r="AB441761" s="5"/>
      <c r="AE441761" s="5"/>
      <c r="AH441761" s="5"/>
      <c r="AK441761" s="5"/>
    </row>
    <row r="441771" spans="25:37" x14ac:dyDescent="0.2">
      <c r="Y441771" s="251"/>
      <c r="AB441771" s="251"/>
      <c r="AE441771" s="251"/>
      <c r="AH441771" s="251"/>
      <c r="AK441771" s="251"/>
    </row>
    <row r="441886" spans="25:37" x14ac:dyDescent="0.2">
      <c r="Y441886" s="5"/>
      <c r="AB441886" s="5"/>
      <c r="AE441886" s="5"/>
      <c r="AH441886" s="5"/>
      <c r="AK441886" s="5"/>
    </row>
    <row r="441896" spans="25:37" x14ac:dyDescent="0.2">
      <c r="Y441896" s="251"/>
      <c r="AB441896" s="251"/>
      <c r="AE441896" s="251"/>
      <c r="AH441896" s="251"/>
      <c r="AK441896" s="251"/>
    </row>
    <row r="442011" spans="25:37" x14ac:dyDescent="0.2">
      <c r="Y442011" s="5"/>
      <c r="AB442011" s="5"/>
      <c r="AE442011" s="5"/>
      <c r="AH442011" s="5"/>
      <c r="AK442011" s="5"/>
    </row>
    <row r="442021" spans="25:37" x14ac:dyDescent="0.2">
      <c r="Y442021" s="251"/>
      <c r="AB442021" s="251"/>
      <c r="AE442021" s="251"/>
      <c r="AH442021" s="251"/>
      <c r="AK442021" s="251"/>
    </row>
    <row r="442136" spans="25:37" x14ac:dyDescent="0.2">
      <c r="Y442136" s="5"/>
      <c r="AB442136" s="5"/>
      <c r="AE442136" s="5"/>
      <c r="AH442136" s="5"/>
      <c r="AK442136" s="5"/>
    </row>
    <row r="442146" spans="25:37" x14ac:dyDescent="0.2">
      <c r="Y442146" s="251"/>
      <c r="AB442146" s="251"/>
      <c r="AE442146" s="251"/>
      <c r="AH442146" s="251"/>
      <c r="AK442146" s="251"/>
    </row>
    <row r="442261" spans="25:37" x14ac:dyDescent="0.2">
      <c r="Y442261" s="5"/>
      <c r="AB442261" s="5"/>
      <c r="AE442261" s="5"/>
      <c r="AH442261" s="5"/>
      <c r="AK442261" s="5"/>
    </row>
    <row r="442271" spans="25:37" x14ac:dyDescent="0.2">
      <c r="Y442271" s="251"/>
      <c r="AB442271" s="251"/>
      <c r="AE442271" s="251"/>
      <c r="AH442271" s="251"/>
      <c r="AK442271" s="251"/>
    </row>
    <row r="442386" spans="25:37" x14ac:dyDescent="0.2">
      <c r="Y442386" s="5"/>
      <c r="AB442386" s="5"/>
      <c r="AE442386" s="5"/>
      <c r="AH442386" s="5"/>
      <c r="AK442386" s="5"/>
    </row>
    <row r="442396" spans="25:37" x14ac:dyDescent="0.2">
      <c r="Y442396" s="251"/>
      <c r="AB442396" s="251"/>
      <c r="AE442396" s="251"/>
      <c r="AH442396" s="251"/>
      <c r="AK442396" s="251"/>
    </row>
    <row r="442511" spans="25:37" x14ac:dyDescent="0.2">
      <c r="Y442511" s="5"/>
      <c r="AB442511" s="5"/>
      <c r="AE442511" s="5"/>
      <c r="AH442511" s="5"/>
      <c r="AK442511" s="5"/>
    </row>
    <row r="442521" spans="25:37" x14ac:dyDescent="0.2">
      <c r="Y442521" s="251"/>
      <c r="AB442521" s="251"/>
      <c r="AE442521" s="251"/>
      <c r="AH442521" s="251"/>
      <c r="AK442521" s="251"/>
    </row>
    <row r="442636" spans="25:37" x14ac:dyDescent="0.2">
      <c r="Y442636" s="5"/>
      <c r="AB442636" s="5"/>
      <c r="AE442636" s="5"/>
      <c r="AH442636" s="5"/>
      <c r="AK442636" s="5"/>
    </row>
    <row r="442646" spans="25:37" x14ac:dyDescent="0.2">
      <c r="Y442646" s="251"/>
      <c r="AB442646" s="251"/>
      <c r="AE442646" s="251"/>
      <c r="AH442646" s="251"/>
      <c r="AK442646" s="251"/>
    </row>
    <row r="442761" spans="25:37" x14ac:dyDescent="0.2">
      <c r="Y442761" s="5"/>
      <c r="AB442761" s="5"/>
      <c r="AE442761" s="5"/>
      <c r="AH442761" s="5"/>
      <c r="AK442761" s="5"/>
    </row>
    <row r="442771" spans="25:37" x14ac:dyDescent="0.2">
      <c r="Y442771" s="251"/>
      <c r="AB442771" s="251"/>
      <c r="AE442771" s="251"/>
      <c r="AH442771" s="251"/>
      <c r="AK442771" s="251"/>
    </row>
    <row r="442886" spans="25:37" x14ac:dyDescent="0.2">
      <c r="Y442886" s="5"/>
      <c r="AB442886" s="5"/>
      <c r="AE442886" s="5"/>
      <c r="AH442886" s="5"/>
      <c r="AK442886" s="5"/>
    </row>
    <row r="442896" spans="25:37" x14ac:dyDescent="0.2">
      <c r="Y442896" s="251"/>
      <c r="AB442896" s="251"/>
      <c r="AE442896" s="251"/>
      <c r="AH442896" s="251"/>
      <c r="AK442896" s="251"/>
    </row>
    <row r="443011" spans="25:37" x14ac:dyDescent="0.2">
      <c r="Y443011" s="5"/>
      <c r="AB443011" s="5"/>
      <c r="AE443011" s="5"/>
      <c r="AH443011" s="5"/>
      <c r="AK443011" s="5"/>
    </row>
    <row r="443021" spans="25:37" x14ac:dyDescent="0.2">
      <c r="Y443021" s="251"/>
      <c r="AB443021" s="251"/>
      <c r="AE443021" s="251"/>
      <c r="AH443021" s="251"/>
      <c r="AK443021" s="251"/>
    </row>
    <row r="443136" spans="25:37" x14ac:dyDescent="0.2">
      <c r="Y443136" s="5"/>
      <c r="AB443136" s="5"/>
      <c r="AE443136" s="5"/>
      <c r="AH443136" s="5"/>
      <c r="AK443136" s="5"/>
    </row>
    <row r="443146" spans="25:37" x14ac:dyDescent="0.2">
      <c r="Y443146" s="251"/>
      <c r="AB443146" s="251"/>
      <c r="AE443146" s="251"/>
      <c r="AH443146" s="251"/>
      <c r="AK443146" s="251"/>
    </row>
    <row r="443261" spans="25:37" x14ac:dyDescent="0.2">
      <c r="Y443261" s="5"/>
      <c r="AB443261" s="5"/>
      <c r="AE443261" s="5"/>
      <c r="AH443261" s="5"/>
      <c r="AK443261" s="5"/>
    </row>
    <row r="443271" spans="25:37" x14ac:dyDescent="0.2">
      <c r="Y443271" s="251"/>
      <c r="AB443271" s="251"/>
      <c r="AE443271" s="251"/>
      <c r="AH443271" s="251"/>
      <c r="AK443271" s="251"/>
    </row>
    <row r="443386" spans="25:37" x14ac:dyDescent="0.2">
      <c r="Y443386" s="5"/>
      <c r="AB443386" s="5"/>
      <c r="AE443386" s="5"/>
      <c r="AH443386" s="5"/>
      <c r="AK443386" s="5"/>
    </row>
    <row r="443396" spans="25:37" x14ac:dyDescent="0.2">
      <c r="Y443396" s="251"/>
      <c r="AB443396" s="251"/>
      <c r="AE443396" s="251"/>
      <c r="AH443396" s="251"/>
      <c r="AK443396" s="251"/>
    </row>
    <row r="443511" spans="25:37" x14ac:dyDescent="0.2">
      <c r="Y443511" s="5"/>
      <c r="AB443511" s="5"/>
      <c r="AE443511" s="5"/>
      <c r="AH443511" s="5"/>
      <c r="AK443511" s="5"/>
    </row>
    <row r="443521" spans="25:37" x14ac:dyDescent="0.2">
      <c r="Y443521" s="251"/>
      <c r="AB443521" s="251"/>
      <c r="AE443521" s="251"/>
      <c r="AH443521" s="251"/>
      <c r="AK443521" s="251"/>
    </row>
    <row r="443636" spans="25:37" x14ac:dyDescent="0.2">
      <c r="Y443636" s="5"/>
      <c r="AB443636" s="5"/>
      <c r="AE443636" s="5"/>
      <c r="AH443636" s="5"/>
      <c r="AK443636" s="5"/>
    </row>
    <row r="443646" spans="25:37" x14ac:dyDescent="0.2">
      <c r="Y443646" s="251"/>
      <c r="AB443646" s="251"/>
      <c r="AE443646" s="251"/>
      <c r="AH443646" s="251"/>
      <c r="AK443646" s="251"/>
    </row>
    <row r="443761" spans="25:37" x14ac:dyDescent="0.2">
      <c r="Y443761" s="5"/>
      <c r="AB443761" s="5"/>
      <c r="AE443761" s="5"/>
      <c r="AH443761" s="5"/>
      <c r="AK443761" s="5"/>
    </row>
    <row r="443771" spans="25:37" x14ac:dyDescent="0.2">
      <c r="Y443771" s="251"/>
      <c r="AB443771" s="251"/>
      <c r="AE443771" s="251"/>
      <c r="AH443771" s="251"/>
      <c r="AK443771" s="251"/>
    </row>
    <row r="443886" spans="25:37" x14ac:dyDescent="0.2">
      <c r="Y443886" s="5"/>
      <c r="AB443886" s="5"/>
      <c r="AE443886" s="5"/>
      <c r="AH443886" s="5"/>
      <c r="AK443886" s="5"/>
    </row>
    <row r="443896" spans="25:37" x14ac:dyDescent="0.2">
      <c r="Y443896" s="251"/>
      <c r="AB443896" s="251"/>
      <c r="AE443896" s="251"/>
      <c r="AH443896" s="251"/>
      <c r="AK443896" s="251"/>
    </row>
    <row r="444011" spans="25:37" x14ac:dyDescent="0.2">
      <c r="Y444011" s="5"/>
      <c r="AB444011" s="5"/>
      <c r="AE444011" s="5"/>
      <c r="AH444011" s="5"/>
      <c r="AK444011" s="5"/>
    </row>
    <row r="444021" spans="25:37" x14ac:dyDescent="0.2">
      <c r="Y444021" s="251"/>
      <c r="AB444021" s="251"/>
      <c r="AE444021" s="251"/>
      <c r="AH444021" s="251"/>
      <c r="AK444021" s="251"/>
    </row>
    <row r="444136" spans="25:37" x14ac:dyDescent="0.2">
      <c r="Y444136" s="5"/>
      <c r="AB444136" s="5"/>
      <c r="AE444136" s="5"/>
      <c r="AH444136" s="5"/>
      <c r="AK444136" s="5"/>
    </row>
    <row r="444146" spans="25:37" x14ac:dyDescent="0.2">
      <c r="Y444146" s="251"/>
      <c r="AB444146" s="251"/>
      <c r="AE444146" s="251"/>
      <c r="AH444146" s="251"/>
      <c r="AK444146" s="251"/>
    </row>
    <row r="444261" spans="25:37" x14ac:dyDescent="0.2">
      <c r="Y444261" s="5"/>
      <c r="AB444261" s="5"/>
      <c r="AE444261" s="5"/>
      <c r="AH444261" s="5"/>
      <c r="AK444261" s="5"/>
    </row>
    <row r="444271" spans="25:37" x14ac:dyDescent="0.2">
      <c r="Y444271" s="251"/>
      <c r="AB444271" s="251"/>
      <c r="AE444271" s="251"/>
      <c r="AH444271" s="251"/>
      <c r="AK444271" s="251"/>
    </row>
    <row r="444386" spans="25:37" x14ac:dyDescent="0.2">
      <c r="Y444386" s="5"/>
      <c r="AB444386" s="5"/>
      <c r="AE444386" s="5"/>
      <c r="AH444386" s="5"/>
      <c r="AK444386" s="5"/>
    </row>
    <row r="444396" spans="25:37" x14ac:dyDescent="0.2">
      <c r="Y444396" s="251"/>
      <c r="AB444396" s="251"/>
      <c r="AE444396" s="251"/>
      <c r="AH444396" s="251"/>
      <c r="AK444396" s="251"/>
    </row>
    <row r="444511" spans="25:37" x14ac:dyDescent="0.2">
      <c r="Y444511" s="5"/>
      <c r="AB444511" s="5"/>
      <c r="AE444511" s="5"/>
      <c r="AH444511" s="5"/>
      <c r="AK444511" s="5"/>
    </row>
    <row r="444521" spans="25:37" x14ac:dyDescent="0.2">
      <c r="Y444521" s="251"/>
      <c r="AB444521" s="251"/>
      <c r="AE444521" s="251"/>
      <c r="AH444521" s="251"/>
      <c r="AK444521" s="251"/>
    </row>
    <row r="444636" spans="25:37" x14ac:dyDescent="0.2">
      <c r="Y444636" s="5"/>
      <c r="AB444636" s="5"/>
      <c r="AE444636" s="5"/>
      <c r="AH444636" s="5"/>
      <c r="AK444636" s="5"/>
    </row>
    <row r="444646" spans="25:37" x14ac:dyDescent="0.2">
      <c r="Y444646" s="251"/>
      <c r="AB444646" s="251"/>
      <c r="AE444646" s="251"/>
      <c r="AH444646" s="251"/>
      <c r="AK444646" s="251"/>
    </row>
    <row r="444761" spans="25:37" x14ac:dyDescent="0.2">
      <c r="Y444761" s="5"/>
      <c r="AB444761" s="5"/>
      <c r="AE444761" s="5"/>
      <c r="AH444761" s="5"/>
      <c r="AK444761" s="5"/>
    </row>
    <row r="444771" spans="25:37" x14ac:dyDescent="0.2">
      <c r="Y444771" s="251"/>
      <c r="AB444771" s="251"/>
      <c r="AE444771" s="251"/>
      <c r="AH444771" s="251"/>
      <c r="AK444771" s="251"/>
    </row>
    <row r="444886" spans="25:37" x14ac:dyDescent="0.2">
      <c r="Y444886" s="5"/>
      <c r="AB444886" s="5"/>
      <c r="AE444886" s="5"/>
      <c r="AH444886" s="5"/>
      <c r="AK444886" s="5"/>
    </row>
    <row r="444896" spans="25:37" x14ac:dyDescent="0.2">
      <c r="Y444896" s="251"/>
      <c r="AB444896" s="251"/>
      <c r="AE444896" s="251"/>
      <c r="AH444896" s="251"/>
      <c r="AK444896" s="251"/>
    </row>
    <row r="445011" spans="25:37" x14ac:dyDescent="0.2">
      <c r="Y445011" s="5"/>
      <c r="AB445011" s="5"/>
      <c r="AE445011" s="5"/>
      <c r="AH445011" s="5"/>
      <c r="AK445011" s="5"/>
    </row>
    <row r="445021" spans="25:37" x14ac:dyDescent="0.2">
      <c r="Y445021" s="251"/>
      <c r="AB445021" s="251"/>
      <c r="AE445021" s="251"/>
      <c r="AH445021" s="251"/>
      <c r="AK445021" s="251"/>
    </row>
    <row r="445136" spans="25:37" x14ac:dyDescent="0.2">
      <c r="Y445136" s="5"/>
      <c r="AB445136" s="5"/>
      <c r="AE445136" s="5"/>
      <c r="AH445136" s="5"/>
      <c r="AK445136" s="5"/>
    </row>
    <row r="445146" spans="25:37" x14ac:dyDescent="0.2">
      <c r="Y445146" s="251"/>
      <c r="AB445146" s="251"/>
      <c r="AE445146" s="251"/>
      <c r="AH445146" s="251"/>
      <c r="AK445146" s="251"/>
    </row>
    <row r="445261" spans="25:37" x14ac:dyDescent="0.2">
      <c r="Y445261" s="5"/>
      <c r="AB445261" s="5"/>
      <c r="AE445261" s="5"/>
      <c r="AH445261" s="5"/>
      <c r="AK445261" s="5"/>
    </row>
    <row r="445271" spans="25:37" x14ac:dyDescent="0.2">
      <c r="Y445271" s="251"/>
      <c r="AB445271" s="251"/>
      <c r="AE445271" s="251"/>
      <c r="AH445271" s="251"/>
      <c r="AK445271" s="251"/>
    </row>
    <row r="445386" spans="25:37" x14ac:dyDescent="0.2">
      <c r="Y445386" s="5"/>
      <c r="AB445386" s="5"/>
      <c r="AE445386" s="5"/>
      <c r="AH445386" s="5"/>
      <c r="AK445386" s="5"/>
    </row>
    <row r="445396" spans="25:37" x14ac:dyDescent="0.2">
      <c r="Y445396" s="251"/>
      <c r="AB445396" s="251"/>
      <c r="AE445396" s="251"/>
      <c r="AH445396" s="251"/>
      <c r="AK445396" s="251"/>
    </row>
    <row r="445511" spans="25:37" x14ac:dyDescent="0.2">
      <c r="Y445511" s="5"/>
      <c r="AB445511" s="5"/>
      <c r="AE445511" s="5"/>
      <c r="AH445511" s="5"/>
      <c r="AK445511" s="5"/>
    </row>
    <row r="445521" spans="25:37" x14ac:dyDescent="0.2">
      <c r="Y445521" s="251"/>
      <c r="AB445521" s="251"/>
      <c r="AE445521" s="251"/>
      <c r="AH445521" s="251"/>
      <c r="AK445521" s="251"/>
    </row>
    <row r="445636" spans="25:37" x14ac:dyDescent="0.2">
      <c r="Y445636" s="5"/>
      <c r="AB445636" s="5"/>
      <c r="AE445636" s="5"/>
      <c r="AH445636" s="5"/>
      <c r="AK445636" s="5"/>
    </row>
    <row r="445646" spans="25:37" x14ac:dyDescent="0.2">
      <c r="Y445646" s="251"/>
      <c r="AB445646" s="251"/>
      <c r="AE445646" s="251"/>
      <c r="AH445646" s="251"/>
      <c r="AK445646" s="251"/>
    </row>
    <row r="445761" spans="25:37" x14ac:dyDescent="0.2">
      <c r="Y445761" s="5"/>
      <c r="AB445761" s="5"/>
      <c r="AE445761" s="5"/>
      <c r="AH445761" s="5"/>
      <c r="AK445761" s="5"/>
    </row>
    <row r="445771" spans="25:37" x14ac:dyDescent="0.2">
      <c r="Y445771" s="251"/>
      <c r="AB445771" s="251"/>
      <c r="AE445771" s="251"/>
      <c r="AH445771" s="251"/>
      <c r="AK445771" s="251"/>
    </row>
    <row r="445886" spans="25:37" x14ac:dyDescent="0.2">
      <c r="Y445886" s="5"/>
      <c r="AB445886" s="5"/>
      <c r="AE445886" s="5"/>
      <c r="AH445886" s="5"/>
      <c r="AK445886" s="5"/>
    </row>
    <row r="445896" spans="25:37" x14ac:dyDescent="0.2">
      <c r="Y445896" s="251"/>
      <c r="AB445896" s="251"/>
      <c r="AE445896" s="251"/>
      <c r="AH445896" s="251"/>
      <c r="AK445896" s="251"/>
    </row>
    <row r="446011" spans="25:37" x14ac:dyDescent="0.2">
      <c r="Y446011" s="5"/>
      <c r="AB446011" s="5"/>
      <c r="AE446011" s="5"/>
      <c r="AH446011" s="5"/>
      <c r="AK446011" s="5"/>
    </row>
    <row r="446021" spans="25:37" x14ac:dyDescent="0.2">
      <c r="Y446021" s="251"/>
      <c r="AB446021" s="251"/>
      <c r="AE446021" s="251"/>
      <c r="AH446021" s="251"/>
      <c r="AK446021" s="251"/>
    </row>
    <row r="446136" spans="25:37" x14ac:dyDescent="0.2">
      <c r="Y446136" s="5"/>
      <c r="AB446136" s="5"/>
      <c r="AE446136" s="5"/>
      <c r="AH446136" s="5"/>
      <c r="AK446136" s="5"/>
    </row>
    <row r="446146" spans="25:37" x14ac:dyDescent="0.2">
      <c r="Y446146" s="251"/>
      <c r="AB446146" s="251"/>
      <c r="AE446146" s="251"/>
      <c r="AH446146" s="251"/>
      <c r="AK446146" s="251"/>
    </row>
    <row r="446261" spans="25:37" x14ac:dyDescent="0.2">
      <c r="Y446261" s="5"/>
      <c r="AB446261" s="5"/>
      <c r="AE446261" s="5"/>
      <c r="AH446261" s="5"/>
      <c r="AK446261" s="5"/>
    </row>
    <row r="446271" spans="25:37" x14ac:dyDescent="0.2">
      <c r="Y446271" s="251"/>
      <c r="AB446271" s="251"/>
      <c r="AE446271" s="251"/>
      <c r="AH446271" s="251"/>
      <c r="AK446271" s="251"/>
    </row>
    <row r="446386" spans="25:37" x14ac:dyDescent="0.2">
      <c r="Y446386" s="5"/>
      <c r="AB446386" s="5"/>
      <c r="AE446386" s="5"/>
      <c r="AH446386" s="5"/>
      <c r="AK446386" s="5"/>
    </row>
    <row r="446396" spans="25:37" x14ac:dyDescent="0.2">
      <c r="Y446396" s="251"/>
      <c r="AB446396" s="251"/>
      <c r="AE446396" s="251"/>
      <c r="AH446396" s="251"/>
      <c r="AK446396" s="251"/>
    </row>
    <row r="446511" spans="25:37" x14ac:dyDescent="0.2">
      <c r="Y446511" s="5"/>
      <c r="AB446511" s="5"/>
      <c r="AE446511" s="5"/>
      <c r="AH446511" s="5"/>
      <c r="AK446511" s="5"/>
    </row>
    <row r="446521" spans="25:37" x14ac:dyDescent="0.2">
      <c r="Y446521" s="251"/>
      <c r="AB446521" s="251"/>
      <c r="AE446521" s="251"/>
      <c r="AH446521" s="251"/>
      <c r="AK446521" s="251"/>
    </row>
    <row r="446636" spans="25:37" x14ac:dyDescent="0.2">
      <c r="Y446636" s="5"/>
      <c r="AB446636" s="5"/>
      <c r="AE446636" s="5"/>
      <c r="AH446636" s="5"/>
      <c r="AK446636" s="5"/>
    </row>
    <row r="446646" spans="25:37" x14ac:dyDescent="0.2">
      <c r="Y446646" s="251"/>
      <c r="AB446646" s="251"/>
      <c r="AE446646" s="251"/>
      <c r="AH446646" s="251"/>
      <c r="AK446646" s="251"/>
    </row>
    <row r="446761" spans="25:37" x14ac:dyDescent="0.2">
      <c r="Y446761" s="5"/>
      <c r="AB446761" s="5"/>
      <c r="AE446761" s="5"/>
      <c r="AH446761" s="5"/>
      <c r="AK446761" s="5"/>
    </row>
    <row r="446771" spans="25:37" x14ac:dyDescent="0.2">
      <c r="Y446771" s="251"/>
      <c r="AB446771" s="251"/>
      <c r="AE446771" s="251"/>
      <c r="AH446771" s="251"/>
      <c r="AK446771" s="251"/>
    </row>
    <row r="446886" spans="25:37" x14ac:dyDescent="0.2">
      <c r="Y446886" s="5"/>
      <c r="AB446886" s="5"/>
      <c r="AE446886" s="5"/>
      <c r="AH446886" s="5"/>
      <c r="AK446886" s="5"/>
    </row>
    <row r="446896" spans="25:37" x14ac:dyDescent="0.2">
      <c r="Y446896" s="251"/>
      <c r="AB446896" s="251"/>
      <c r="AE446896" s="251"/>
      <c r="AH446896" s="251"/>
      <c r="AK446896" s="251"/>
    </row>
    <row r="447011" spans="25:37" x14ac:dyDescent="0.2">
      <c r="Y447011" s="5"/>
      <c r="AB447011" s="5"/>
      <c r="AE447011" s="5"/>
      <c r="AH447011" s="5"/>
      <c r="AK447011" s="5"/>
    </row>
    <row r="447021" spans="25:37" x14ac:dyDescent="0.2">
      <c r="Y447021" s="251"/>
      <c r="AB447021" s="251"/>
      <c r="AE447021" s="251"/>
      <c r="AH447021" s="251"/>
      <c r="AK447021" s="251"/>
    </row>
    <row r="447136" spans="25:37" x14ac:dyDescent="0.2">
      <c r="Y447136" s="5"/>
      <c r="AB447136" s="5"/>
      <c r="AE447136" s="5"/>
      <c r="AH447136" s="5"/>
      <c r="AK447136" s="5"/>
    </row>
    <row r="447146" spans="25:37" x14ac:dyDescent="0.2">
      <c r="Y447146" s="251"/>
      <c r="AB447146" s="251"/>
      <c r="AE447146" s="251"/>
      <c r="AH447146" s="251"/>
      <c r="AK447146" s="251"/>
    </row>
    <row r="447261" spans="25:37" x14ac:dyDescent="0.2">
      <c r="Y447261" s="5"/>
      <c r="AB447261" s="5"/>
      <c r="AE447261" s="5"/>
      <c r="AH447261" s="5"/>
      <c r="AK447261" s="5"/>
    </row>
    <row r="447271" spans="25:37" x14ac:dyDescent="0.2">
      <c r="Y447271" s="251"/>
      <c r="AB447271" s="251"/>
      <c r="AE447271" s="251"/>
      <c r="AH447271" s="251"/>
      <c r="AK447271" s="251"/>
    </row>
    <row r="447386" spans="25:37" x14ac:dyDescent="0.2">
      <c r="Y447386" s="5"/>
      <c r="AB447386" s="5"/>
      <c r="AE447386" s="5"/>
      <c r="AH447386" s="5"/>
      <c r="AK447386" s="5"/>
    </row>
    <row r="447396" spans="25:37" x14ac:dyDescent="0.2">
      <c r="Y447396" s="251"/>
      <c r="AB447396" s="251"/>
      <c r="AE447396" s="251"/>
      <c r="AH447396" s="251"/>
      <c r="AK447396" s="251"/>
    </row>
    <row r="447511" spans="25:37" x14ac:dyDescent="0.2">
      <c r="Y447511" s="5"/>
      <c r="AB447511" s="5"/>
      <c r="AE447511" s="5"/>
      <c r="AH447511" s="5"/>
      <c r="AK447511" s="5"/>
    </row>
    <row r="447521" spans="25:37" x14ac:dyDescent="0.2">
      <c r="Y447521" s="251"/>
      <c r="AB447521" s="251"/>
      <c r="AE447521" s="251"/>
      <c r="AH447521" s="251"/>
      <c r="AK447521" s="251"/>
    </row>
    <row r="447636" spans="25:37" x14ac:dyDescent="0.2">
      <c r="Y447636" s="5"/>
      <c r="AB447636" s="5"/>
      <c r="AE447636" s="5"/>
      <c r="AH447636" s="5"/>
      <c r="AK447636" s="5"/>
    </row>
    <row r="447646" spans="25:37" x14ac:dyDescent="0.2">
      <c r="Y447646" s="251"/>
      <c r="AB447646" s="251"/>
      <c r="AE447646" s="251"/>
      <c r="AH447646" s="251"/>
      <c r="AK447646" s="251"/>
    </row>
    <row r="447761" spans="25:37" x14ac:dyDescent="0.2">
      <c r="Y447761" s="5"/>
      <c r="AB447761" s="5"/>
      <c r="AE447761" s="5"/>
      <c r="AH447761" s="5"/>
      <c r="AK447761" s="5"/>
    </row>
    <row r="447771" spans="25:37" x14ac:dyDescent="0.2">
      <c r="Y447771" s="251"/>
      <c r="AB447771" s="251"/>
      <c r="AE447771" s="251"/>
      <c r="AH447771" s="251"/>
      <c r="AK447771" s="251"/>
    </row>
    <row r="447886" spans="25:37" x14ac:dyDescent="0.2">
      <c r="Y447886" s="5"/>
      <c r="AB447886" s="5"/>
      <c r="AE447886" s="5"/>
      <c r="AH447886" s="5"/>
      <c r="AK447886" s="5"/>
    </row>
    <row r="447896" spans="25:37" x14ac:dyDescent="0.2">
      <c r="Y447896" s="251"/>
      <c r="AB447896" s="251"/>
      <c r="AE447896" s="251"/>
      <c r="AH447896" s="251"/>
      <c r="AK447896" s="251"/>
    </row>
    <row r="448011" spans="25:37" x14ac:dyDescent="0.2">
      <c r="Y448011" s="5"/>
      <c r="AB448011" s="5"/>
      <c r="AE448011" s="5"/>
      <c r="AH448011" s="5"/>
      <c r="AK448011" s="5"/>
    </row>
    <row r="448021" spans="25:37" x14ac:dyDescent="0.2">
      <c r="Y448021" s="251"/>
      <c r="AB448021" s="251"/>
      <c r="AE448021" s="251"/>
      <c r="AH448021" s="251"/>
      <c r="AK448021" s="251"/>
    </row>
    <row r="448136" spans="25:37" x14ac:dyDescent="0.2">
      <c r="Y448136" s="5"/>
      <c r="AB448136" s="5"/>
      <c r="AE448136" s="5"/>
      <c r="AH448136" s="5"/>
      <c r="AK448136" s="5"/>
    </row>
    <row r="448146" spans="25:37" x14ac:dyDescent="0.2">
      <c r="Y448146" s="251"/>
      <c r="AB448146" s="251"/>
      <c r="AE448146" s="251"/>
      <c r="AH448146" s="251"/>
      <c r="AK448146" s="251"/>
    </row>
    <row r="448261" spans="25:37" x14ac:dyDescent="0.2">
      <c r="Y448261" s="5"/>
      <c r="AB448261" s="5"/>
      <c r="AE448261" s="5"/>
      <c r="AH448261" s="5"/>
      <c r="AK448261" s="5"/>
    </row>
    <row r="448271" spans="25:37" x14ac:dyDescent="0.2">
      <c r="Y448271" s="251"/>
      <c r="AB448271" s="251"/>
      <c r="AE448271" s="251"/>
      <c r="AH448271" s="251"/>
      <c r="AK448271" s="251"/>
    </row>
    <row r="448386" spans="25:37" x14ac:dyDescent="0.2">
      <c r="Y448386" s="5"/>
      <c r="AB448386" s="5"/>
      <c r="AE448386" s="5"/>
      <c r="AH448386" s="5"/>
      <c r="AK448386" s="5"/>
    </row>
    <row r="448396" spans="25:37" x14ac:dyDescent="0.2">
      <c r="Y448396" s="251"/>
      <c r="AB448396" s="251"/>
      <c r="AE448396" s="251"/>
      <c r="AH448396" s="251"/>
      <c r="AK448396" s="251"/>
    </row>
    <row r="448511" spans="25:37" x14ac:dyDescent="0.2">
      <c r="Y448511" s="5"/>
      <c r="AB448511" s="5"/>
      <c r="AE448511" s="5"/>
      <c r="AH448511" s="5"/>
      <c r="AK448511" s="5"/>
    </row>
    <row r="448521" spans="25:37" x14ac:dyDescent="0.2">
      <c r="Y448521" s="251"/>
      <c r="AB448521" s="251"/>
      <c r="AE448521" s="251"/>
      <c r="AH448521" s="251"/>
      <c r="AK448521" s="251"/>
    </row>
    <row r="448636" spans="25:37" x14ac:dyDescent="0.2">
      <c r="Y448636" s="5"/>
      <c r="AB448636" s="5"/>
      <c r="AE448636" s="5"/>
      <c r="AH448636" s="5"/>
      <c r="AK448636" s="5"/>
    </row>
    <row r="448646" spans="25:37" x14ac:dyDescent="0.2">
      <c r="Y448646" s="251"/>
      <c r="AB448646" s="251"/>
      <c r="AE448646" s="251"/>
      <c r="AH448646" s="251"/>
      <c r="AK448646" s="251"/>
    </row>
    <row r="448761" spans="25:37" x14ac:dyDescent="0.2">
      <c r="Y448761" s="5"/>
      <c r="AB448761" s="5"/>
      <c r="AE448761" s="5"/>
      <c r="AH448761" s="5"/>
      <c r="AK448761" s="5"/>
    </row>
    <row r="448771" spans="25:37" x14ac:dyDescent="0.2">
      <c r="Y448771" s="251"/>
      <c r="AB448771" s="251"/>
      <c r="AE448771" s="251"/>
      <c r="AH448771" s="251"/>
      <c r="AK448771" s="251"/>
    </row>
    <row r="448886" spans="25:37" x14ac:dyDescent="0.2">
      <c r="Y448886" s="5"/>
      <c r="AB448886" s="5"/>
      <c r="AE448886" s="5"/>
      <c r="AH448886" s="5"/>
      <c r="AK448886" s="5"/>
    </row>
    <row r="448896" spans="25:37" x14ac:dyDescent="0.2">
      <c r="Y448896" s="251"/>
      <c r="AB448896" s="251"/>
      <c r="AE448896" s="251"/>
      <c r="AH448896" s="251"/>
      <c r="AK448896" s="251"/>
    </row>
    <row r="449011" spans="25:37" x14ac:dyDescent="0.2">
      <c r="Y449011" s="5"/>
      <c r="AB449011" s="5"/>
      <c r="AE449011" s="5"/>
      <c r="AH449011" s="5"/>
      <c r="AK449011" s="5"/>
    </row>
    <row r="449021" spans="25:37" x14ac:dyDescent="0.2">
      <c r="Y449021" s="251"/>
      <c r="AB449021" s="251"/>
      <c r="AE449021" s="251"/>
      <c r="AH449021" s="251"/>
      <c r="AK449021" s="251"/>
    </row>
    <row r="449136" spans="25:37" x14ac:dyDescent="0.2">
      <c r="Y449136" s="5"/>
      <c r="AB449136" s="5"/>
      <c r="AE449136" s="5"/>
      <c r="AH449136" s="5"/>
      <c r="AK449136" s="5"/>
    </row>
    <row r="449146" spans="25:37" x14ac:dyDescent="0.2">
      <c r="Y449146" s="251"/>
      <c r="AB449146" s="251"/>
      <c r="AE449146" s="251"/>
      <c r="AH449146" s="251"/>
      <c r="AK449146" s="251"/>
    </row>
    <row r="449261" spans="25:37" x14ac:dyDescent="0.2">
      <c r="Y449261" s="5"/>
      <c r="AB449261" s="5"/>
      <c r="AE449261" s="5"/>
      <c r="AH449261" s="5"/>
      <c r="AK449261" s="5"/>
    </row>
    <row r="449271" spans="25:37" x14ac:dyDescent="0.2">
      <c r="Y449271" s="251"/>
      <c r="AB449271" s="251"/>
      <c r="AE449271" s="251"/>
      <c r="AH449271" s="251"/>
      <c r="AK449271" s="251"/>
    </row>
    <row r="449386" spans="25:37" x14ac:dyDescent="0.2">
      <c r="Y449386" s="5"/>
      <c r="AB449386" s="5"/>
      <c r="AE449386" s="5"/>
      <c r="AH449386" s="5"/>
      <c r="AK449386" s="5"/>
    </row>
    <row r="449396" spans="25:37" x14ac:dyDescent="0.2">
      <c r="Y449396" s="251"/>
      <c r="AB449396" s="251"/>
      <c r="AE449396" s="251"/>
      <c r="AH449396" s="251"/>
      <c r="AK449396" s="251"/>
    </row>
    <row r="449511" spans="25:37" x14ac:dyDescent="0.2">
      <c r="Y449511" s="5"/>
      <c r="AB449511" s="5"/>
      <c r="AE449511" s="5"/>
      <c r="AH449511" s="5"/>
      <c r="AK449511" s="5"/>
    </row>
    <row r="449521" spans="25:37" x14ac:dyDescent="0.2">
      <c r="Y449521" s="251"/>
      <c r="AB449521" s="251"/>
      <c r="AE449521" s="251"/>
      <c r="AH449521" s="251"/>
      <c r="AK449521" s="251"/>
    </row>
    <row r="449636" spans="25:37" x14ac:dyDescent="0.2">
      <c r="Y449636" s="5"/>
      <c r="AB449636" s="5"/>
      <c r="AE449636" s="5"/>
      <c r="AH449636" s="5"/>
      <c r="AK449636" s="5"/>
    </row>
    <row r="449646" spans="25:37" x14ac:dyDescent="0.2">
      <c r="Y449646" s="251"/>
      <c r="AB449646" s="251"/>
      <c r="AE449646" s="251"/>
      <c r="AH449646" s="251"/>
      <c r="AK449646" s="251"/>
    </row>
    <row r="449761" spans="25:37" x14ac:dyDescent="0.2">
      <c r="Y449761" s="5"/>
      <c r="AB449761" s="5"/>
      <c r="AE449761" s="5"/>
      <c r="AH449761" s="5"/>
      <c r="AK449761" s="5"/>
    </row>
    <row r="449771" spans="25:37" x14ac:dyDescent="0.2">
      <c r="Y449771" s="251"/>
      <c r="AB449771" s="251"/>
      <c r="AE449771" s="251"/>
      <c r="AH449771" s="251"/>
      <c r="AK449771" s="251"/>
    </row>
    <row r="449886" spans="25:37" x14ac:dyDescent="0.2">
      <c r="Y449886" s="5"/>
      <c r="AB449886" s="5"/>
      <c r="AE449886" s="5"/>
      <c r="AH449886" s="5"/>
      <c r="AK449886" s="5"/>
    </row>
    <row r="449896" spans="25:37" x14ac:dyDescent="0.2">
      <c r="Y449896" s="251"/>
      <c r="AB449896" s="251"/>
      <c r="AE449896" s="251"/>
      <c r="AH449896" s="251"/>
      <c r="AK449896" s="251"/>
    </row>
    <row r="450011" spans="25:37" x14ac:dyDescent="0.2">
      <c r="Y450011" s="5"/>
      <c r="AB450011" s="5"/>
      <c r="AE450011" s="5"/>
      <c r="AH450011" s="5"/>
      <c r="AK450011" s="5"/>
    </row>
    <row r="450021" spans="25:37" x14ac:dyDescent="0.2">
      <c r="Y450021" s="251"/>
      <c r="AB450021" s="251"/>
      <c r="AE450021" s="251"/>
      <c r="AH450021" s="251"/>
      <c r="AK450021" s="251"/>
    </row>
    <row r="450136" spans="25:37" x14ac:dyDescent="0.2">
      <c r="Y450136" s="5"/>
      <c r="AB450136" s="5"/>
      <c r="AE450136" s="5"/>
      <c r="AH450136" s="5"/>
      <c r="AK450136" s="5"/>
    </row>
    <row r="450146" spans="25:37" x14ac:dyDescent="0.2">
      <c r="Y450146" s="251"/>
      <c r="AB450146" s="251"/>
      <c r="AE450146" s="251"/>
      <c r="AH450146" s="251"/>
      <c r="AK450146" s="251"/>
    </row>
    <row r="450261" spans="25:37" x14ac:dyDescent="0.2">
      <c r="Y450261" s="5"/>
      <c r="AB450261" s="5"/>
      <c r="AE450261" s="5"/>
      <c r="AH450261" s="5"/>
      <c r="AK450261" s="5"/>
    </row>
    <row r="450271" spans="25:37" x14ac:dyDescent="0.2">
      <c r="Y450271" s="251"/>
      <c r="AB450271" s="251"/>
      <c r="AE450271" s="251"/>
      <c r="AH450271" s="251"/>
      <c r="AK450271" s="251"/>
    </row>
    <row r="450386" spans="25:37" x14ac:dyDescent="0.2">
      <c r="Y450386" s="5"/>
      <c r="AB450386" s="5"/>
      <c r="AE450386" s="5"/>
      <c r="AH450386" s="5"/>
      <c r="AK450386" s="5"/>
    </row>
    <row r="450396" spans="25:37" x14ac:dyDescent="0.2">
      <c r="Y450396" s="251"/>
      <c r="AB450396" s="251"/>
      <c r="AE450396" s="251"/>
      <c r="AH450396" s="251"/>
      <c r="AK450396" s="251"/>
    </row>
    <row r="450511" spans="25:37" x14ac:dyDescent="0.2">
      <c r="Y450511" s="5"/>
      <c r="AB450511" s="5"/>
      <c r="AE450511" s="5"/>
      <c r="AH450511" s="5"/>
      <c r="AK450511" s="5"/>
    </row>
    <row r="450521" spans="25:37" x14ac:dyDescent="0.2">
      <c r="Y450521" s="251"/>
      <c r="AB450521" s="251"/>
      <c r="AE450521" s="251"/>
      <c r="AH450521" s="251"/>
      <c r="AK450521" s="251"/>
    </row>
    <row r="450636" spans="25:37" x14ac:dyDescent="0.2">
      <c r="Y450636" s="5"/>
      <c r="AB450636" s="5"/>
      <c r="AE450636" s="5"/>
      <c r="AH450636" s="5"/>
      <c r="AK450636" s="5"/>
    </row>
    <row r="450646" spans="25:37" x14ac:dyDescent="0.2">
      <c r="Y450646" s="251"/>
      <c r="AB450646" s="251"/>
      <c r="AE450646" s="251"/>
      <c r="AH450646" s="251"/>
      <c r="AK450646" s="251"/>
    </row>
    <row r="450761" spans="25:37" x14ac:dyDescent="0.2">
      <c r="Y450761" s="5"/>
      <c r="AB450761" s="5"/>
      <c r="AE450761" s="5"/>
      <c r="AH450761" s="5"/>
      <c r="AK450761" s="5"/>
    </row>
    <row r="450771" spans="25:37" x14ac:dyDescent="0.2">
      <c r="Y450771" s="251"/>
      <c r="AB450771" s="251"/>
      <c r="AE450771" s="251"/>
      <c r="AH450771" s="251"/>
      <c r="AK450771" s="251"/>
    </row>
    <row r="450886" spans="25:37" x14ac:dyDescent="0.2">
      <c r="Y450886" s="5"/>
      <c r="AB450886" s="5"/>
      <c r="AE450886" s="5"/>
      <c r="AH450886" s="5"/>
      <c r="AK450886" s="5"/>
    </row>
    <row r="450896" spans="25:37" x14ac:dyDescent="0.2">
      <c r="Y450896" s="251"/>
      <c r="AB450896" s="251"/>
      <c r="AE450896" s="251"/>
      <c r="AH450896" s="251"/>
      <c r="AK450896" s="251"/>
    </row>
    <row r="451011" spans="25:37" x14ac:dyDescent="0.2">
      <c r="Y451011" s="5"/>
      <c r="AB451011" s="5"/>
      <c r="AE451011" s="5"/>
      <c r="AH451011" s="5"/>
      <c r="AK451011" s="5"/>
    </row>
    <row r="451021" spans="25:37" x14ac:dyDescent="0.2">
      <c r="Y451021" s="251"/>
      <c r="AB451021" s="251"/>
      <c r="AE451021" s="251"/>
      <c r="AH451021" s="251"/>
      <c r="AK451021" s="251"/>
    </row>
    <row r="451136" spans="25:37" x14ac:dyDescent="0.2">
      <c r="Y451136" s="5"/>
      <c r="AB451136" s="5"/>
      <c r="AE451136" s="5"/>
      <c r="AH451136" s="5"/>
      <c r="AK451136" s="5"/>
    </row>
    <row r="451146" spans="25:37" x14ac:dyDescent="0.2">
      <c r="Y451146" s="251"/>
      <c r="AB451146" s="251"/>
      <c r="AE451146" s="251"/>
      <c r="AH451146" s="251"/>
      <c r="AK451146" s="251"/>
    </row>
    <row r="451261" spans="25:37" x14ac:dyDescent="0.2">
      <c r="Y451261" s="5"/>
      <c r="AB451261" s="5"/>
      <c r="AE451261" s="5"/>
      <c r="AH451261" s="5"/>
      <c r="AK451261" s="5"/>
    </row>
    <row r="451271" spans="25:37" x14ac:dyDescent="0.2">
      <c r="Y451271" s="251"/>
      <c r="AB451271" s="251"/>
      <c r="AE451271" s="251"/>
      <c r="AH451271" s="251"/>
      <c r="AK451271" s="251"/>
    </row>
    <row r="451386" spans="25:37" x14ac:dyDescent="0.2">
      <c r="Y451386" s="5"/>
      <c r="AB451386" s="5"/>
      <c r="AE451386" s="5"/>
      <c r="AH451386" s="5"/>
      <c r="AK451386" s="5"/>
    </row>
    <row r="451396" spans="25:37" x14ac:dyDescent="0.2">
      <c r="Y451396" s="251"/>
      <c r="AB451396" s="251"/>
      <c r="AE451396" s="251"/>
      <c r="AH451396" s="251"/>
      <c r="AK451396" s="251"/>
    </row>
    <row r="451511" spans="25:37" x14ac:dyDescent="0.2">
      <c r="Y451511" s="5"/>
      <c r="AB451511" s="5"/>
      <c r="AE451511" s="5"/>
      <c r="AH451511" s="5"/>
      <c r="AK451511" s="5"/>
    </row>
    <row r="451521" spans="25:37" x14ac:dyDescent="0.2">
      <c r="Y451521" s="251"/>
      <c r="AB451521" s="251"/>
      <c r="AE451521" s="251"/>
      <c r="AH451521" s="251"/>
      <c r="AK451521" s="251"/>
    </row>
    <row r="451636" spans="25:37" x14ac:dyDescent="0.2">
      <c r="Y451636" s="5"/>
      <c r="AB451636" s="5"/>
      <c r="AE451636" s="5"/>
      <c r="AH451636" s="5"/>
      <c r="AK451636" s="5"/>
    </row>
    <row r="451646" spans="25:37" x14ac:dyDescent="0.2">
      <c r="Y451646" s="251"/>
      <c r="AB451646" s="251"/>
      <c r="AE451646" s="251"/>
      <c r="AH451646" s="251"/>
      <c r="AK451646" s="251"/>
    </row>
    <row r="451761" spans="25:37" x14ac:dyDescent="0.2">
      <c r="Y451761" s="5"/>
      <c r="AB451761" s="5"/>
      <c r="AE451761" s="5"/>
      <c r="AH451761" s="5"/>
      <c r="AK451761" s="5"/>
    </row>
    <row r="451771" spans="25:37" x14ac:dyDescent="0.2">
      <c r="Y451771" s="251"/>
      <c r="AB451771" s="251"/>
      <c r="AE451771" s="251"/>
      <c r="AH451771" s="251"/>
      <c r="AK451771" s="251"/>
    </row>
    <row r="451886" spans="25:37" x14ac:dyDescent="0.2">
      <c r="Y451886" s="5"/>
      <c r="AB451886" s="5"/>
      <c r="AE451886" s="5"/>
      <c r="AH451886" s="5"/>
      <c r="AK451886" s="5"/>
    </row>
    <row r="451896" spans="25:37" x14ac:dyDescent="0.2">
      <c r="Y451896" s="251"/>
      <c r="AB451896" s="251"/>
      <c r="AE451896" s="251"/>
      <c r="AH451896" s="251"/>
      <c r="AK451896" s="251"/>
    </row>
    <row r="452011" spans="25:37" x14ac:dyDescent="0.2">
      <c r="Y452011" s="5"/>
      <c r="AB452011" s="5"/>
      <c r="AE452011" s="5"/>
      <c r="AH452011" s="5"/>
      <c r="AK452011" s="5"/>
    </row>
    <row r="452021" spans="25:37" x14ac:dyDescent="0.2">
      <c r="Y452021" s="251"/>
      <c r="AB452021" s="251"/>
      <c r="AE452021" s="251"/>
      <c r="AH452021" s="251"/>
      <c r="AK452021" s="251"/>
    </row>
    <row r="452136" spans="25:37" x14ac:dyDescent="0.2">
      <c r="Y452136" s="5"/>
      <c r="AB452136" s="5"/>
      <c r="AE452136" s="5"/>
      <c r="AH452136" s="5"/>
      <c r="AK452136" s="5"/>
    </row>
    <row r="452146" spans="25:37" x14ac:dyDescent="0.2">
      <c r="Y452146" s="251"/>
      <c r="AB452146" s="251"/>
      <c r="AE452146" s="251"/>
      <c r="AH452146" s="251"/>
      <c r="AK452146" s="251"/>
    </row>
    <row r="452261" spans="25:37" x14ac:dyDescent="0.2">
      <c r="Y452261" s="5"/>
      <c r="AB452261" s="5"/>
      <c r="AE452261" s="5"/>
      <c r="AH452261" s="5"/>
      <c r="AK452261" s="5"/>
    </row>
    <row r="452271" spans="25:37" x14ac:dyDescent="0.2">
      <c r="Y452271" s="251"/>
      <c r="AB452271" s="251"/>
      <c r="AE452271" s="251"/>
      <c r="AH452271" s="251"/>
      <c r="AK452271" s="251"/>
    </row>
    <row r="452386" spans="25:37" x14ac:dyDescent="0.2">
      <c r="Y452386" s="5"/>
      <c r="AB452386" s="5"/>
      <c r="AE452386" s="5"/>
      <c r="AH452386" s="5"/>
      <c r="AK452386" s="5"/>
    </row>
    <row r="452396" spans="25:37" x14ac:dyDescent="0.2">
      <c r="Y452396" s="251"/>
      <c r="AB452396" s="251"/>
      <c r="AE452396" s="251"/>
      <c r="AH452396" s="251"/>
      <c r="AK452396" s="251"/>
    </row>
    <row r="452511" spans="25:37" x14ac:dyDescent="0.2">
      <c r="Y452511" s="5"/>
      <c r="AB452511" s="5"/>
      <c r="AE452511" s="5"/>
      <c r="AH452511" s="5"/>
      <c r="AK452511" s="5"/>
    </row>
    <row r="452521" spans="25:37" x14ac:dyDescent="0.2">
      <c r="Y452521" s="251"/>
      <c r="AB452521" s="251"/>
      <c r="AE452521" s="251"/>
      <c r="AH452521" s="251"/>
      <c r="AK452521" s="251"/>
    </row>
    <row r="452636" spans="25:37" x14ac:dyDescent="0.2">
      <c r="Y452636" s="5"/>
      <c r="AB452636" s="5"/>
      <c r="AE452636" s="5"/>
      <c r="AH452636" s="5"/>
      <c r="AK452636" s="5"/>
    </row>
    <row r="452646" spans="25:37" x14ac:dyDescent="0.2">
      <c r="Y452646" s="251"/>
      <c r="AB452646" s="251"/>
      <c r="AE452646" s="251"/>
      <c r="AH452646" s="251"/>
      <c r="AK452646" s="251"/>
    </row>
    <row r="452761" spans="25:37" x14ac:dyDescent="0.2">
      <c r="Y452761" s="5"/>
      <c r="AB452761" s="5"/>
      <c r="AE452761" s="5"/>
      <c r="AH452761" s="5"/>
      <c r="AK452761" s="5"/>
    </row>
    <row r="452771" spans="25:37" x14ac:dyDescent="0.2">
      <c r="Y452771" s="251"/>
      <c r="AB452771" s="251"/>
      <c r="AE452771" s="251"/>
      <c r="AH452771" s="251"/>
      <c r="AK452771" s="251"/>
    </row>
    <row r="452886" spans="25:37" x14ac:dyDescent="0.2">
      <c r="Y452886" s="5"/>
      <c r="AB452886" s="5"/>
      <c r="AE452886" s="5"/>
      <c r="AH452886" s="5"/>
      <c r="AK452886" s="5"/>
    </row>
    <row r="452896" spans="25:37" x14ac:dyDescent="0.2">
      <c r="Y452896" s="251"/>
      <c r="AB452896" s="251"/>
      <c r="AE452896" s="251"/>
      <c r="AH452896" s="251"/>
      <c r="AK452896" s="251"/>
    </row>
    <row r="453011" spans="25:37" x14ac:dyDescent="0.2">
      <c r="Y453011" s="5"/>
      <c r="AB453011" s="5"/>
      <c r="AE453011" s="5"/>
      <c r="AH453011" s="5"/>
      <c r="AK453011" s="5"/>
    </row>
    <row r="453021" spans="25:37" x14ac:dyDescent="0.2">
      <c r="Y453021" s="251"/>
      <c r="AB453021" s="251"/>
      <c r="AE453021" s="251"/>
      <c r="AH453021" s="251"/>
      <c r="AK453021" s="251"/>
    </row>
    <row r="453136" spans="25:37" x14ac:dyDescent="0.2">
      <c r="Y453136" s="5"/>
      <c r="AB453136" s="5"/>
      <c r="AE453136" s="5"/>
      <c r="AH453136" s="5"/>
      <c r="AK453136" s="5"/>
    </row>
    <row r="453146" spans="25:37" x14ac:dyDescent="0.2">
      <c r="Y453146" s="251"/>
      <c r="AB453146" s="251"/>
      <c r="AE453146" s="251"/>
      <c r="AH453146" s="251"/>
      <c r="AK453146" s="251"/>
    </row>
    <row r="453261" spans="25:37" x14ac:dyDescent="0.2">
      <c r="Y453261" s="5"/>
      <c r="AB453261" s="5"/>
      <c r="AE453261" s="5"/>
      <c r="AH453261" s="5"/>
      <c r="AK453261" s="5"/>
    </row>
    <row r="453271" spans="25:37" x14ac:dyDescent="0.2">
      <c r="Y453271" s="251"/>
      <c r="AB453271" s="251"/>
      <c r="AE453271" s="251"/>
      <c r="AH453271" s="251"/>
      <c r="AK453271" s="251"/>
    </row>
    <row r="453386" spans="25:37" x14ac:dyDescent="0.2">
      <c r="Y453386" s="5"/>
      <c r="AB453386" s="5"/>
      <c r="AE453386" s="5"/>
      <c r="AH453386" s="5"/>
      <c r="AK453386" s="5"/>
    </row>
    <row r="453396" spans="25:37" x14ac:dyDescent="0.2">
      <c r="Y453396" s="251"/>
      <c r="AB453396" s="251"/>
      <c r="AE453396" s="251"/>
      <c r="AH453396" s="251"/>
      <c r="AK453396" s="251"/>
    </row>
    <row r="453511" spans="25:37" x14ac:dyDescent="0.2">
      <c r="Y453511" s="5"/>
      <c r="AB453511" s="5"/>
      <c r="AE453511" s="5"/>
      <c r="AH453511" s="5"/>
      <c r="AK453511" s="5"/>
    </row>
    <row r="453521" spans="25:37" x14ac:dyDescent="0.2">
      <c r="Y453521" s="251"/>
      <c r="AB453521" s="251"/>
      <c r="AE453521" s="251"/>
      <c r="AH453521" s="251"/>
      <c r="AK453521" s="251"/>
    </row>
    <row r="453636" spans="25:37" x14ac:dyDescent="0.2">
      <c r="Y453636" s="5"/>
      <c r="AB453636" s="5"/>
      <c r="AE453636" s="5"/>
      <c r="AH453636" s="5"/>
      <c r="AK453636" s="5"/>
    </row>
    <row r="453646" spans="25:37" x14ac:dyDescent="0.2">
      <c r="Y453646" s="251"/>
      <c r="AB453646" s="251"/>
      <c r="AE453646" s="251"/>
      <c r="AH453646" s="251"/>
      <c r="AK453646" s="251"/>
    </row>
    <row r="453761" spans="25:37" x14ac:dyDescent="0.2">
      <c r="Y453761" s="5"/>
      <c r="AB453761" s="5"/>
      <c r="AE453761" s="5"/>
      <c r="AH453761" s="5"/>
      <c r="AK453761" s="5"/>
    </row>
    <row r="453771" spans="25:37" x14ac:dyDescent="0.2">
      <c r="Y453771" s="251"/>
      <c r="AB453771" s="251"/>
      <c r="AE453771" s="251"/>
      <c r="AH453771" s="251"/>
      <c r="AK453771" s="251"/>
    </row>
    <row r="453886" spans="25:37" x14ac:dyDescent="0.2">
      <c r="Y453886" s="5"/>
      <c r="AB453886" s="5"/>
      <c r="AE453886" s="5"/>
      <c r="AH453886" s="5"/>
      <c r="AK453886" s="5"/>
    </row>
    <row r="453896" spans="25:37" x14ac:dyDescent="0.2">
      <c r="Y453896" s="251"/>
      <c r="AB453896" s="251"/>
      <c r="AE453896" s="251"/>
      <c r="AH453896" s="251"/>
      <c r="AK453896" s="251"/>
    </row>
    <row r="454011" spans="25:37" x14ac:dyDescent="0.2">
      <c r="Y454011" s="5"/>
      <c r="AB454011" s="5"/>
      <c r="AE454011" s="5"/>
      <c r="AH454011" s="5"/>
      <c r="AK454011" s="5"/>
    </row>
    <row r="454021" spans="25:37" x14ac:dyDescent="0.2">
      <c r="Y454021" s="251"/>
      <c r="AB454021" s="251"/>
      <c r="AE454021" s="251"/>
      <c r="AH454021" s="251"/>
      <c r="AK454021" s="251"/>
    </row>
    <row r="454136" spans="25:37" x14ac:dyDescent="0.2">
      <c r="Y454136" s="5"/>
      <c r="AB454136" s="5"/>
      <c r="AE454136" s="5"/>
      <c r="AH454136" s="5"/>
      <c r="AK454136" s="5"/>
    </row>
    <row r="454146" spans="25:37" x14ac:dyDescent="0.2">
      <c r="Y454146" s="251"/>
      <c r="AB454146" s="251"/>
      <c r="AE454146" s="251"/>
      <c r="AH454146" s="251"/>
      <c r="AK454146" s="251"/>
    </row>
    <row r="454261" spans="25:37" x14ac:dyDescent="0.2">
      <c r="Y454261" s="5"/>
      <c r="AB454261" s="5"/>
      <c r="AE454261" s="5"/>
      <c r="AH454261" s="5"/>
      <c r="AK454261" s="5"/>
    </row>
    <row r="454271" spans="25:37" x14ac:dyDescent="0.2">
      <c r="Y454271" s="251"/>
      <c r="AB454271" s="251"/>
      <c r="AE454271" s="251"/>
      <c r="AH454271" s="251"/>
      <c r="AK454271" s="251"/>
    </row>
    <row r="454386" spans="25:37" x14ac:dyDescent="0.2">
      <c r="Y454386" s="5"/>
      <c r="AB454386" s="5"/>
      <c r="AE454386" s="5"/>
      <c r="AH454386" s="5"/>
      <c r="AK454386" s="5"/>
    </row>
    <row r="454396" spans="25:37" x14ac:dyDescent="0.2">
      <c r="Y454396" s="251"/>
      <c r="AB454396" s="251"/>
      <c r="AE454396" s="251"/>
      <c r="AH454396" s="251"/>
      <c r="AK454396" s="251"/>
    </row>
    <row r="454511" spans="25:37" x14ac:dyDescent="0.2">
      <c r="Y454511" s="5"/>
      <c r="AB454511" s="5"/>
      <c r="AE454511" s="5"/>
      <c r="AH454511" s="5"/>
      <c r="AK454511" s="5"/>
    </row>
    <row r="454521" spans="25:37" x14ac:dyDescent="0.2">
      <c r="Y454521" s="251"/>
      <c r="AB454521" s="251"/>
      <c r="AE454521" s="251"/>
      <c r="AH454521" s="251"/>
      <c r="AK454521" s="251"/>
    </row>
    <row r="454636" spans="25:37" x14ac:dyDescent="0.2">
      <c r="Y454636" s="5"/>
      <c r="AB454636" s="5"/>
      <c r="AE454636" s="5"/>
      <c r="AH454636" s="5"/>
      <c r="AK454636" s="5"/>
    </row>
    <row r="454646" spans="25:37" x14ac:dyDescent="0.2">
      <c r="Y454646" s="251"/>
      <c r="AB454646" s="251"/>
      <c r="AE454646" s="251"/>
      <c r="AH454646" s="251"/>
      <c r="AK454646" s="251"/>
    </row>
    <row r="454761" spans="25:37" x14ac:dyDescent="0.2">
      <c r="Y454761" s="5"/>
      <c r="AB454761" s="5"/>
      <c r="AE454761" s="5"/>
      <c r="AH454761" s="5"/>
      <c r="AK454761" s="5"/>
    </row>
    <row r="454771" spans="25:37" x14ac:dyDescent="0.2">
      <c r="Y454771" s="251"/>
      <c r="AB454771" s="251"/>
      <c r="AE454771" s="251"/>
      <c r="AH454771" s="251"/>
      <c r="AK454771" s="251"/>
    </row>
    <row r="454886" spans="25:37" x14ac:dyDescent="0.2">
      <c r="Y454886" s="5"/>
      <c r="AB454886" s="5"/>
      <c r="AE454886" s="5"/>
      <c r="AH454886" s="5"/>
      <c r="AK454886" s="5"/>
    </row>
    <row r="454896" spans="25:37" x14ac:dyDescent="0.2">
      <c r="Y454896" s="251"/>
      <c r="AB454896" s="251"/>
      <c r="AE454896" s="251"/>
      <c r="AH454896" s="251"/>
      <c r="AK454896" s="251"/>
    </row>
    <row r="455011" spans="25:37" x14ac:dyDescent="0.2">
      <c r="Y455011" s="5"/>
      <c r="AB455011" s="5"/>
      <c r="AE455011" s="5"/>
      <c r="AH455011" s="5"/>
      <c r="AK455011" s="5"/>
    </row>
    <row r="455021" spans="25:37" x14ac:dyDescent="0.2">
      <c r="Y455021" s="251"/>
      <c r="AB455021" s="251"/>
      <c r="AE455021" s="251"/>
      <c r="AH455021" s="251"/>
      <c r="AK455021" s="251"/>
    </row>
    <row r="455136" spans="25:37" x14ac:dyDescent="0.2">
      <c r="Y455136" s="5"/>
      <c r="AB455136" s="5"/>
      <c r="AE455136" s="5"/>
      <c r="AH455136" s="5"/>
      <c r="AK455136" s="5"/>
    </row>
    <row r="455146" spans="25:37" x14ac:dyDescent="0.2">
      <c r="Y455146" s="251"/>
      <c r="AB455146" s="251"/>
      <c r="AE455146" s="251"/>
      <c r="AH455146" s="251"/>
      <c r="AK455146" s="251"/>
    </row>
    <row r="455261" spans="25:37" x14ac:dyDescent="0.2">
      <c r="Y455261" s="5"/>
      <c r="AB455261" s="5"/>
      <c r="AE455261" s="5"/>
      <c r="AH455261" s="5"/>
      <c r="AK455261" s="5"/>
    </row>
    <row r="455271" spans="25:37" x14ac:dyDescent="0.2">
      <c r="Y455271" s="251"/>
      <c r="AB455271" s="251"/>
      <c r="AE455271" s="251"/>
      <c r="AH455271" s="251"/>
      <c r="AK455271" s="251"/>
    </row>
    <row r="455386" spans="25:37" x14ac:dyDescent="0.2">
      <c r="Y455386" s="5"/>
      <c r="AB455386" s="5"/>
      <c r="AE455386" s="5"/>
      <c r="AH455386" s="5"/>
      <c r="AK455386" s="5"/>
    </row>
    <row r="455396" spans="25:37" x14ac:dyDescent="0.2">
      <c r="Y455396" s="251"/>
      <c r="AB455396" s="251"/>
      <c r="AE455396" s="251"/>
      <c r="AH455396" s="251"/>
      <c r="AK455396" s="251"/>
    </row>
    <row r="455511" spans="25:37" x14ac:dyDescent="0.2">
      <c r="Y455511" s="5"/>
      <c r="AB455511" s="5"/>
      <c r="AE455511" s="5"/>
      <c r="AH455511" s="5"/>
      <c r="AK455511" s="5"/>
    </row>
    <row r="455521" spans="25:37" x14ac:dyDescent="0.2">
      <c r="Y455521" s="251"/>
      <c r="AB455521" s="251"/>
      <c r="AE455521" s="251"/>
      <c r="AH455521" s="251"/>
      <c r="AK455521" s="251"/>
    </row>
    <row r="455636" spans="25:37" x14ac:dyDescent="0.2">
      <c r="Y455636" s="5"/>
      <c r="AB455636" s="5"/>
      <c r="AE455636" s="5"/>
      <c r="AH455636" s="5"/>
      <c r="AK455636" s="5"/>
    </row>
    <row r="455646" spans="25:37" x14ac:dyDescent="0.2">
      <c r="Y455646" s="251"/>
      <c r="AB455646" s="251"/>
      <c r="AE455646" s="251"/>
      <c r="AH455646" s="251"/>
      <c r="AK455646" s="251"/>
    </row>
    <row r="455761" spans="25:37" x14ac:dyDescent="0.2">
      <c r="Y455761" s="5"/>
      <c r="AB455761" s="5"/>
      <c r="AE455761" s="5"/>
      <c r="AH455761" s="5"/>
      <c r="AK455761" s="5"/>
    </row>
    <row r="455771" spans="25:37" x14ac:dyDescent="0.2">
      <c r="Y455771" s="251"/>
      <c r="AB455771" s="251"/>
      <c r="AE455771" s="251"/>
      <c r="AH455771" s="251"/>
      <c r="AK455771" s="251"/>
    </row>
    <row r="455886" spans="25:37" x14ac:dyDescent="0.2">
      <c r="Y455886" s="5"/>
      <c r="AB455886" s="5"/>
      <c r="AE455886" s="5"/>
      <c r="AH455886" s="5"/>
      <c r="AK455886" s="5"/>
    </row>
    <row r="455896" spans="25:37" x14ac:dyDescent="0.2">
      <c r="Y455896" s="251"/>
      <c r="AB455896" s="251"/>
      <c r="AE455896" s="251"/>
      <c r="AH455896" s="251"/>
      <c r="AK455896" s="251"/>
    </row>
    <row r="456011" spans="25:37" x14ac:dyDescent="0.2">
      <c r="Y456011" s="5"/>
      <c r="AB456011" s="5"/>
      <c r="AE456011" s="5"/>
      <c r="AH456011" s="5"/>
      <c r="AK456011" s="5"/>
    </row>
    <row r="456021" spans="25:37" x14ac:dyDescent="0.2">
      <c r="Y456021" s="251"/>
      <c r="AB456021" s="251"/>
      <c r="AE456021" s="251"/>
      <c r="AH456021" s="251"/>
      <c r="AK456021" s="251"/>
    </row>
    <row r="456136" spans="25:37" x14ac:dyDescent="0.2">
      <c r="Y456136" s="5"/>
      <c r="AB456136" s="5"/>
      <c r="AE456136" s="5"/>
      <c r="AH456136" s="5"/>
      <c r="AK456136" s="5"/>
    </row>
    <row r="456146" spans="25:37" x14ac:dyDescent="0.2">
      <c r="Y456146" s="251"/>
      <c r="AB456146" s="251"/>
      <c r="AE456146" s="251"/>
      <c r="AH456146" s="251"/>
      <c r="AK456146" s="251"/>
    </row>
    <row r="456261" spans="25:37" x14ac:dyDescent="0.2">
      <c r="Y456261" s="5"/>
      <c r="AB456261" s="5"/>
      <c r="AE456261" s="5"/>
      <c r="AH456261" s="5"/>
      <c r="AK456261" s="5"/>
    </row>
    <row r="456271" spans="25:37" x14ac:dyDescent="0.2">
      <c r="Y456271" s="251"/>
      <c r="AB456271" s="251"/>
      <c r="AE456271" s="251"/>
      <c r="AH456271" s="251"/>
      <c r="AK456271" s="251"/>
    </row>
    <row r="456386" spans="25:37" x14ac:dyDescent="0.2">
      <c r="Y456386" s="5"/>
      <c r="AB456386" s="5"/>
      <c r="AE456386" s="5"/>
      <c r="AH456386" s="5"/>
      <c r="AK456386" s="5"/>
    </row>
    <row r="456396" spans="25:37" x14ac:dyDescent="0.2">
      <c r="Y456396" s="251"/>
      <c r="AB456396" s="251"/>
      <c r="AE456396" s="251"/>
      <c r="AH456396" s="251"/>
      <c r="AK456396" s="251"/>
    </row>
    <row r="456511" spans="25:37" x14ac:dyDescent="0.2">
      <c r="Y456511" s="5"/>
      <c r="AB456511" s="5"/>
      <c r="AE456511" s="5"/>
      <c r="AH456511" s="5"/>
      <c r="AK456511" s="5"/>
    </row>
    <row r="456521" spans="25:37" x14ac:dyDescent="0.2">
      <c r="Y456521" s="251"/>
      <c r="AB456521" s="251"/>
      <c r="AE456521" s="251"/>
      <c r="AH456521" s="251"/>
      <c r="AK456521" s="251"/>
    </row>
    <row r="456636" spans="25:37" x14ac:dyDescent="0.2">
      <c r="Y456636" s="5"/>
      <c r="AB456636" s="5"/>
      <c r="AE456636" s="5"/>
      <c r="AH456636" s="5"/>
      <c r="AK456636" s="5"/>
    </row>
    <row r="456646" spans="25:37" x14ac:dyDescent="0.2">
      <c r="Y456646" s="251"/>
      <c r="AB456646" s="251"/>
      <c r="AE456646" s="251"/>
      <c r="AH456646" s="251"/>
      <c r="AK456646" s="251"/>
    </row>
    <row r="456761" spans="25:37" x14ac:dyDescent="0.2">
      <c r="Y456761" s="5"/>
      <c r="AB456761" s="5"/>
      <c r="AE456761" s="5"/>
      <c r="AH456761" s="5"/>
      <c r="AK456761" s="5"/>
    </row>
    <row r="456771" spans="25:37" x14ac:dyDescent="0.2">
      <c r="Y456771" s="251"/>
      <c r="AB456771" s="251"/>
      <c r="AE456771" s="251"/>
      <c r="AH456771" s="251"/>
      <c r="AK456771" s="251"/>
    </row>
    <row r="456886" spans="25:37" x14ac:dyDescent="0.2">
      <c r="Y456886" s="5"/>
      <c r="AB456886" s="5"/>
      <c r="AE456886" s="5"/>
      <c r="AH456886" s="5"/>
      <c r="AK456886" s="5"/>
    </row>
    <row r="456896" spans="25:37" x14ac:dyDescent="0.2">
      <c r="Y456896" s="251"/>
      <c r="AB456896" s="251"/>
      <c r="AE456896" s="251"/>
      <c r="AH456896" s="251"/>
      <c r="AK456896" s="251"/>
    </row>
    <row r="457011" spans="25:37" x14ac:dyDescent="0.2">
      <c r="Y457011" s="5"/>
      <c r="AB457011" s="5"/>
      <c r="AE457011" s="5"/>
      <c r="AH457011" s="5"/>
      <c r="AK457011" s="5"/>
    </row>
    <row r="457021" spans="25:37" x14ac:dyDescent="0.2">
      <c r="Y457021" s="251"/>
      <c r="AB457021" s="251"/>
      <c r="AE457021" s="251"/>
      <c r="AH457021" s="251"/>
      <c r="AK457021" s="251"/>
    </row>
    <row r="457136" spans="25:37" x14ac:dyDescent="0.2">
      <c r="Y457136" s="5"/>
      <c r="AB457136" s="5"/>
      <c r="AE457136" s="5"/>
      <c r="AH457136" s="5"/>
      <c r="AK457136" s="5"/>
    </row>
    <row r="457146" spans="25:37" x14ac:dyDescent="0.2">
      <c r="Y457146" s="251"/>
      <c r="AB457146" s="251"/>
      <c r="AE457146" s="251"/>
      <c r="AH457146" s="251"/>
      <c r="AK457146" s="251"/>
    </row>
    <row r="457261" spans="25:37" x14ac:dyDescent="0.2">
      <c r="Y457261" s="5"/>
      <c r="AB457261" s="5"/>
      <c r="AE457261" s="5"/>
      <c r="AH457261" s="5"/>
      <c r="AK457261" s="5"/>
    </row>
    <row r="457271" spans="25:37" x14ac:dyDescent="0.2">
      <c r="Y457271" s="251"/>
      <c r="AB457271" s="251"/>
      <c r="AE457271" s="251"/>
      <c r="AH457271" s="251"/>
      <c r="AK457271" s="251"/>
    </row>
    <row r="457386" spans="25:37" x14ac:dyDescent="0.2">
      <c r="Y457386" s="5"/>
      <c r="AB457386" s="5"/>
      <c r="AE457386" s="5"/>
      <c r="AH457386" s="5"/>
      <c r="AK457386" s="5"/>
    </row>
    <row r="457396" spans="25:37" x14ac:dyDescent="0.2">
      <c r="Y457396" s="251"/>
      <c r="AB457396" s="251"/>
      <c r="AE457396" s="251"/>
      <c r="AH457396" s="251"/>
      <c r="AK457396" s="251"/>
    </row>
    <row r="457511" spans="25:37" x14ac:dyDescent="0.2">
      <c r="Y457511" s="5"/>
      <c r="AB457511" s="5"/>
      <c r="AE457511" s="5"/>
      <c r="AH457511" s="5"/>
      <c r="AK457511" s="5"/>
    </row>
    <row r="457521" spans="25:37" x14ac:dyDescent="0.2">
      <c r="Y457521" s="251"/>
      <c r="AB457521" s="251"/>
      <c r="AE457521" s="251"/>
      <c r="AH457521" s="251"/>
      <c r="AK457521" s="251"/>
    </row>
    <row r="457636" spans="25:37" x14ac:dyDescent="0.2">
      <c r="Y457636" s="5"/>
      <c r="AB457636" s="5"/>
      <c r="AE457636" s="5"/>
      <c r="AH457636" s="5"/>
      <c r="AK457636" s="5"/>
    </row>
    <row r="457646" spans="25:37" x14ac:dyDescent="0.2">
      <c r="Y457646" s="251"/>
      <c r="AB457646" s="251"/>
      <c r="AE457646" s="251"/>
      <c r="AH457646" s="251"/>
      <c r="AK457646" s="251"/>
    </row>
    <row r="457761" spans="25:37" x14ac:dyDescent="0.2">
      <c r="Y457761" s="5"/>
      <c r="AB457761" s="5"/>
      <c r="AE457761" s="5"/>
      <c r="AH457761" s="5"/>
      <c r="AK457761" s="5"/>
    </row>
    <row r="457771" spans="25:37" x14ac:dyDescent="0.2">
      <c r="Y457771" s="251"/>
      <c r="AB457771" s="251"/>
      <c r="AE457771" s="251"/>
      <c r="AH457771" s="251"/>
      <c r="AK457771" s="251"/>
    </row>
    <row r="457886" spans="25:37" x14ac:dyDescent="0.2">
      <c r="Y457886" s="5"/>
      <c r="AB457886" s="5"/>
      <c r="AE457886" s="5"/>
      <c r="AH457886" s="5"/>
      <c r="AK457886" s="5"/>
    </row>
    <row r="457896" spans="25:37" x14ac:dyDescent="0.2">
      <c r="Y457896" s="251"/>
      <c r="AB457896" s="251"/>
      <c r="AE457896" s="251"/>
      <c r="AH457896" s="251"/>
      <c r="AK457896" s="251"/>
    </row>
    <row r="458011" spans="25:37" x14ac:dyDescent="0.2">
      <c r="Y458011" s="5"/>
      <c r="AB458011" s="5"/>
      <c r="AE458011" s="5"/>
      <c r="AH458011" s="5"/>
      <c r="AK458011" s="5"/>
    </row>
    <row r="458021" spans="25:37" x14ac:dyDescent="0.2">
      <c r="Y458021" s="251"/>
      <c r="AB458021" s="251"/>
      <c r="AE458021" s="251"/>
      <c r="AH458021" s="251"/>
      <c r="AK458021" s="251"/>
    </row>
    <row r="458136" spans="25:37" x14ac:dyDescent="0.2">
      <c r="Y458136" s="5"/>
      <c r="AB458136" s="5"/>
      <c r="AE458136" s="5"/>
      <c r="AH458136" s="5"/>
      <c r="AK458136" s="5"/>
    </row>
    <row r="458146" spans="25:37" x14ac:dyDescent="0.2">
      <c r="Y458146" s="251"/>
      <c r="AB458146" s="251"/>
      <c r="AE458146" s="251"/>
      <c r="AH458146" s="251"/>
      <c r="AK458146" s="251"/>
    </row>
    <row r="458261" spans="25:37" x14ac:dyDescent="0.2">
      <c r="Y458261" s="5"/>
      <c r="AB458261" s="5"/>
      <c r="AE458261" s="5"/>
      <c r="AH458261" s="5"/>
      <c r="AK458261" s="5"/>
    </row>
    <row r="458271" spans="25:37" x14ac:dyDescent="0.2">
      <c r="Y458271" s="251"/>
      <c r="AB458271" s="251"/>
      <c r="AE458271" s="251"/>
      <c r="AH458271" s="251"/>
      <c r="AK458271" s="251"/>
    </row>
    <row r="458386" spans="25:37" x14ac:dyDescent="0.2">
      <c r="Y458386" s="5"/>
      <c r="AB458386" s="5"/>
      <c r="AE458386" s="5"/>
      <c r="AH458386" s="5"/>
      <c r="AK458386" s="5"/>
    </row>
    <row r="458396" spans="25:37" x14ac:dyDescent="0.2">
      <c r="Y458396" s="251"/>
      <c r="AB458396" s="251"/>
      <c r="AE458396" s="251"/>
      <c r="AH458396" s="251"/>
      <c r="AK458396" s="251"/>
    </row>
    <row r="458511" spans="25:37" x14ac:dyDescent="0.2">
      <c r="Y458511" s="5"/>
      <c r="AB458511" s="5"/>
      <c r="AE458511" s="5"/>
      <c r="AH458511" s="5"/>
      <c r="AK458511" s="5"/>
    </row>
    <row r="458521" spans="25:37" x14ac:dyDescent="0.2">
      <c r="Y458521" s="251"/>
      <c r="AB458521" s="251"/>
      <c r="AE458521" s="251"/>
      <c r="AH458521" s="251"/>
      <c r="AK458521" s="251"/>
    </row>
    <row r="458636" spans="25:37" x14ac:dyDescent="0.2">
      <c r="Y458636" s="5"/>
      <c r="AB458636" s="5"/>
      <c r="AE458636" s="5"/>
      <c r="AH458636" s="5"/>
      <c r="AK458636" s="5"/>
    </row>
    <row r="458646" spans="25:37" x14ac:dyDescent="0.2">
      <c r="Y458646" s="251"/>
      <c r="AB458646" s="251"/>
      <c r="AE458646" s="251"/>
      <c r="AH458646" s="251"/>
      <c r="AK458646" s="251"/>
    </row>
    <row r="458761" spans="25:37" x14ac:dyDescent="0.2">
      <c r="Y458761" s="5"/>
      <c r="AB458761" s="5"/>
      <c r="AE458761" s="5"/>
      <c r="AH458761" s="5"/>
      <c r="AK458761" s="5"/>
    </row>
    <row r="458771" spans="25:37" x14ac:dyDescent="0.2">
      <c r="Y458771" s="251"/>
      <c r="AB458771" s="251"/>
      <c r="AE458771" s="251"/>
      <c r="AH458771" s="251"/>
      <c r="AK458771" s="251"/>
    </row>
    <row r="458886" spans="25:37" x14ac:dyDescent="0.2">
      <c r="Y458886" s="5"/>
      <c r="AB458886" s="5"/>
      <c r="AE458886" s="5"/>
      <c r="AH458886" s="5"/>
      <c r="AK458886" s="5"/>
    </row>
    <row r="458896" spans="25:37" x14ac:dyDescent="0.2">
      <c r="Y458896" s="251"/>
      <c r="AB458896" s="251"/>
      <c r="AE458896" s="251"/>
      <c r="AH458896" s="251"/>
      <c r="AK458896" s="251"/>
    </row>
    <row r="459011" spans="25:37" x14ac:dyDescent="0.2">
      <c r="Y459011" s="5"/>
      <c r="AB459011" s="5"/>
      <c r="AE459011" s="5"/>
      <c r="AH459011" s="5"/>
      <c r="AK459011" s="5"/>
    </row>
    <row r="459021" spans="25:37" x14ac:dyDescent="0.2">
      <c r="Y459021" s="251"/>
      <c r="AB459021" s="251"/>
      <c r="AE459021" s="251"/>
      <c r="AH459021" s="251"/>
      <c r="AK459021" s="251"/>
    </row>
    <row r="459136" spans="25:37" x14ac:dyDescent="0.2">
      <c r="Y459136" s="5"/>
      <c r="AB459136" s="5"/>
      <c r="AE459136" s="5"/>
      <c r="AH459136" s="5"/>
      <c r="AK459136" s="5"/>
    </row>
    <row r="459146" spans="25:37" x14ac:dyDescent="0.2">
      <c r="Y459146" s="251"/>
      <c r="AB459146" s="251"/>
      <c r="AE459146" s="251"/>
      <c r="AH459146" s="251"/>
      <c r="AK459146" s="251"/>
    </row>
    <row r="459261" spans="25:37" x14ac:dyDescent="0.2">
      <c r="Y459261" s="5"/>
      <c r="AB459261" s="5"/>
      <c r="AE459261" s="5"/>
      <c r="AH459261" s="5"/>
      <c r="AK459261" s="5"/>
    </row>
    <row r="459271" spans="25:37" x14ac:dyDescent="0.2">
      <c r="Y459271" s="251"/>
      <c r="AB459271" s="251"/>
      <c r="AE459271" s="251"/>
      <c r="AH459271" s="251"/>
      <c r="AK459271" s="251"/>
    </row>
    <row r="459386" spans="25:37" x14ac:dyDescent="0.2">
      <c r="Y459386" s="5"/>
      <c r="AB459386" s="5"/>
      <c r="AE459386" s="5"/>
      <c r="AH459386" s="5"/>
      <c r="AK459386" s="5"/>
    </row>
    <row r="459396" spans="25:37" x14ac:dyDescent="0.2">
      <c r="Y459396" s="251"/>
      <c r="AB459396" s="251"/>
      <c r="AE459396" s="251"/>
      <c r="AH459396" s="251"/>
      <c r="AK459396" s="251"/>
    </row>
    <row r="459511" spans="25:37" x14ac:dyDescent="0.2">
      <c r="Y459511" s="5"/>
      <c r="AB459511" s="5"/>
      <c r="AE459511" s="5"/>
      <c r="AH459511" s="5"/>
      <c r="AK459511" s="5"/>
    </row>
    <row r="459521" spans="25:37" x14ac:dyDescent="0.2">
      <c r="Y459521" s="251"/>
      <c r="AB459521" s="251"/>
      <c r="AE459521" s="251"/>
      <c r="AH459521" s="251"/>
      <c r="AK459521" s="251"/>
    </row>
    <row r="459636" spans="25:37" x14ac:dyDescent="0.2">
      <c r="Y459636" s="5"/>
      <c r="AB459636" s="5"/>
      <c r="AE459636" s="5"/>
      <c r="AH459636" s="5"/>
      <c r="AK459636" s="5"/>
    </row>
    <row r="459646" spans="25:37" x14ac:dyDescent="0.2">
      <c r="Y459646" s="251"/>
      <c r="AB459646" s="251"/>
      <c r="AE459646" s="251"/>
      <c r="AH459646" s="251"/>
      <c r="AK459646" s="251"/>
    </row>
    <row r="459761" spans="25:37" x14ac:dyDescent="0.2">
      <c r="Y459761" s="5"/>
      <c r="AB459761" s="5"/>
      <c r="AE459761" s="5"/>
      <c r="AH459761" s="5"/>
      <c r="AK459761" s="5"/>
    </row>
    <row r="459771" spans="25:37" x14ac:dyDescent="0.2">
      <c r="Y459771" s="251"/>
      <c r="AB459771" s="251"/>
      <c r="AE459771" s="251"/>
      <c r="AH459771" s="251"/>
      <c r="AK459771" s="251"/>
    </row>
    <row r="459886" spans="25:37" x14ac:dyDescent="0.2">
      <c r="Y459886" s="5"/>
      <c r="AB459886" s="5"/>
      <c r="AE459886" s="5"/>
      <c r="AH459886" s="5"/>
      <c r="AK459886" s="5"/>
    </row>
    <row r="459896" spans="25:37" x14ac:dyDescent="0.2">
      <c r="Y459896" s="251"/>
      <c r="AB459896" s="251"/>
      <c r="AE459896" s="251"/>
      <c r="AH459896" s="251"/>
      <c r="AK459896" s="251"/>
    </row>
    <row r="460011" spans="25:37" x14ac:dyDescent="0.2">
      <c r="Y460011" s="5"/>
      <c r="AB460011" s="5"/>
      <c r="AE460011" s="5"/>
      <c r="AH460011" s="5"/>
      <c r="AK460011" s="5"/>
    </row>
    <row r="460021" spans="25:37" x14ac:dyDescent="0.2">
      <c r="Y460021" s="251"/>
      <c r="AB460021" s="251"/>
      <c r="AE460021" s="251"/>
      <c r="AH460021" s="251"/>
      <c r="AK460021" s="251"/>
    </row>
    <row r="460136" spans="25:37" x14ac:dyDescent="0.2">
      <c r="Y460136" s="5"/>
      <c r="AB460136" s="5"/>
      <c r="AE460136" s="5"/>
      <c r="AH460136" s="5"/>
      <c r="AK460136" s="5"/>
    </row>
    <row r="460146" spans="25:37" x14ac:dyDescent="0.2">
      <c r="Y460146" s="251"/>
      <c r="AB460146" s="251"/>
      <c r="AE460146" s="251"/>
      <c r="AH460146" s="251"/>
      <c r="AK460146" s="251"/>
    </row>
    <row r="460261" spans="25:37" x14ac:dyDescent="0.2">
      <c r="Y460261" s="5"/>
      <c r="AB460261" s="5"/>
      <c r="AE460261" s="5"/>
      <c r="AH460261" s="5"/>
      <c r="AK460261" s="5"/>
    </row>
    <row r="460271" spans="25:37" x14ac:dyDescent="0.2">
      <c r="Y460271" s="251"/>
      <c r="AB460271" s="251"/>
      <c r="AE460271" s="251"/>
      <c r="AH460271" s="251"/>
      <c r="AK460271" s="251"/>
    </row>
    <row r="460386" spans="25:37" x14ac:dyDescent="0.2">
      <c r="Y460386" s="5"/>
      <c r="AB460386" s="5"/>
      <c r="AE460386" s="5"/>
      <c r="AH460386" s="5"/>
      <c r="AK460386" s="5"/>
    </row>
    <row r="460396" spans="25:37" x14ac:dyDescent="0.2">
      <c r="Y460396" s="251"/>
      <c r="AB460396" s="251"/>
      <c r="AE460396" s="251"/>
      <c r="AH460396" s="251"/>
      <c r="AK460396" s="251"/>
    </row>
    <row r="460511" spans="25:37" x14ac:dyDescent="0.2">
      <c r="Y460511" s="5"/>
      <c r="AB460511" s="5"/>
      <c r="AE460511" s="5"/>
      <c r="AH460511" s="5"/>
      <c r="AK460511" s="5"/>
    </row>
    <row r="460521" spans="25:37" x14ac:dyDescent="0.2">
      <c r="Y460521" s="251"/>
      <c r="AB460521" s="251"/>
      <c r="AE460521" s="251"/>
      <c r="AH460521" s="251"/>
      <c r="AK460521" s="251"/>
    </row>
    <row r="460636" spans="25:37" x14ac:dyDescent="0.2">
      <c r="Y460636" s="5"/>
      <c r="AB460636" s="5"/>
      <c r="AE460636" s="5"/>
      <c r="AH460636" s="5"/>
      <c r="AK460636" s="5"/>
    </row>
    <row r="460646" spans="25:37" x14ac:dyDescent="0.2">
      <c r="Y460646" s="251"/>
      <c r="AB460646" s="251"/>
      <c r="AE460646" s="251"/>
      <c r="AH460646" s="251"/>
      <c r="AK460646" s="251"/>
    </row>
    <row r="460761" spans="25:37" x14ac:dyDescent="0.2">
      <c r="Y460761" s="5"/>
      <c r="AB460761" s="5"/>
      <c r="AE460761" s="5"/>
      <c r="AH460761" s="5"/>
      <c r="AK460761" s="5"/>
    </row>
    <row r="460771" spans="25:37" x14ac:dyDescent="0.2">
      <c r="Y460771" s="251"/>
      <c r="AB460771" s="251"/>
      <c r="AE460771" s="251"/>
      <c r="AH460771" s="251"/>
      <c r="AK460771" s="251"/>
    </row>
    <row r="460886" spans="25:37" x14ac:dyDescent="0.2">
      <c r="Y460886" s="5"/>
      <c r="AB460886" s="5"/>
      <c r="AE460886" s="5"/>
      <c r="AH460886" s="5"/>
      <c r="AK460886" s="5"/>
    </row>
    <row r="460896" spans="25:37" x14ac:dyDescent="0.2">
      <c r="Y460896" s="251"/>
      <c r="AB460896" s="251"/>
      <c r="AE460896" s="251"/>
      <c r="AH460896" s="251"/>
      <c r="AK460896" s="251"/>
    </row>
    <row r="461011" spans="25:37" x14ac:dyDescent="0.2">
      <c r="Y461011" s="5"/>
      <c r="AB461011" s="5"/>
      <c r="AE461011" s="5"/>
      <c r="AH461011" s="5"/>
      <c r="AK461011" s="5"/>
    </row>
    <row r="461021" spans="25:37" x14ac:dyDescent="0.2">
      <c r="Y461021" s="251"/>
      <c r="AB461021" s="251"/>
      <c r="AE461021" s="251"/>
      <c r="AH461021" s="251"/>
      <c r="AK461021" s="251"/>
    </row>
    <row r="461136" spans="25:37" x14ac:dyDescent="0.2">
      <c r="Y461136" s="5"/>
      <c r="AB461136" s="5"/>
      <c r="AE461136" s="5"/>
      <c r="AH461136" s="5"/>
      <c r="AK461136" s="5"/>
    </row>
    <row r="461146" spans="25:37" x14ac:dyDescent="0.2">
      <c r="Y461146" s="251"/>
      <c r="AB461146" s="251"/>
      <c r="AE461146" s="251"/>
      <c r="AH461146" s="251"/>
      <c r="AK461146" s="251"/>
    </row>
    <row r="461261" spans="25:37" x14ac:dyDescent="0.2">
      <c r="Y461261" s="5"/>
      <c r="AB461261" s="5"/>
      <c r="AE461261" s="5"/>
      <c r="AH461261" s="5"/>
      <c r="AK461261" s="5"/>
    </row>
    <row r="461271" spans="25:37" x14ac:dyDescent="0.2">
      <c r="Y461271" s="251"/>
      <c r="AB461271" s="251"/>
      <c r="AE461271" s="251"/>
      <c r="AH461271" s="251"/>
      <c r="AK461271" s="251"/>
    </row>
    <row r="461386" spans="25:37" x14ac:dyDescent="0.2">
      <c r="Y461386" s="5"/>
      <c r="AB461386" s="5"/>
      <c r="AE461386" s="5"/>
      <c r="AH461386" s="5"/>
      <c r="AK461386" s="5"/>
    </row>
    <row r="461396" spans="25:37" x14ac:dyDescent="0.2">
      <c r="Y461396" s="251"/>
      <c r="AB461396" s="251"/>
      <c r="AE461396" s="251"/>
      <c r="AH461396" s="251"/>
      <c r="AK461396" s="251"/>
    </row>
    <row r="461511" spans="25:37" x14ac:dyDescent="0.2">
      <c r="Y461511" s="5"/>
      <c r="AB461511" s="5"/>
      <c r="AE461511" s="5"/>
      <c r="AH461511" s="5"/>
      <c r="AK461511" s="5"/>
    </row>
    <row r="461521" spans="25:37" x14ac:dyDescent="0.2">
      <c r="Y461521" s="251"/>
      <c r="AB461521" s="251"/>
      <c r="AE461521" s="251"/>
      <c r="AH461521" s="251"/>
      <c r="AK461521" s="251"/>
    </row>
    <row r="461636" spans="25:37" x14ac:dyDescent="0.2">
      <c r="Y461636" s="5"/>
      <c r="AB461636" s="5"/>
      <c r="AE461636" s="5"/>
      <c r="AH461636" s="5"/>
      <c r="AK461636" s="5"/>
    </row>
    <row r="461646" spans="25:37" x14ac:dyDescent="0.2">
      <c r="Y461646" s="251"/>
      <c r="AB461646" s="251"/>
      <c r="AE461646" s="251"/>
      <c r="AH461646" s="251"/>
      <c r="AK461646" s="251"/>
    </row>
    <row r="461761" spans="25:37" x14ac:dyDescent="0.2">
      <c r="Y461761" s="5"/>
      <c r="AB461761" s="5"/>
      <c r="AE461761" s="5"/>
      <c r="AH461761" s="5"/>
      <c r="AK461761" s="5"/>
    </row>
    <row r="461771" spans="25:37" x14ac:dyDescent="0.2">
      <c r="Y461771" s="251"/>
      <c r="AB461771" s="251"/>
      <c r="AE461771" s="251"/>
      <c r="AH461771" s="251"/>
      <c r="AK461771" s="251"/>
    </row>
    <row r="461886" spans="25:37" x14ac:dyDescent="0.2">
      <c r="Y461886" s="5"/>
      <c r="AB461886" s="5"/>
      <c r="AE461886" s="5"/>
      <c r="AH461886" s="5"/>
      <c r="AK461886" s="5"/>
    </row>
    <row r="461896" spans="25:37" x14ac:dyDescent="0.2">
      <c r="Y461896" s="251"/>
      <c r="AB461896" s="251"/>
      <c r="AE461896" s="251"/>
      <c r="AH461896" s="251"/>
      <c r="AK461896" s="251"/>
    </row>
    <row r="462011" spans="25:37" x14ac:dyDescent="0.2">
      <c r="Y462011" s="5"/>
      <c r="AB462011" s="5"/>
      <c r="AE462011" s="5"/>
      <c r="AH462011" s="5"/>
      <c r="AK462011" s="5"/>
    </row>
    <row r="462021" spans="25:37" x14ac:dyDescent="0.2">
      <c r="Y462021" s="251"/>
      <c r="AB462021" s="251"/>
      <c r="AE462021" s="251"/>
      <c r="AH462021" s="251"/>
      <c r="AK462021" s="251"/>
    </row>
    <row r="462136" spans="25:37" x14ac:dyDescent="0.2">
      <c r="Y462136" s="5"/>
      <c r="AB462136" s="5"/>
      <c r="AE462136" s="5"/>
      <c r="AH462136" s="5"/>
      <c r="AK462136" s="5"/>
    </row>
    <row r="462146" spans="25:37" x14ac:dyDescent="0.2">
      <c r="Y462146" s="251"/>
      <c r="AB462146" s="251"/>
      <c r="AE462146" s="251"/>
      <c r="AH462146" s="251"/>
      <c r="AK462146" s="251"/>
    </row>
    <row r="462261" spans="25:37" x14ac:dyDescent="0.2">
      <c r="Y462261" s="5"/>
      <c r="AB462261" s="5"/>
      <c r="AE462261" s="5"/>
      <c r="AH462261" s="5"/>
      <c r="AK462261" s="5"/>
    </row>
    <row r="462271" spans="25:37" x14ac:dyDescent="0.2">
      <c r="Y462271" s="251"/>
      <c r="AB462271" s="251"/>
      <c r="AE462271" s="251"/>
      <c r="AH462271" s="251"/>
      <c r="AK462271" s="251"/>
    </row>
    <row r="462386" spans="25:37" x14ac:dyDescent="0.2">
      <c r="Y462386" s="5"/>
      <c r="AB462386" s="5"/>
      <c r="AE462386" s="5"/>
      <c r="AH462386" s="5"/>
      <c r="AK462386" s="5"/>
    </row>
    <row r="462396" spans="25:37" x14ac:dyDescent="0.2">
      <c r="Y462396" s="251"/>
      <c r="AB462396" s="251"/>
      <c r="AE462396" s="251"/>
      <c r="AH462396" s="251"/>
      <c r="AK462396" s="251"/>
    </row>
    <row r="462511" spans="25:37" x14ac:dyDescent="0.2">
      <c r="Y462511" s="5"/>
      <c r="AB462511" s="5"/>
      <c r="AE462511" s="5"/>
      <c r="AH462511" s="5"/>
      <c r="AK462511" s="5"/>
    </row>
    <row r="462521" spans="25:37" x14ac:dyDescent="0.2">
      <c r="Y462521" s="251"/>
      <c r="AB462521" s="251"/>
      <c r="AE462521" s="251"/>
      <c r="AH462521" s="251"/>
      <c r="AK462521" s="251"/>
    </row>
    <row r="462636" spans="25:37" x14ac:dyDescent="0.2">
      <c r="Y462636" s="5"/>
      <c r="AB462636" s="5"/>
      <c r="AE462636" s="5"/>
      <c r="AH462636" s="5"/>
      <c r="AK462636" s="5"/>
    </row>
    <row r="462646" spans="25:37" x14ac:dyDescent="0.2">
      <c r="Y462646" s="251"/>
      <c r="AB462646" s="251"/>
      <c r="AE462646" s="251"/>
      <c r="AH462646" s="251"/>
      <c r="AK462646" s="251"/>
    </row>
    <row r="462761" spans="25:37" x14ac:dyDescent="0.2">
      <c r="Y462761" s="5"/>
      <c r="AB462761" s="5"/>
      <c r="AE462761" s="5"/>
      <c r="AH462761" s="5"/>
      <c r="AK462761" s="5"/>
    </row>
    <row r="462771" spans="25:37" x14ac:dyDescent="0.2">
      <c r="Y462771" s="251"/>
      <c r="AB462771" s="251"/>
      <c r="AE462771" s="251"/>
      <c r="AH462771" s="251"/>
      <c r="AK462771" s="251"/>
    </row>
    <row r="462886" spans="25:37" x14ac:dyDescent="0.2">
      <c r="Y462886" s="5"/>
      <c r="AB462886" s="5"/>
      <c r="AE462886" s="5"/>
      <c r="AH462886" s="5"/>
      <c r="AK462886" s="5"/>
    </row>
    <row r="462896" spans="25:37" x14ac:dyDescent="0.2">
      <c r="Y462896" s="251"/>
      <c r="AB462896" s="251"/>
      <c r="AE462896" s="251"/>
      <c r="AH462896" s="251"/>
      <c r="AK462896" s="251"/>
    </row>
    <row r="463011" spans="25:37" x14ac:dyDescent="0.2">
      <c r="Y463011" s="5"/>
      <c r="AB463011" s="5"/>
      <c r="AE463011" s="5"/>
      <c r="AH463011" s="5"/>
      <c r="AK463011" s="5"/>
    </row>
    <row r="463021" spans="25:37" x14ac:dyDescent="0.2">
      <c r="Y463021" s="251"/>
      <c r="AB463021" s="251"/>
      <c r="AE463021" s="251"/>
      <c r="AH463021" s="251"/>
      <c r="AK463021" s="251"/>
    </row>
    <row r="463136" spans="25:37" x14ac:dyDescent="0.2">
      <c r="Y463136" s="5"/>
      <c r="AB463136" s="5"/>
      <c r="AE463136" s="5"/>
      <c r="AH463136" s="5"/>
      <c r="AK463136" s="5"/>
    </row>
    <row r="463146" spans="25:37" x14ac:dyDescent="0.2">
      <c r="Y463146" s="251"/>
      <c r="AB463146" s="251"/>
      <c r="AE463146" s="251"/>
      <c r="AH463146" s="251"/>
      <c r="AK463146" s="251"/>
    </row>
    <row r="463261" spans="25:37" x14ac:dyDescent="0.2">
      <c r="Y463261" s="5"/>
      <c r="AB463261" s="5"/>
      <c r="AE463261" s="5"/>
      <c r="AH463261" s="5"/>
      <c r="AK463261" s="5"/>
    </row>
    <row r="463271" spans="25:37" x14ac:dyDescent="0.2">
      <c r="Y463271" s="251"/>
      <c r="AB463271" s="251"/>
      <c r="AE463271" s="251"/>
      <c r="AH463271" s="251"/>
      <c r="AK463271" s="251"/>
    </row>
    <row r="463386" spans="25:37" x14ac:dyDescent="0.2">
      <c r="Y463386" s="5"/>
      <c r="AB463386" s="5"/>
      <c r="AE463386" s="5"/>
      <c r="AH463386" s="5"/>
      <c r="AK463386" s="5"/>
    </row>
    <row r="463396" spans="25:37" x14ac:dyDescent="0.2">
      <c r="Y463396" s="251"/>
      <c r="AB463396" s="251"/>
      <c r="AE463396" s="251"/>
      <c r="AH463396" s="251"/>
      <c r="AK463396" s="251"/>
    </row>
    <row r="463511" spans="25:37" x14ac:dyDescent="0.2">
      <c r="Y463511" s="5"/>
      <c r="AB463511" s="5"/>
      <c r="AE463511" s="5"/>
      <c r="AH463511" s="5"/>
      <c r="AK463511" s="5"/>
    </row>
    <row r="463521" spans="25:37" x14ac:dyDescent="0.2">
      <c r="Y463521" s="251"/>
      <c r="AB463521" s="251"/>
      <c r="AE463521" s="251"/>
      <c r="AH463521" s="251"/>
      <c r="AK463521" s="251"/>
    </row>
    <row r="463636" spans="25:37" x14ac:dyDescent="0.2">
      <c r="Y463636" s="5"/>
      <c r="AB463636" s="5"/>
      <c r="AE463636" s="5"/>
      <c r="AH463636" s="5"/>
      <c r="AK463636" s="5"/>
    </row>
    <row r="463646" spans="25:37" x14ac:dyDescent="0.2">
      <c r="Y463646" s="251"/>
      <c r="AB463646" s="251"/>
      <c r="AE463646" s="251"/>
      <c r="AH463646" s="251"/>
      <c r="AK463646" s="251"/>
    </row>
    <row r="463761" spans="25:37" x14ac:dyDescent="0.2">
      <c r="Y463761" s="5"/>
      <c r="AB463761" s="5"/>
      <c r="AE463761" s="5"/>
      <c r="AH463761" s="5"/>
      <c r="AK463761" s="5"/>
    </row>
    <row r="463771" spans="25:37" x14ac:dyDescent="0.2">
      <c r="Y463771" s="251"/>
      <c r="AB463771" s="251"/>
      <c r="AE463771" s="251"/>
      <c r="AH463771" s="251"/>
      <c r="AK463771" s="251"/>
    </row>
    <row r="463886" spans="25:37" x14ac:dyDescent="0.2">
      <c r="Y463886" s="5"/>
      <c r="AB463886" s="5"/>
      <c r="AE463886" s="5"/>
      <c r="AH463886" s="5"/>
      <c r="AK463886" s="5"/>
    </row>
    <row r="463896" spans="25:37" x14ac:dyDescent="0.2">
      <c r="Y463896" s="251"/>
      <c r="AB463896" s="251"/>
      <c r="AE463896" s="251"/>
      <c r="AH463896" s="251"/>
      <c r="AK463896" s="251"/>
    </row>
    <row r="464011" spans="25:37" x14ac:dyDescent="0.2">
      <c r="Y464011" s="5"/>
      <c r="AB464011" s="5"/>
      <c r="AE464011" s="5"/>
      <c r="AH464011" s="5"/>
      <c r="AK464011" s="5"/>
    </row>
    <row r="464021" spans="25:37" x14ac:dyDescent="0.2">
      <c r="Y464021" s="251"/>
      <c r="AB464021" s="251"/>
      <c r="AE464021" s="251"/>
      <c r="AH464021" s="251"/>
      <c r="AK464021" s="251"/>
    </row>
    <row r="464136" spans="25:37" x14ac:dyDescent="0.2">
      <c r="Y464136" s="5"/>
      <c r="AB464136" s="5"/>
      <c r="AE464136" s="5"/>
      <c r="AH464136" s="5"/>
      <c r="AK464136" s="5"/>
    </row>
    <row r="464146" spans="25:37" x14ac:dyDescent="0.2">
      <c r="Y464146" s="251"/>
      <c r="AB464146" s="251"/>
      <c r="AE464146" s="251"/>
      <c r="AH464146" s="251"/>
      <c r="AK464146" s="251"/>
    </row>
    <row r="464261" spans="25:37" x14ac:dyDescent="0.2">
      <c r="Y464261" s="5"/>
      <c r="AB464261" s="5"/>
      <c r="AE464261" s="5"/>
      <c r="AH464261" s="5"/>
      <c r="AK464261" s="5"/>
    </row>
    <row r="464271" spans="25:37" x14ac:dyDescent="0.2">
      <c r="Y464271" s="251"/>
      <c r="AB464271" s="251"/>
      <c r="AE464271" s="251"/>
      <c r="AH464271" s="251"/>
      <c r="AK464271" s="251"/>
    </row>
    <row r="464386" spans="25:37" x14ac:dyDescent="0.2">
      <c r="Y464386" s="5"/>
      <c r="AB464386" s="5"/>
      <c r="AE464386" s="5"/>
      <c r="AH464386" s="5"/>
      <c r="AK464386" s="5"/>
    </row>
    <row r="464396" spans="25:37" x14ac:dyDescent="0.2">
      <c r="Y464396" s="251"/>
      <c r="AB464396" s="251"/>
      <c r="AE464396" s="251"/>
      <c r="AH464396" s="251"/>
      <c r="AK464396" s="251"/>
    </row>
    <row r="464511" spans="25:37" x14ac:dyDescent="0.2">
      <c r="Y464511" s="5"/>
      <c r="AB464511" s="5"/>
      <c r="AE464511" s="5"/>
      <c r="AH464511" s="5"/>
      <c r="AK464511" s="5"/>
    </row>
    <row r="464521" spans="25:37" x14ac:dyDescent="0.2">
      <c r="Y464521" s="251"/>
      <c r="AB464521" s="251"/>
      <c r="AE464521" s="251"/>
      <c r="AH464521" s="251"/>
      <c r="AK464521" s="251"/>
    </row>
    <row r="464636" spans="25:37" x14ac:dyDescent="0.2">
      <c r="Y464636" s="5"/>
      <c r="AB464636" s="5"/>
      <c r="AE464636" s="5"/>
      <c r="AH464636" s="5"/>
      <c r="AK464636" s="5"/>
    </row>
    <row r="464646" spans="25:37" x14ac:dyDescent="0.2">
      <c r="Y464646" s="251"/>
      <c r="AB464646" s="251"/>
      <c r="AE464646" s="251"/>
      <c r="AH464646" s="251"/>
      <c r="AK464646" s="251"/>
    </row>
    <row r="464761" spans="25:37" x14ac:dyDescent="0.2">
      <c r="Y464761" s="5"/>
      <c r="AB464761" s="5"/>
      <c r="AE464761" s="5"/>
      <c r="AH464761" s="5"/>
      <c r="AK464761" s="5"/>
    </row>
    <row r="464771" spans="25:37" x14ac:dyDescent="0.2">
      <c r="Y464771" s="251"/>
      <c r="AB464771" s="251"/>
      <c r="AE464771" s="251"/>
      <c r="AH464771" s="251"/>
      <c r="AK464771" s="251"/>
    </row>
    <row r="464886" spans="25:37" x14ac:dyDescent="0.2">
      <c r="Y464886" s="5"/>
      <c r="AB464886" s="5"/>
      <c r="AE464886" s="5"/>
      <c r="AH464886" s="5"/>
      <c r="AK464886" s="5"/>
    </row>
    <row r="464896" spans="25:37" x14ac:dyDescent="0.2">
      <c r="Y464896" s="251"/>
      <c r="AB464896" s="251"/>
      <c r="AE464896" s="251"/>
      <c r="AH464896" s="251"/>
      <c r="AK464896" s="251"/>
    </row>
    <row r="465011" spans="25:37" x14ac:dyDescent="0.2">
      <c r="Y465011" s="5"/>
      <c r="AB465011" s="5"/>
      <c r="AE465011" s="5"/>
      <c r="AH465011" s="5"/>
      <c r="AK465011" s="5"/>
    </row>
    <row r="465021" spans="25:37" x14ac:dyDescent="0.2">
      <c r="Y465021" s="251"/>
      <c r="AB465021" s="251"/>
      <c r="AE465021" s="251"/>
      <c r="AH465021" s="251"/>
      <c r="AK465021" s="251"/>
    </row>
    <row r="465136" spans="25:37" x14ac:dyDescent="0.2">
      <c r="Y465136" s="5"/>
      <c r="AB465136" s="5"/>
      <c r="AE465136" s="5"/>
      <c r="AH465136" s="5"/>
      <c r="AK465136" s="5"/>
    </row>
    <row r="465146" spans="25:37" x14ac:dyDescent="0.2">
      <c r="Y465146" s="251"/>
      <c r="AB465146" s="251"/>
      <c r="AE465146" s="251"/>
      <c r="AH465146" s="251"/>
      <c r="AK465146" s="251"/>
    </row>
    <row r="465261" spans="25:37" x14ac:dyDescent="0.2">
      <c r="Y465261" s="5"/>
      <c r="AB465261" s="5"/>
      <c r="AE465261" s="5"/>
      <c r="AH465261" s="5"/>
      <c r="AK465261" s="5"/>
    </row>
    <row r="465271" spans="25:37" x14ac:dyDescent="0.2">
      <c r="Y465271" s="251"/>
      <c r="AB465271" s="251"/>
      <c r="AE465271" s="251"/>
      <c r="AH465271" s="251"/>
      <c r="AK465271" s="251"/>
    </row>
    <row r="465386" spans="25:37" x14ac:dyDescent="0.2">
      <c r="Y465386" s="5"/>
      <c r="AB465386" s="5"/>
      <c r="AE465386" s="5"/>
      <c r="AH465386" s="5"/>
      <c r="AK465386" s="5"/>
    </row>
    <row r="465396" spans="25:37" x14ac:dyDescent="0.2">
      <c r="Y465396" s="251"/>
      <c r="AB465396" s="251"/>
      <c r="AE465396" s="251"/>
      <c r="AH465396" s="251"/>
      <c r="AK465396" s="251"/>
    </row>
    <row r="465511" spans="25:37" x14ac:dyDescent="0.2">
      <c r="Y465511" s="5"/>
      <c r="AB465511" s="5"/>
      <c r="AE465511" s="5"/>
      <c r="AH465511" s="5"/>
      <c r="AK465511" s="5"/>
    </row>
    <row r="465521" spans="25:37" x14ac:dyDescent="0.2">
      <c r="Y465521" s="251"/>
      <c r="AB465521" s="251"/>
      <c r="AE465521" s="251"/>
      <c r="AH465521" s="251"/>
      <c r="AK465521" s="251"/>
    </row>
    <row r="465636" spans="25:37" x14ac:dyDescent="0.2">
      <c r="Y465636" s="5"/>
      <c r="AB465636" s="5"/>
      <c r="AE465636" s="5"/>
      <c r="AH465636" s="5"/>
      <c r="AK465636" s="5"/>
    </row>
    <row r="465646" spans="25:37" x14ac:dyDescent="0.2">
      <c r="Y465646" s="251"/>
      <c r="AB465646" s="251"/>
      <c r="AE465646" s="251"/>
      <c r="AH465646" s="251"/>
      <c r="AK465646" s="251"/>
    </row>
    <row r="465761" spans="25:37" x14ac:dyDescent="0.2">
      <c r="Y465761" s="5"/>
      <c r="AB465761" s="5"/>
      <c r="AE465761" s="5"/>
      <c r="AH465761" s="5"/>
      <c r="AK465761" s="5"/>
    </row>
    <row r="465771" spans="25:37" x14ac:dyDescent="0.2">
      <c r="Y465771" s="251"/>
      <c r="AB465771" s="251"/>
      <c r="AE465771" s="251"/>
      <c r="AH465771" s="251"/>
      <c r="AK465771" s="251"/>
    </row>
    <row r="465886" spans="25:37" x14ac:dyDescent="0.2">
      <c r="Y465886" s="5"/>
      <c r="AB465886" s="5"/>
      <c r="AE465886" s="5"/>
      <c r="AH465886" s="5"/>
      <c r="AK465886" s="5"/>
    </row>
    <row r="465896" spans="25:37" x14ac:dyDescent="0.2">
      <c r="Y465896" s="251"/>
      <c r="AB465896" s="251"/>
      <c r="AE465896" s="251"/>
      <c r="AH465896" s="251"/>
      <c r="AK465896" s="251"/>
    </row>
    <row r="466011" spans="25:37" x14ac:dyDescent="0.2">
      <c r="Y466011" s="5"/>
      <c r="AB466011" s="5"/>
      <c r="AE466011" s="5"/>
      <c r="AH466011" s="5"/>
      <c r="AK466011" s="5"/>
    </row>
    <row r="466021" spans="25:37" x14ac:dyDescent="0.2">
      <c r="Y466021" s="251"/>
      <c r="AB466021" s="251"/>
      <c r="AE466021" s="251"/>
      <c r="AH466021" s="251"/>
      <c r="AK466021" s="251"/>
    </row>
    <row r="466136" spans="25:37" x14ac:dyDescent="0.2">
      <c r="Y466136" s="5"/>
      <c r="AB466136" s="5"/>
      <c r="AE466136" s="5"/>
      <c r="AH466136" s="5"/>
      <c r="AK466136" s="5"/>
    </row>
    <row r="466146" spans="25:37" x14ac:dyDescent="0.2">
      <c r="Y466146" s="251"/>
      <c r="AB466146" s="251"/>
      <c r="AE466146" s="251"/>
      <c r="AH466146" s="251"/>
      <c r="AK466146" s="251"/>
    </row>
    <row r="466261" spans="25:37" x14ac:dyDescent="0.2">
      <c r="Y466261" s="5"/>
      <c r="AB466261" s="5"/>
      <c r="AE466261" s="5"/>
      <c r="AH466261" s="5"/>
      <c r="AK466261" s="5"/>
    </row>
    <row r="466271" spans="25:37" x14ac:dyDescent="0.2">
      <c r="Y466271" s="251"/>
      <c r="AB466271" s="251"/>
      <c r="AE466271" s="251"/>
      <c r="AH466271" s="251"/>
      <c r="AK466271" s="251"/>
    </row>
    <row r="466386" spans="25:37" x14ac:dyDescent="0.2">
      <c r="Y466386" s="5"/>
      <c r="AB466386" s="5"/>
      <c r="AE466386" s="5"/>
      <c r="AH466386" s="5"/>
      <c r="AK466386" s="5"/>
    </row>
    <row r="466396" spans="25:37" x14ac:dyDescent="0.2">
      <c r="Y466396" s="251"/>
      <c r="AB466396" s="251"/>
      <c r="AE466396" s="251"/>
      <c r="AH466396" s="251"/>
      <c r="AK466396" s="251"/>
    </row>
    <row r="466511" spans="25:37" x14ac:dyDescent="0.2">
      <c r="Y466511" s="5"/>
      <c r="AB466511" s="5"/>
      <c r="AE466511" s="5"/>
      <c r="AH466511" s="5"/>
      <c r="AK466511" s="5"/>
    </row>
    <row r="466521" spans="25:37" x14ac:dyDescent="0.2">
      <c r="Y466521" s="251"/>
      <c r="AB466521" s="251"/>
      <c r="AE466521" s="251"/>
      <c r="AH466521" s="251"/>
      <c r="AK466521" s="251"/>
    </row>
    <row r="466636" spans="25:37" x14ac:dyDescent="0.2">
      <c r="Y466636" s="5"/>
      <c r="AB466636" s="5"/>
      <c r="AE466636" s="5"/>
      <c r="AH466636" s="5"/>
      <c r="AK466636" s="5"/>
    </row>
    <row r="466646" spans="25:37" x14ac:dyDescent="0.2">
      <c r="Y466646" s="251"/>
      <c r="AB466646" s="251"/>
      <c r="AE466646" s="251"/>
      <c r="AH466646" s="251"/>
      <c r="AK466646" s="251"/>
    </row>
    <row r="466761" spans="25:37" x14ac:dyDescent="0.2">
      <c r="Y466761" s="5"/>
      <c r="AB466761" s="5"/>
      <c r="AE466761" s="5"/>
      <c r="AH466761" s="5"/>
      <c r="AK466761" s="5"/>
    </row>
    <row r="466771" spans="25:37" x14ac:dyDescent="0.2">
      <c r="Y466771" s="251"/>
      <c r="AB466771" s="251"/>
      <c r="AE466771" s="251"/>
      <c r="AH466771" s="251"/>
      <c r="AK466771" s="251"/>
    </row>
    <row r="466886" spans="25:37" x14ac:dyDescent="0.2">
      <c r="Y466886" s="5"/>
      <c r="AB466886" s="5"/>
      <c r="AE466886" s="5"/>
      <c r="AH466886" s="5"/>
      <c r="AK466886" s="5"/>
    </row>
    <row r="466896" spans="25:37" x14ac:dyDescent="0.2">
      <c r="Y466896" s="251"/>
      <c r="AB466896" s="251"/>
      <c r="AE466896" s="251"/>
      <c r="AH466896" s="251"/>
      <c r="AK466896" s="251"/>
    </row>
    <row r="467011" spans="25:37" x14ac:dyDescent="0.2">
      <c r="Y467011" s="5"/>
      <c r="AB467011" s="5"/>
      <c r="AE467011" s="5"/>
      <c r="AH467011" s="5"/>
      <c r="AK467011" s="5"/>
    </row>
    <row r="467021" spans="25:37" x14ac:dyDescent="0.2">
      <c r="Y467021" s="251"/>
      <c r="AB467021" s="251"/>
      <c r="AE467021" s="251"/>
      <c r="AH467021" s="251"/>
      <c r="AK467021" s="251"/>
    </row>
    <row r="467136" spans="25:37" x14ac:dyDescent="0.2">
      <c r="Y467136" s="5"/>
      <c r="AB467136" s="5"/>
      <c r="AE467136" s="5"/>
      <c r="AH467136" s="5"/>
      <c r="AK467136" s="5"/>
    </row>
    <row r="467146" spans="25:37" x14ac:dyDescent="0.2">
      <c r="Y467146" s="251"/>
      <c r="AB467146" s="251"/>
      <c r="AE467146" s="251"/>
      <c r="AH467146" s="251"/>
      <c r="AK467146" s="251"/>
    </row>
    <row r="467261" spans="25:37" x14ac:dyDescent="0.2">
      <c r="Y467261" s="5"/>
      <c r="AB467261" s="5"/>
      <c r="AE467261" s="5"/>
      <c r="AH467261" s="5"/>
      <c r="AK467261" s="5"/>
    </row>
    <row r="467271" spans="25:37" x14ac:dyDescent="0.2">
      <c r="Y467271" s="251"/>
      <c r="AB467271" s="251"/>
      <c r="AE467271" s="251"/>
      <c r="AH467271" s="251"/>
      <c r="AK467271" s="251"/>
    </row>
    <row r="467386" spans="25:37" x14ac:dyDescent="0.2">
      <c r="Y467386" s="5"/>
      <c r="AB467386" s="5"/>
      <c r="AE467386" s="5"/>
      <c r="AH467386" s="5"/>
      <c r="AK467386" s="5"/>
    </row>
    <row r="467396" spans="25:37" x14ac:dyDescent="0.2">
      <c r="Y467396" s="251"/>
      <c r="AB467396" s="251"/>
      <c r="AE467396" s="251"/>
      <c r="AH467396" s="251"/>
      <c r="AK467396" s="251"/>
    </row>
    <row r="467511" spans="25:37" x14ac:dyDescent="0.2">
      <c r="Y467511" s="5"/>
      <c r="AB467511" s="5"/>
      <c r="AE467511" s="5"/>
      <c r="AH467511" s="5"/>
      <c r="AK467511" s="5"/>
    </row>
    <row r="467521" spans="25:37" x14ac:dyDescent="0.2">
      <c r="Y467521" s="251"/>
      <c r="AB467521" s="251"/>
      <c r="AE467521" s="251"/>
      <c r="AH467521" s="251"/>
      <c r="AK467521" s="251"/>
    </row>
    <row r="467636" spans="25:37" x14ac:dyDescent="0.2">
      <c r="Y467636" s="5"/>
      <c r="AB467636" s="5"/>
      <c r="AE467636" s="5"/>
      <c r="AH467636" s="5"/>
      <c r="AK467636" s="5"/>
    </row>
    <row r="467646" spans="25:37" x14ac:dyDescent="0.2">
      <c r="Y467646" s="251"/>
      <c r="AB467646" s="251"/>
      <c r="AE467646" s="251"/>
      <c r="AH467646" s="251"/>
      <c r="AK467646" s="251"/>
    </row>
    <row r="467761" spans="25:37" x14ac:dyDescent="0.2">
      <c r="Y467761" s="5"/>
      <c r="AB467761" s="5"/>
      <c r="AE467761" s="5"/>
      <c r="AH467761" s="5"/>
      <c r="AK467761" s="5"/>
    </row>
    <row r="467771" spans="25:37" x14ac:dyDescent="0.2">
      <c r="Y467771" s="251"/>
      <c r="AB467771" s="251"/>
      <c r="AE467771" s="251"/>
      <c r="AH467771" s="251"/>
      <c r="AK467771" s="251"/>
    </row>
    <row r="467886" spans="25:37" x14ac:dyDescent="0.2">
      <c r="Y467886" s="5"/>
      <c r="AB467886" s="5"/>
      <c r="AE467886" s="5"/>
      <c r="AH467886" s="5"/>
      <c r="AK467886" s="5"/>
    </row>
    <row r="467896" spans="25:37" x14ac:dyDescent="0.2">
      <c r="Y467896" s="251"/>
      <c r="AB467896" s="251"/>
      <c r="AE467896" s="251"/>
      <c r="AH467896" s="251"/>
      <c r="AK467896" s="251"/>
    </row>
    <row r="468011" spans="25:37" x14ac:dyDescent="0.2">
      <c r="Y468011" s="5"/>
      <c r="AB468011" s="5"/>
      <c r="AE468011" s="5"/>
      <c r="AH468011" s="5"/>
      <c r="AK468011" s="5"/>
    </row>
    <row r="468021" spans="25:37" x14ac:dyDescent="0.2">
      <c r="Y468021" s="251"/>
      <c r="AB468021" s="251"/>
      <c r="AE468021" s="251"/>
      <c r="AH468021" s="251"/>
      <c r="AK468021" s="251"/>
    </row>
    <row r="468136" spans="25:37" x14ac:dyDescent="0.2">
      <c r="Y468136" s="5"/>
      <c r="AB468136" s="5"/>
      <c r="AE468136" s="5"/>
      <c r="AH468136" s="5"/>
      <c r="AK468136" s="5"/>
    </row>
    <row r="468146" spans="25:37" x14ac:dyDescent="0.2">
      <c r="Y468146" s="251"/>
      <c r="AB468146" s="251"/>
      <c r="AE468146" s="251"/>
      <c r="AH468146" s="251"/>
      <c r="AK468146" s="251"/>
    </row>
    <row r="468261" spans="25:37" x14ac:dyDescent="0.2">
      <c r="Y468261" s="5"/>
      <c r="AB468261" s="5"/>
      <c r="AE468261" s="5"/>
      <c r="AH468261" s="5"/>
      <c r="AK468261" s="5"/>
    </row>
    <row r="468271" spans="25:37" x14ac:dyDescent="0.2">
      <c r="Y468271" s="251"/>
      <c r="AB468271" s="251"/>
      <c r="AE468271" s="251"/>
      <c r="AH468271" s="251"/>
      <c r="AK468271" s="251"/>
    </row>
    <row r="468386" spans="25:37" x14ac:dyDescent="0.2">
      <c r="Y468386" s="5"/>
      <c r="AB468386" s="5"/>
      <c r="AE468386" s="5"/>
      <c r="AH468386" s="5"/>
      <c r="AK468386" s="5"/>
    </row>
    <row r="468396" spans="25:37" x14ac:dyDescent="0.2">
      <c r="Y468396" s="251"/>
      <c r="AB468396" s="251"/>
      <c r="AE468396" s="251"/>
      <c r="AH468396" s="251"/>
      <c r="AK468396" s="251"/>
    </row>
    <row r="468511" spans="25:37" x14ac:dyDescent="0.2">
      <c r="Y468511" s="5"/>
      <c r="AB468511" s="5"/>
      <c r="AE468511" s="5"/>
      <c r="AH468511" s="5"/>
      <c r="AK468511" s="5"/>
    </row>
    <row r="468521" spans="25:37" x14ac:dyDescent="0.2">
      <c r="Y468521" s="251"/>
      <c r="AB468521" s="251"/>
      <c r="AE468521" s="251"/>
      <c r="AH468521" s="251"/>
      <c r="AK468521" s="251"/>
    </row>
    <row r="468636" spans="25:37" x14ac:dyDescent="0.2">
      <c r="Y468636" s="5"/>
      <c r="AB468636" s="5"/>
      <c r="AE468636" s="5"/>
      <c r="AH468636" s="5"/>
      <c r="AK468636" s="5"/>
    </row>
    <row r="468646" spans="25:37" x14ac:dyDescent="0.2">
      <c r="Y468646" s="251"/>
      <c r="AB468646" s="251"/>
      <c r="AE468646" s="251"/>
      <c r="AH468646" s="251"/>
      <c r="AK468646" s="251"/>
    </row>
    <row r="468761" spans="25:37" x14ac:dyDescent="0.2">
      <c r="Y468761" s="5"/>
      <c r="AB468761" s="5"/>
      <c r="AE468761" s="5"/>
      <c r="AH468761" s="5"/>
      <c r="AK468761" s="5"/>
    </row>
    <row r="468771" spans="25:37" x14ac:dyDescent="0.2">
      <c r="Y468771" s="251"/>
      <c r="AB468771" s="251"/>
      <c r="AE468771" s="251"/>
      <c r="AH468771" s="251"/>
      <c r="AK468771" s="251"/>
    </row>
    <row r="468886" spans="25:37" x14ac:dyDescent="0.2">
      <c r="Y468886" s="5"/>
      <c r="AB468886" s="5"/>
      <c r="AE468886" s="5"/>
      <c r="AH468886" s="5"/>
      <c r="AK468886" s="5"/>
    </row>
    <row r="468896" spans="25:37" x14ac:dyDescent="0.2">
      <c r="Y468896" s="251"/>
      <c r="AB468896" s="251"/>
      <c r="AE468896" s="251"/>
      <c r="AH468896" s="251"/>
      <c r="AK468896" s="251"/>
    </row>
    <row r="469011" spans="25:37" x14ac:dyDescent="0.2">
      <c r="Y469011" s="5"/>
      <c r="AB469011" s="5"/>
      <c r="AE469011" s="5"/>
      <c r="AH469011" s="5"/>
      <c r="AK469011" s="5"/>
    </row>
    <row r="469021" spans="25:37" x14ac:dyDescent="0.2">
      <c r="Y469021" s="251"/>
      <c r="AB469021" s="251"/>
      <c r="AE469021" s="251"/>
      <c r="AH469021" s="251"/>
      <c r="AK469021" s="251"/>
    </row>
    <row r="469136" spans="25:37" x14ac:dyDescent="0.2">
      <c r="Y469136" s="5"/>
      <c r="AB469136" s="5"/>
      <c r="AE469136" s="5"/>
      <c r="AH469136" s="5"/>
      <c r="AK469136" s="5"/>
    </row>
    <row r="469146" spans="25:37" x14ac:dyDescent="0.2">
      <c r="Y469146" s="251"/>
      <c r="AB469146" s="251"/>
      <c r="AE469146" s="251"/>
      <c r="AH469146" s="251"/>
      <c r="AK469146" s="251"/>
    </row>
    <row r="469261" spans="25:37" x14ac:dyDescent="0.2">
      <c r="Y469261" s="5"/>
      <c r="AB469261" s="5"/>
      <c r="AE469261" s="5"/>
      <c r="AH469261" s="5"/>
      <c r="AK469261" s="5"/>
    </row>
    <row r="469271" spans="25:37" x14ac:dyDescent="0.2">
      <c r="Y469271" s="251"/>
      <c r="AB469271" s="251"/>
      <c r="AE469271" s="251"/>
      <c r="AH469271" s="251"/>
      <c r="AK469271" s="251"/>
    </row>
    <row r="469386" spans="25:37" x14ac:dyDescent="0.2">
      <c r="Y469386" s="5"/>
      <c r="AB469386" s="5"/>
      <c r="AE469386" s="5"/>
      <c r="AH469386" s="5"/>
      <c r="AK469386" s="5"/>
    </row>
    <row r="469396" spans="25:37" x14ac:dyDescent="0.2">
      <c r="Y469396" s="251"/>
      <c r="AB469396" s="251"/>
      <c r="AE469396" s="251"/>
      <c r="AH469396" s="251"/>
      <c r="AK469396" s="251"/>
    </row>
    <row r="469511" spans="25:37" x14ac:dyDescent="0.2">
      <c r="Y469511" s="5"/>
      <c r="AB469511" s="5"/>
      <c r="AE469511" s="5"/>
      <c r="AH469511" s="5"/>
      <c r="AK469511" s="5"/>
    </row>
    <row r="469521" spans="25:37" x14ac:dyDescent="0.2">
      <c r="Y469521" s="251"/>
      <c r="AB469521" s="251"/>
      <c r="AE469521" s="251"/>
      <c r="AH469521" s="251"/>
      <c r="AK469521" s="251"/>
    </row>
    <row r="469636" spans="25:37" x14ac:dyDescent="0.2">
      <c r="Y469636" s="5"/>
      <c r="AB469636" s="5"/>
      <c r="AE469636" s="5"/>
      <c r="AH469636" s="5"/>
      <c r="AK469636" s="5"/>
    </row>
    <row r="469646" spans="25:37" x14ac:dyDescent="0.2">
      <c r="Y469646" s="251"/>
      <c r="AB469646" s="251"/>
      <c r="AE469646" s="251"/>
      <c r="AH469646" s="251"/>
      <c r="AK469646" s="251"/>
    </row>
    <row r="469761" spans="25:37" x14ac:dyDescent="0.2">
      <c r="Y469761" s="5"/>
      <c r="AB469761" s="5"/>
      <c r="AE469761" s="5"/>
      <c r="AH469761" s="5"/>
      <c r="AK469761" s="5"/>
    </row>
    <row r="469771" spans="25:37" x14ac:dyDescent="0.2">
      <c r="Y469771" s="251"/>
      <c r="AB469771" s="251"/>
      <c r="AE469771" s="251"/>
      <c r="AH469771" s="251"/>
      <c r="AK469771" s="251"/>
    </row>
    <row r="469886" spans="25:37" x14ac:dyDescent="0.2">
      <c r="Y469886" s="5"/>
      <c r="AB469886" s="5"/>
      <c r="AE469886" s="5"/>
      <c r="AH469886" s="5"/>
      <c r="AK469886" s="5"/>
    </row>
    <row r="469896" spans="25:37" x14ac:dyDescent="0.2">
      <c r="Y469896" s="251"/>
      <c r="AB469896" s="251"/>
      <c r="AE469896" s="251"/>
      <c r="AH469896" s="251"/>
      <c r="AK469896" s="251"/>
    </row>
    <row r="470011" spans="25:37" x14ac:dyDescent="0.2">
      <c r="Y470011" s="5"/>
      <c r="AB470011" s="5"/>
      <c r="AE470011" s="5"/>
      <c r="AH470011" s="5"/>
      <c r="AK470011" s="5"/>
    </row>
    <row r="470021" spans="25:37" x14ac:dyDescent="0.2">
      <c r="Y470021" s="251"/>
      <c r="AB470021" s="251"/>
      <c r="AE470021" s="251"/>
      <c r="AH470021" s="251"/>
      <c r="AK470021" s="251"/>
    </row>
    <row r="470136" spans="25:37" x14ac:dyDescent="0.2">
      <c r="Y470136" s="5"/>
      <c r="AB470136" s="5"/>
      <c r="AE470136" s="5"/>
      <c r="AH470136" s="5"/>
      <c r="AK470136" s="5"/>
    </row>
    <row r="470146" spans="25:37" x14ac:dyDescent="0.2">
      <c r="Y470146" s="251"/>
      <c r="AB470146" s="251"/>
      <c r="AE470146" s="251"/>
      <c r="AH470146" s="251"/>
      <c r="AK470146" s="251"/>
    </row>
    <row r="470261" spans="25:37" x14ac:dyDescent="0.2">
      <c r="Y470261" s="5"/>
      <c r="AB470261" s="5"/>
      <c r="AE470261" s="5"/>
      <c r="AH470261" s="5"/>
      <c r="AK470261" s="5"/>
    </row>
    <row r="470271" spans="25:37" x14ac:dyDescent="0.2">
      <c r="Y470271" s="251"/>
      <c r="AB470271" s="251"/>
      <c r="AE470271" s="251"/>
      <c r="AH470271" s="251"/>
      <c r="AK470271" s="251"/>
    </row>
    <row r="470386" spans="25:37" x14ac:dyDescent="0.2">
      <c r="Y470386" s="5"/>
      <c r="AB470386" s="5"/>
      <c r="AE470386" s="5"/>
      <c r="AH470386" s="5"/>
      <c r="AK470386" s="5"/>
    </row>
    <row r="470396" spans="25:37" x14ac:dyDescent="0.2">
      <c r="Y470396" s="251"/>
      <c r="AB470396" s="251"/>
      <c r="AE470396" s="251"/>
      <c r="AH470396" s="251"/>
      <c r="AK470396" s="251"/>
    </row>
    <row r="470511" spans="25:37" x14ac:dyDescent="0.2">
      <c r="Y470511" s="5"/>
      <c r="AB470511" s="5"/>
      <c r="AE470511" s="5"/>
      <c r="AH470511" s="5"/>
      <c r="AK470511" s="5"/>
    </row>
    <row r="470521" spans="25:37" x14ac:dyDescent="0.2">
      <c r="Y470521" s="251"/>
      <c r="AB470521" s="251"/>
      <c r="AE470521" s="251"/>
      <c r="AH470521" s="251"/>
      <c r="AK470521" s="251"/>
    </row>
    <row r="470636" spans="25:37" x14ac:dyDescent="0.2">
      <c r="Y470636" s="5"/>
      <c r="AB470636" s="5"/>
      <c r="AE470636" s="5"/>
      <c r="AH470636" s="5"/>
      <c r="AK470636" s="5"/>
    </row>
    <row r="470646" spans="25:37" x14ac:dyDescent="0.2">
      <c r="Y470646" s="251"/>
      <c r="AB470646" s="251"/>
      <c r="AE470646" s="251"/>
      <c r="AH470646" s="251"/>
      <c r="AK470646" s="251"/>
    </row>
    <row r="470761" spans="25:37" x14ac:dyDescent="0.2">
      <c r="Y470761" s="5"/>
      <c r="AB470761" s="5"/>
      <c r="AE470761" s="5"/>
      <c r="AH470761" s="5"/>
      <c r="AK470761" s="5"/>
    </row>
    <row r="470771" spans="25:37" x14ac:dyDescent="0.2">
      <c r="Y470771" s="251"/>
      <c r="AB470771" s="251"/>
      <c r="AE470771" s="251"/>
      <c r="AH470771" s="251"/>
      <c r="AK470771" s="251"/>
    </row>
    <row r="470886" spans="25:37" x14ac:dyDescent="0.2">
      <c r="Y470886" s="5"/>
      <c r="AB470886" s="5"/>
      <c r="AE470886" s="5"/>
      <c r="AH470886" s="5"/>
      <c r="AK470886" s="5"/>
    </row>
    <row r="470896" spans="25:37" x14ac:dyDescent="0.2">
      <c r="Y470896" s="251"/>
      <c r="AB470896" s="251"/>
      <c r="AE470896" s="251"/>
      <c r="AH470896" s="251"/>
      <c r="AK470896" s="251"/>
    </row>
    <row r="471011" spans="25:37" x14ac:dyDescent="0.2">
      <c r="Y471011" s="5"/>
      <c r="AB471011" s="5"/>
      <c r="AE471011" s="5"/>
      <c r="AH471011" s="5"/>
      <c r="AK471011" s="5"/>
    </row>
    <row r="471021" spans="25:37" x14ac:dyDescent="0.2">
      <c r="Y471021" s="251"/>
      <c r="AB471021" s="251"/>
      <c r="AE471021" s="251"/>
      <c r="AH471021" s="251"/>
      <c r="AK471021" s="251"/>
    </row>
    <row r="471136" spans="25:37" x14ac:dyDescent="0.2">
      <c r="Y471136" s="5"/>
      <c r="AB471136" s="5"/>
      <c r="AE471136" s="5"/>
      <c r="AH471136" s="5"/>
      <c r="AK471136" s="5"/>
    </row>
    <row r="471146" spans="25:37" x14ac:dyDescent="0.2">
      <c r="Y471146" s="251"/>
      <c r="AB471146" s="251"/>
      <c r="AE471146" s="251"/>
      <c r="AH471146" s="251"/>
      <c r="AK471146" s="251"/>
    </row>
    <row r="471261" spans="25:37" x14ac:dyDescent="0.2">
      <c r="Y471261" s="5"/>
      <c r="AB471261" s="5"/>
      <c r="AE471261" s="5"/>
      <c r="AH471261" s="5"/>
      <c r="AK471261" s="5"/>
    </row>
    <row r="471271" spans="25:37" x14ac:dyDescent="0.2">
      <c r="Y471271" s="251"/>
      <c r="AB471271" s="251"/>
      <c r="AE471271" s="251"/>
      <c r="AH471271" s="251"/>
      <c r="AK471271" s="251"/>
    </row>
    <row r="471386" spans="25:37" x14ac:dyDescent="0.2">
      <c r="Y471386" s="5"/>
      <c r="AB471386" s="5"/>
      <c r="AE471386" s="5"/>
      <c r="AH471386" s="5"/>
      <c r="AK471386" s="5"/>
    </row>
    <row r="471396" spans="25:37" x14ac:dyDescent="0.2">
      <c r="Y471396" s="251"/>
      <c r="AB471396" s="251"/>
      <c r="AE471396" s="251"/>
      <c r="AH471396" s="251"/>
      <c r="AK471396" s="251"/>
    </row>
    <row r="471511" spans="25:37" x14ac:dyDescent="0.2">
      <c r="Y471511" s="5"/>
      <c r="AB471511" s="5"/>
      <c r="AE471511" s="5"/>
      <c r="AH471511" s="5"/>
      <c r="AK471511" s="5"/>
    </row>
    <row r="471521" spans="25:37" x14ac:dyDescent="0.2">
      <c r="Y471521" s="251"/>
      <c r="AB471521" s="251"/>
      <c r="AE471521" s="251"/>
      <c r="AH471521" s="251"/>
      <c r="AK471521" s="251"/>
    </row>
    <row r="471636" spans="25:37" x14ac:dyDescent="0.2">
      <c r="Y471636" s="5"/>
      <c r="AB471636" s="5"/>
      <c r="AE471636" s="5"/>
      <c r="AH471636" s="5"/>
      <c r="AK471636" s="5"/>
    </row>
    <row r="471646" spans="25:37" x14ac:dyDescent="0.2">
      <c r="Y471646" s="251"/>
      <c r="AB471646" s="251"/>
      <c r="AE471646" s="251"/>
      <c r="AH471646" s="251"/>
      <c r="AK471646" s="251"/>
    </row>
    <row r="471761" spans="25:37" x14ac:dyDescent="0.2">
      <c r="Y471761" s="5"/>
      <c r="AB471761" s="5"/>
      <c r="AE471761" s="5"/>
      <c r="AH471761" s="5"/>
      <c r="AK471761" s="5"/>
    </row>
    <row r="471771" spans="25:37" x14ac:dyDescent="0.2">
      <c r="Y471771" s="251"/>
      <c r="AB471771" s="251"/>
      <c r="AE471771" s="251"/>
      <c r="AH471771" s="251"/>
      <c r="AK471771" s="251"/>
    </row>
    <row r="471886" spans="25:37" x14ac:dyDescent="0.2">
      <c r="Y471886" s="5"/>
      <c r="AB471886" s="5"/>
      <c r="AE471886" s="5"/>
      <c r="AH471886" s="5"/>
      <c r="AK471886" s="5"/>
    </row>
    <row r="471896" spans="25:37" x14ac:dyDescent="0.2">
      <c r="Y471896" s="251"/>
      <c r="AB471896" s="251"/>
      <c r="AE471896" s="251"/>
      <c r="AH471896" s="251"/>
      <c r="AK471896" s="251"/>
    </row>
    <row r="472011" spans="25:37" x14ac:dyDescent="0.2">
      <c r="Y472011" s="5"/>
      <c r="AB472011" s="5"/>
      <c r="AE472011" s="5"/>
      <c r="AH472011" s="5"/>
      <c r="AK472011" s="5"/>
    </row>
    <row r="472021" spans="25:37" x14ac:dyDescent="0.2">
      <c r="Y472021" s="251"/>
      <c r="AB472021" s="251"/>
      <c r="AE472021" s="251"/>
      <c r="AH472021" s="251"/>
      <c r="AK472021" s="251"/>
    </row>
    <row r="472136" spans="25:37" x14ac:dyDescent="0.2">
      <c r="Y472136" s="5"/>
      <c r="AB472136" s="5"/>
      <c r="AE472136" s="5"/>
      <c r="AH472136" s="5"/>
      <c r="AK472136" s="5"/>
    </row>
    <row r="472146" spans="25:37" x14ac:dyDescent="0.2">
      <c r="Y472146" s="251"/>
      <c r="AB472146" s="251"/>
      <c r="AE472146" s="251"/>
      <c r="AH472146" s="251"/>
      <c r="AK472146" s="251"/>
    </row>
    <row r="472261" spans="25:37" x14ac:dyDescent="0.2">
      <c r="Y472261" s="5"/>
      <c r="AB472261" s="5"/>
      <c r="AE472261" s="5"/>
      <c r="AH472261" s="5"/>
      <c r="AK472261" s="5"/>
    </row>
    <row r="472271" spans="25:37" x14ac:dyDescent="0.2">
      <c r="Y472271" s="251"/>
      <c r="AB472271" s="251"/>
      <c r="AE472271" s="251"/>
      <c r="AH472271" s="251"/>
      <c r="AK472271" s="251"/>
    </row>
    <row r="472386" spans="25:37" x14ac:dyDescent="0.2">
      <c r="Y472386" s="5"/>
      <c r="AB472386" s="5"/>
      <c r="AE472386" s="5"/>
      <c r="AH472386" s="5"/>
      <c r="AK472386" s="5"/>
    </row>
    <row r="472396" spans="25:37" x14ac:dyDescent="0.2">
      <c r="Y472396" s="251"/>
      <c r="AB472396" s="251"/>
      <c r="AE472396" s="251"/>
      <c r="AH472396" s="251"/>
      <c r="AK472396" s="251"/>
    </row>
    <row r="472511" spans="25:37" x14ac:dyDescent="0.2">
      <c r="Y472511" s="5"/>
      <c r="AB472511" s="5"/>
      <c r="AE472511" s="5"/>
      <c r="AH472511" s="5"/>
      <c r="AK472511" s="5"/>
    </row>
    <row r="472521" spans="25:37" x14ac:dyDescent="0.2">
      <c r="Y472521" s="251"/>
      <c r="AB472521" s="251"/>
      <c r="AE472521" s="251"/>
      <c r="AH472521" s="251"/>
      <c r="AK472521" s="251"/>
    </row>
    <row r="472636" spans="25:37" x14ac:dyDescent="0.2">
      <c r="Y472636" s="5"/>
      <c r="AB472636" s="5"/>
      <c r="AE472636" s="5"/>
      <c r="AH472636" s="5"/>
      <c r="AK472636" s="5"/>
    </row>
    <row r="472646" spans="25:37" x14ac:dyDescent="0.2">
      <c r="Y472646" s="251"/>
      <c r="AB472646" s="251"/>
      <c r="AE472646" s="251"/>
      <c r="AH472646" s="251"/>
      <c r="AK472646" s="251"/>
    </row>
    <row r="472761" spans="25:37" x14ac:dyDescent="0.2">
      <c r="Y472761" s="5"/>
      <c r="AB472761" s="5"/>
      <c r="AE472761" s="5"/>
      <c r="AH472761" s="5"/>
      <c r="AK472761" s="5"/>
    </row>
    <row r="472771" spans="25:37" x14ac:dyDescent="0.2">
      <c r="Y472771" s="251"/>
      <c r="AB472771" s="251"/>
      <c r="AE472771" s="251"/>
      <c r="AH472771" s="251"/>
      <c r="AK472771" s="251"/>
    </row>
    <row r="472886" spans="25:37" x14ac:dyDescent="0.2">
      <c r="Y472886" s="5"/>
      <c r="AB472886" s="5"/>
      <c r="AE472886" s="5"/>
      <c r="AH472886" s="5"/>
      <c r="AK472886" s="5"/>
    </row>
    <row r="472896" spans="25:37" x14ac:dyDescent="0.2">
      <c r="Y472896" s="251"/>
      <c r="AB472896" s="251"/>
      <c r="AE472896" s="251"/>
      <c r="AH472896" s="251"/>
      <c r="AK472896" s="251"/>
    </row>
    <row r="473011" spans="25:37" x14ac:dyDescent="0.2">
      <c r="Y473011" s="5"/>
      <c r="AB473011" s="5"/>
      <c r="AE473011" s="5"/>
      <c r="AH473011" s="5"/>
      <c r="AK473011" s="5"/>
    </row>
    <row r="473021" spans="25:37" x14ac:dyDescent="0.2">
      <c r="Y473021" s="251"/>
      <c r="AB473021" s="251"/>
      <c r="AE473021" s="251"/>
      <c r="AH473021" s="251"/>
      <c r="AK473021" s="251"/>
    </row>
    <row r="473136" spans="25:37" x14ac:dyDescent="0.2">
      <c r="Y473136" s="5"/>
      <c r="AB473136" s="5"/>
      <c r="AE473136" s="5"/>
      <c r="AH473136" s="5"/>
      <c r="AK473136" s="5"/>
    </row>
    <row r="473146" spans="25:37" x14ac:dyDescent="0.2">
      <c r="Y473146" s="251"/>
      <c r="AB473146" s="251"/>
      <c r="AE473146" s="251"/>
      <c r="AH473146" s="251"/>
      <c r="AK473146" s="251"/>
    </row>
    <row r="473261" spans="25:37" x14ac:dyDescent="0.2">
      <c r="Y473261" s="5"/>
      <c r="AB473261" s="5"/>
      <c r="AE473261" s="5"/>
      <c r="AH473261" s="5"/>
      <c r="AK473261" s="5"/>
    </row>
    <row r="473271" spans="25:37" x14ac:dyDescent="0.2">
      <c r="Y473271" s="251"/>
      <c r="AB473271" s="251"/>
      <c r="AE473271" s="251"/>
      <c r="AH473271" s="251"/>
      <c r="AK473271" s="251"/>
    </row>
    <row r="473386" spans="25:37" x14ac:dyDescent="0.2">
      <c r="Y473386" s="5"/>
      <c r="AB473386" s="5"/>
      <c r="AE473386" s="5"/>
      <c r="AH473386" s="5"/>
      <c r="AK473386" s="5"/>
    </row>
    <row r="473396" spans="25:37" x14ac:dyDescent="0.2">
      <c r="Y473396" s="251"/>
      <c r="AB473396" s="251"/>
      <c r="AE473396" s="251"/>
      <c r="AH473396" s="251"/>
      <c r="AK473396" s="251"/>
    </row>
    <row r="473511" spans="25:37" x14ac:dyDescent="0.2">
      <c r="Y473511" s="5"/>
      <c r="AB473511" s="5"/>
      <c r="AE473511" s="5"/>
      <c r="AH473511" s="5"/>
      <c r="AK473511" s="5"/>
    </row>
    <row r="473521" spans="25:37" x14ac:dyDescent="0.2">
      <c r="Y473521" s="251"/>
      <c r="AB473521" s="251"/>
      <c r="AE473521" s="251"/>
      <c r="AH473521" s="251"/>
      <c r="AK473521" s="251"/>
    </row>
    <row r="473636" spans="25:37" x14ac:dyDescent="0.2">
      <c r="Y473636" s="5"/>
      <c r="AB473636" s="5"/>
      <c r="AE473636" s="5"/>
      <c r="AH473636" s="5"/>
      <c r="AK473636" s="5"/>
    </row>
    <row r="473646" spans="25:37" x14ac:dyDescent="0.2">
      <c r="Y473646" s="251"/>
      <c r="AB473646" s="251"/>
      <c r="AE473646" s="251"/>
      <c r="AH473646" s="251"/>
      <c r="AK473646" s="251"/>
    </row>
    <row r="473761" spans="25:37" x14ac:dyDescent="0.2">
      <c r="Y473761" s="5"/>
      <c r="AB473761" s="5"/>
      <c r="AE473761" s="5"/>
      <c r="AH473761" s="5"/>
      <c r="AK473761" s="5"/>
    </row>
    <row r="473771" spans="25:37" x14ac:dyDescent="0.2">
      <c r="Y473771" s="251"/>
      <c r="AB473771" s="251"/>
      <c r="AE473771" s="251"/>
      <c r="AH473771" s="251"/>
      <c r="AK473771" s="251"/>
    </row>
    <row r="473886" spans="25:37" x14ac:dyDescent="0.2">
      <c r="Y473886" s="5"/>
      <c r="AB473886" s="5"/>
      <c r="AE473886" s="5"/>
      <c r="AH473886" s="5"/>
      <c r="AK473886" s="5"/>
    </row>
    <row r="473896" spans="25:37" x14ac:dyDescent="0.2">
      <c r="Y473896" s="251"/>
      <c r="AB473896" s="251"/>
      <c r="AE473896" s="251"/>
      <c r="AH473896" s="251"/>
      <c r="AK473896" s="251"/>
    </row>
    <row r="474011" spans="25:37" x14ac:dyDescent="0.2">
      <c r="Y474011" s="5"/>
      <c r="AB474011" s="5"/>
      <c r="AE474011" s="5"/>
      <c r="AH474011" s="5"/>
      <c r="AK474011" s="5"/>
    </row>
    <row r="474021" spans="25:37" x14ac:dyDescent="0.2">
      <c r="Y474021" s="251"/>
      <c r="AB474021" s="251"/>
      <c r="AE474021" s="251"/>
      <c r="AH474021" s="251"/>
      <c r="AK474021" s="251"/>
    </row>
    <row r="474136" spans="25:37" x14ac:dyDescent="0.2">
      <c r="Y474136" s="5"/>
      <c r="AB474136" s="5"/>
      <c r="AE474136" s="5"/>
      <c r="AH474136" s="5"/>
      <c r="AK474136" s="5"/>
    </row>
    <row r="474146" spans="25:37" x14ac:dyDescent="0.2">
      <c r="Y474146" s="251"/>
      <c r="AB474146" s="251"/>
      <c r="AE474146" s="251"/>
      <c r="AH474146" s="251"/>
      <c r="AK474146" s="251"/>
    </row>
    <row r="474261" spans="25:37" x14ac:dyDescent="0.2">
      <c r="Y474261" s="5"/>
      <c r="AB474261" s="5"/>
      <c r="AE474261" s="5"/>
      <c r="AH474261" s="5"/>
      <c r="AK474261" s="5"/>
    </row>
    <row r="474271" spans="25:37" x14ac:dyDescent="0.2">
      <c r="Y474271" s="251"/>
      <c r="AB474271" s="251"/>
      <c r="AE474271" s="251"/>
      <c r="AH474271" s="251"/>
      <c r="AK474271" s="251"/>
    </row>
    <row r="474386" spans="25:37" x14ac:dyDescent="0.2">
      <c r="Y474386" s="5"/>
      <c r="AB474386" s="5"/>
      <c r="AE474386" s="5"/>
      <c r="AH474386" s="5"/>
      <c r="AK474386" s="5"/>
    </row>
    <row r="474396" spans="25:37" x14ac:dyDescent="0.2">
      <c r="Y474396" s="251"/>
      <c r="AB474396" s="251"/>
      <c r="AE474396" s="251"/>
      <c r="AH474396" s="251"/>
      <c r="AK474396" s="251"/>
    </row>
    <row r="474511" spans="25:37" x14ac:dyDescent="0.2">
      <c r="Y474511" s="5"/>
      <c r="AB474511" s="5"/>
      <c r="AE474511" s="5"/>
      <c r="AH474511" s="5"/>
      <c r="AK474511" s="5"/>
    </row>
    <row r="474521" spans="25:37" x14ac:dyDescent="0.2">
      <c r="Y474521" s="251"/>
      <c r="AB474521" s="251"/>
      <c r="AE474521" s="251"/>
      <c r="AH474521" s="251"/>
      <c r="AK474521" s="251"/>
    </row>
    <row r="474636" spans="25:37" x14ac:dyDescent="0.2">
      <c r="Y474636" s="5"/>
      <c r="AB474636" s="5"/>
      <c r="AE474636" s="5"/>
      <c r="AH474636" s="5"/>
      <c r="AK474636" s="5"/>
    </row>
    <row r="474646" spans="25:37" x14ac:dyDescent="0.2">
      <c r="Y474646" s="251"/>
      <c r="AB474646" s="251"/>
      <c r="AE474646" s="251"/>
      <c r="AH474646" s="251"/>
      <c r="AK474646" s="251"/>
    </row>
    <row r="474761" spans="25:37" x14ac:dyDescent="0.2">
      <c r="Y474761" s="5"/>
      <c r="AB474761" s="5"/>
      <c r="AE474761" s="5"/>
      <c r="AH474761" s="5"/>
      <c r="AK474761" s="5"/>
    </row>
    <row r="474771" spans="25:37" x14ac:dyDescent="0.2">
      <c r="Y474771" s="251"/>
      <c r="AB474771" s="251"/>
      <c r="AE474771" s="251"/>
      <c r="AH474771" s="251"/>
      <c r="AK474771" s="251"/>
    </row>
    <row r="474886" spans="25:37" x14ac:dyDescent="0.2">
      <c r="Y474886" s="5"/>
      <c r="AB474886" s="5"/>
      <c r="AE474886" s="5"/>
      <c r="AH474886" s="5"/>
      <c r="AK474886" s="5"/>
    </row>
    <row r="474896" spans="25:37" x14ac:dyDescent="0.2">
      <c r="Y474896" s="251"/>
      <c r="AB474896" s="251"/>
      <c r="AE474896" s="251"/>
      <c r="AH474896" s="251"/>
      <c r="AK474896" s="251"/>
    </row>
    <row r="475011" spans="25:37" x14ac:dyDescent="0.2">
      <c r="Y475011" s="5"/>
      <c r="AB475011" s="5"/>
      <c r="AE475011" s="5"/>
      <c r="AH475011" s="5"/>
      <c r="AK475011" s="5"/>
    </row>
    <row r="475021" spans="25:37" x14ac:dyDescent="0.2">
      <c r="Y475021" s="251"/>
      <c r="AB475021" s="251"/>
      <c r="AE475021" s="251"/>
      <c r="AH475021" s="251"/>
      <c r="AK475021" s="251"/>
    </row>
    <row r="475136" spans="25:37" x14ac:dyDescent="0.2">
      <c r="Y475136" s="5"/>
      <c r="AB475136" s="5"/>
      <c r="AE475136" s="5"/>
      <c r="AH475136" s="5"/>
      <c r="AK475136" s="5"/>
    </row>
    <row r="475146" spans="25:37" x14ac:dyDescent="0.2">
      <c r="Y475146" s="251"/>
      <c r="AB475146" s="251"/>
      <c r="AE475146" s="251"/>
      <c r="AH475146" s="251"/>
      <c r="AK475146" s="251"/>
    </row>
    <row r="475261" spans="25:37" x14ac:dyDescent="0.2">
      <c r="Y475261" s="5"/>
      <c r="AB475261" s="5"/>
      <c r="AE475261" s="5"/>
      <c r="AH475261" s="5"/>
      <c r="AK475261" s="5"/>
    </row>
    <row r="475271" spans="25:37" x14ac:dyDescent="0.2">
      <c r="Y475271" s="251"/>
      <c r="AB475271" s="251"/>
      <c r="AE475271" s="251"/>
      <c r="AH475271" s="251"/>
      <c r="AK475271" s="251"/>
    </row>
    <row r="475386" spans="25:37" x14ac:dyDescent="0.2">
      <c r="Y475386" s="5"/>
      <c r="AB475386" s="5"/>
      <c r="AE475386" s="5"/>
      <c r="AH475386" s="5"/>
      <c r="AK475386" s="5"/>
    </row>
    <row r="475396" spans="25:37" x14ac:dyDescent="0.2">
      <c r="Y475396" s="251"/>
      <c r="AB475396" s="251"/>
      <c r="AE475396" s="251"/>
      <c r="AH475396" s="251"/>
      <c r="AK475396" s="251"/>
    </row>
    <row r="475511" spans="25:37" x14ac:dyDescent="0.2">
      <c r="Y475511" s="5"/>
      <c r="AB475511" s="5"/>
      <c r="AE475511" s="5"/>
      <c r="AH475511" s="5"/>
      <c r="AK475511" s="5"/>
    </row>
    <row r="475521" spans="25:37" x14ac:dyDescent="0.2">
      <c r="Y475521" s="251"/>
      <c r="AB475521" s="251"/>
      <c r="AE475521" s="251"/>
      <c r="AH475521" s="251"/>
      <c r="AK475521" s="251"/>
    </row>
    <row r="475636" spans="25:37" x14ac:dyDescent="0.2">
      <c r="Y475636" s="5"/>
      <c r="AB475636" s="5"/>
      <c r="AE475636" s="5"/>
      <c r="AH475636" s="5"/>
      <c r="AK475636" s="5"/>
    </row>
    <row r="475646" spans="25:37" x14ac:dyDescent="0.2">
      <c r="Y475646" s="251"/>
      <c r="AB475646" s="251"/>
      <c r="AE475646" s="251"/>
      <c r="AH475646" s="251"/>
      <c r="AK475646" s="251"/>
    </row>
    <row r="475761" spans="25:37" x14ac:dyDescent="0.2">
      <c r="Y475761" s="5"/>
      <c r="AB475761" s="5"/>
      <c r="AE475761" s="5"/>
      <c r="AH475761" s="5"/>
      <c r="AK475761" s="5"/>
    </row>
    <row r="475771" spans="25:37" x14ac:dyDescent="0.2">
      <c r="Y475771" s="251"/>
      <c r="AB475771" s="251"/>
      <c r="AE475771" s="251"/>
      <c r="AH475771" s="251"/>
      <c r="AK475771" s="251"/>
    </row>
    <row r="475886" spans="25:37" x14ac:dyDescent="0.2">
      <c r="Y475886" s="5"/>
      <c r="AB475886" s="5"/>
      <c r="AE475886" s="5"/>
      <c r="AH475886" s="5"/>
      <c r="AK475886" s="5"/>
    </row>
    <row r="475896" spans="25:37" x14ac:dyDescent="0.2">
      <c r="Y475896" s="251"/>
      <c r="AB475896" s="251"/>
      <c r="AE475896" s="251"/>
      <c r="AH475896" s="251"/>
      <c r="AK475896" s="251"/>
    </row>
    <row r="476011" spans="25:37" x14ac:dyDescent="0.2">
      <c r="Y476011" s="5"/>
      <c r="AB476011" s="5"/>
      <c r="AE476011" s="5"/>
      <c r="AH476011" s="5"/>
      <c r="AK476011" s="5"/>
    </row>
    <row r="476021" spans="25:37" x14ac:dyDescent="0.2">
      <c r="Y476021" s="251"/>
      <c r="AB476021" s="251"/>
      <c r="AE476021" s="251"/>
      <c r="AH476021" s="251"/>
      <c r="AK476021" s="251"/>
    </row>
    <row r="476136" spans="25:37" x14ac:dyDescent="0.2">
      <c r="Y476136" s="5"/>
      <c r="AB476136" s="5"/>
      <c r="AE476136" s="5"/>
      <c r="AH476136" s="5"/>
      <c r="AK476136" s="5"/>
    </row>
    <row r="476146" spans="25:37" x14ac:dyDescent="0.2">
      <c r="Y476146" s="251"/>
      <c r="AB476146" s="251"/>
      <c r="AE476146" s="251"/>
      <c r="AH476146" s="251"/>
      <c r="AK476146" s="251"/>
    </row>
    <row r="476261" spans="25:37" x14ac:dyDescent="0.2">
      <c r="Y476261" s="5"/>
      <c r="AB476261" s="5"/>
      <c r="AE476261" s="5"/>
      <c r="AH476261" s="5"/>
      <c r="AK476261" s="5"/>
    </row>
    <row r="476271" spans="25:37" x14ac:dyDescent="0.2">
      <c r="Y476271" s="251"/>
      <c r="AB476271" s="251"/>
      <c r="AE476271" s="251"/>
      <c r="AH476271" s="251"/>
      <c r="AK476271" s="251"/>
    </row>
    <row r="476386" spans="25:37" x14ac:dyDescent="0.2">
      <c r="Y476386" s="5"/>
      <c r="AB476386" s="5"/>
      <c r="AE476386" s="5"/>
      <c r="AH476386" s="5"/>
      <c r="AK476386" s="5"/>
    </row>
    <row r="476396" spans="25:37" x14ac:dyDescent="0.2">
      <c r="Y476396" s="251"/>
      <c r="AB476396" s="251"/>
      <c r="AE476396" s="251"/>
      <c r="AH476396" s="251"/>
      <c r="AK476396" s="251"/>
    </row>
    <row r="476511" spans="25:37" x14ac:dyDescent="0.2">
      <c r="Y476511" s="5"/>
      <c r="AB476511" s="5"/>
      <c r="AE476511" s="5"/>
      <c r="AH476511" s="5"/>
      <c r="AK476511" s="5"/>
    </row>
    <row r="476521" spans="25:37" x14ac:dyDescent="0.2">
      <c r="Y476521" s="251"/>
      <c r="AB476521" s="251"/>
      <c r="AE476521" s="251"/>
      <c r="AH476521" s="251"/>
      <c r="AK476521" s="251"/>
    </row>
    <row r="476636" spans="25:37" x14ac:dyDescent="0.2">
      <c r="Y476636" s="5"/>
      <c r="AB476636" s="5"/>
      <c r="AE476636" s="5"/>
      <c r="AH476636" s="5"/>
      <c r="AK476636" s="5"/>
    </row>
    <row r="476646" spans="25:37" x14ac:dyDescent="0.2">
      <c r="Y476646" s="251"/>
      <c r="AB476646" s="251"/>
      <c r="AE476646" s="251"/>
      <c r="AH476646" s="251"/>
      <c r="AK476646" s="251"/>
    </row>
    <row r="476761" spans="25:37" x14ac:dyDescent="0.2">
      <c r="Y476761" s="5"/>
      <c r="AB476761" s="5"/>
      <c r="AE476761" s="5"/>
      <c r="AH476761" s="5"/>
      <c r="AK476761" s="5"/>
    </row>
    <row r="476771" spans="25:37" x14ac:dyDescent="0.2">
      <c r="Y476771" s="251"/>
      <c r="AB476771" s="251"/>
      <c r="AE476771" s="251"/>
      <c r="AH476771" s="251"/>
      <c r="AK476771" s="251"/>
    </row>
    <row r="476886" spans="25:37" x14ac:dyDescent="0.2">
      <c r="Y476886" s="5"/>
      <c r="AB476886" s="5"/>
      <c r="AE476886" s="5"/>
      <c r="AH476886" s="5"/>
      <c r="AK476886" s="5"/>
    </row>
    <row r="476896" spans="25:37" x14ac:dyDescent="0.2">
      <c r="Y476896" s="251"/>
      <c r="AB476896" s="251"/>
      <c r="AE476896" s="251"/>
      <c r="AH476896" s="251"/>
      <c r="AK476896" s="251"/>
    </row>
    <row r="477011" spans="25:37" x14ac:dyDescent="0.2">
      <c r="Y477011" s="5"/>
      <c r="AB477011" s="5"/>
      <c r="AE477011" s="5"/>
      <c r="AH477011" s="5"/>
      <c r="AK477011" s="5"/>
    </row>
    <row r="477021" spans="25:37" x14ac:dyDescent="0.2">
      <c r="Y477021" s="251"/>
      <c r="AB477021" s="251"/>
      <c r="AE477021" s="251"/>
      <c r="AH477021" s="251"/>
      <c r="AK477021" s="251"/>
    </row>
    <row r="477136" spans="25:37" x14ac:dyDescent="0.2">
      <c r="Y477136" s="5"/>
      <c r="AB477136" s="5"/>
      <c r="AE477136" s="5"/>
      <c r="AH477136" s="5"/>
      <c r="AK477136" s="5"/>
    </row>
    <row r="477146" spans="25:37" x14ac:dyDescent="0.2">
      <c r="Y477146" s="251"/>
      <c r="AB477146" s="251"/>
      <c r="AE477146" s="251"/>
      <c r="AH477146" s="251"/>
      <c r="AK477146" s="251"/>
    </row>
    <row r="477261" spans="25:37" x14ac:dyDescent="0.2">
      <c r="Y477261" s="5"/>
      <c r="AB477261" s="5"/>
      <c r="AE477261" s="5"/>
      <c r="AH477261" s="5"/>
      <c r="AK477261" s="5"/>
    </row>
    <row r="477271" spans="25:37" x14ac:dyDescent="0.2">
      <c r="Y477271" s="251"/>
      <c r="AB477271" s="251"/>
      <c r="AE477271" s="251"/>
      <c r="AH477271" s="251"/>
      <c r="AK477271" s="251"/>
    </row>
    <row r="477386" spans="25:37" x14ac:dyDescent="0.2">
      <c r="Y477386" s="5"/>
      <c r="AB477386" s="5"/>
      <c r="AE477386" s="5"/>
      <c r="AH477386" s="5"/>
      <c r="AK477386" s="5"/>
    </row>
    <row r="477396" spans="25:37" x14ac:dyDescent="0.2">
      <c r="Y477396" s="251"/>
      <c r="AB477396" s="251"/>
      <c r="AE477396" s="251"/>
      <c r="AH477396" s="251"/>
      <c r="AK477396" s="251"/>
    </row>
    <row r="477511" spans="25:37" x14ac:dyDescent="0.2">
      <c r="Y477511" s="5"/>
      <c r="AB477511" s="5"/>
      <c r="AE477511" s="5"/>
      <c r="AH477511" s="5"/>
      <c r="AK477511" s="5"/>
    </row>
    <row r="477521" spans="25:37" x14ac:dyDescent="0.2">
      <c r="Y477521" s="251"/>
      <c r="AB477521" s="251"/>
      <c r="AE477521" s="251"/>
      <c r="AH477521" s="251"/>
      <c r="AK477521" s="251"/>
    </row>
    <row r="477636" spans="25:37" x14ac:dyDescent="0.2">
      <c r="Y477636" s="5"/>
      <c r="AB477636" s="5"/>
      <c r="AE477636" s="5"/>
      <c r="AH477636" s="5"/>
      <c r="AK477636" s="5"/>
    </row>
    <row r="477646" spans="25:37" x14ac:dyDescent="0.2">
      <c r="Y477646" s="251"/>
      <c r="AB477646" s="251"/>
      <c r="AE477646" s="251"/>
      <c r="AH477646" s="251"/>
      <c r="AK477646" s="251"/>
    </row>
    <row r="477761" spans="25:37" x14ac:dyDescent="0.2">
      <c r="Y477761" s="5"/>
      <c r="AB477761" s="5"/>
      <c r="AE477761" s="5"/>
      <c r="AH477761" s="5"/>
      <c r="AK477761" s="5"/>
    </row>
    <row r="477771" spans="25:37" x14ac:dyDescent="0.2">
      <c r="Y477771" s="251"/>
      <c r="AB477771" s="251"/>
      <c r="AE477771" s="251"/>
      <c r="AH477771" s="251"/>
      <c r="AK477771" s="251"/>
    </row>
    <row r="477886" spans="25:37" x14ac:dyDescent="0.2">
      <c r="Y477886" s="5"/>
      <c r="AB477886" s="5"/>
      <c r="AE477886" s="5"/>
      <c r="AH477886" s="5"/>
      <c r="AK477886" s="5"/>
    </row>
    <row r="477896" spans="25:37" x14ac:dyDescent="0.2">
      <c r="Y477896" s="251"/>
      <c r="AB477896" s="251"/>
      <c r="AE477896" s="251"/>
      <c r="AH477896" s="251"/>
      <c r="AK477896" s="251"/>
    </row>
    <row r="478011" spans="25:37" x14ac:dyDescent="0.2">
      <c r="Y478011" s="5"/>
      <c r="AB478011" s="5"/>
      <c r="AE478011" s="5"/>
      <c r="AH478011" s="5"/>
      <c r="AK478011" s="5"/>
    </row>
    <row r="478021" spans="25:37" x14ac:dyDescent="0.2">
      <c r="Y478021" s="251"/>
      <c r="AB478021" s="251"/>
      <c r="AE478021" s="251"/>
      <c r="AH478021" s="251"/>
      <c r="AK478021" s="251"/>
    </row>
    <row r="478136" spans="25:37" x14ac:dyDescent="0.2">
      <c r="Y478136" s="5"/>
      <c r="AB478136" s="5"/>
      <c r="AE478136" s="5"/>
      <c r="AH478136" s="5"/>
      <c r="AK478136" s="5"/>
    </row>
    <row r="478146" spans="25:37" x14ac:dyDescent="0.2">
      <c r="Y478146" s="251"/>
      <c r="AB478146" s="251"/>
      <c r="AE478146" s="251"/>
      <c r="AH478146" s="251"/>
      <c r="AK478146" s="251"/>
    </row>
    <row r="478261" spans="25:37" x14ac:dyDescent="0.2">
      <c r="Y478261" s="5"/>
      <c r="AB478261" s="5"/>
      <c r="AE478261" s="5"/>
      <c r="AH478261" s="5"/>
      <c r="AK478261" s="5"/>
    </row>
    <row r="478271" spans="25:37" x14ac:dyDescent="0.2">
      <c r="Y478271" s="251"/>
      <c r="AB478271" s="251"/>
      <c r="AE478271" s="251"/>
      <c r="AH478271" s="251"/>
      <c r="AK478271" s="251"/>
    </row>
    <row r="478386" spans="25:37" x14ac:dyDescent="0.2">
      <c r="Y478386" s="5"/>
      <c r="AB478386" s="5"/>
      <c r="AE478386" s="5"/>
      <c r="AH478386" s="5"/>
      <c r="AK478386" s="5"/>
    </row>
    <row r="478396" spans="25:37" x14ac:dyDescent="0.2">
      <c r="Y478396" s="251"/>
      <c r="AB478396" s="251"/>
      <c r="AE478396" s="251"/>
      <c r="AH478396" s="251"/>
      <c r="AK478396" s="251"/>
    </row>
    <row r="478511" spans="25:37" x14ac:dyDescent="0.2">
      <c r="Y478511" s="5"/>
      <c r="AB478511" s="5"/>
      <c r="AE478511" s="5"/>
      <c r="AH478511" s="5"/>
      <c r="AK478511" s="5"/>
    </row>
    <row r="478521" spans="25:37" x14ac:dyDescent="0.2">
      <c r="Y478521" s="251"/>
      <c r="AB478521" s="251"/>
      <c r="AE478521" s="251"/>
      <c r="AH478521" s="251"/>
      <c r="AK478521" s="251"/>
    </row>
    <row r="478636" spans="25:37" x14ac:dyDescent="0.2">
      <c r="Y478636" s="5"/>
      <c r="AB478636" s="5"/>
      <c r="AE478636" s="5"/>
      <c r="AH478636" s="5"/>
      <c r="AK478636" s="5"/>
    </row>
    <row r="478646" spans="25:37" x14ac:dyDescent="0.2">
      <c r="Y478646" s="251"/>
      <c r="AB478646" s="251"/>
      <c r="AE478646" s="251"/>
      <c r="AH478646" s="251"/>
      <c r="AK478646" s="251"/>
    </row>
    <row r="478761" spans="25:37" x14ac:dyDescent="0.2">
      <c r="Y478761" s="5"/>
      <c r="AB478761" s="5"/>
      <c r="AE478761" s="5"/>
      <c r="AH478761" s="5"/>
      <c r="AK478761" s="5"/>
    </row>
    <row r="478771" spans="25:37" x14ac:dyDescent="0.2">
      <c r="Y478771" s="251"/>
      <c r="AB478771" s="251"/>
      <c r="AE478771" s="251"/>
      <c r="AH478771" s="251"/>
      <c r="AK478771" s="251"/>
    </row>
    <row r="478886" spans="25:37" x14ac:dyDescent="0.2">
      <c r="Y478886" s="5"/>
      <c r="AB478886" s="5"/>
      <c r="AE478886" s="5"/>
      <c r="AH478886" s="5"/>
      <c r="AK478886" s="5"/>
    </row>
    <row r="478896" spans="25:37" x14ac:dyDescent="0.2">
      <c r="Y478896" s="251"/>
      <c r="AB478896" s="251"/>
      <c r="AE478896" s="251"/>
      <c r="AH478896" s="251"/>
      <c r="AK478896" s="251"/>
    </row>
    <row r="479011" spans="25:37" x14ac:dyDescent="0.2">
      <c r="Y479011" s="5"/>
      <c r="AB479011" s="5"/>
      <c r="AE479011" s="5"/>
      <c r="AH479011" s="5"/>
      <c r="AK479011" s="5"/>
    </row>
    <row r="479021" spans="25:37" x14ac:dyDescent="0.2">
      <c r="Y479021" s="251"/>
      <c r="AB479021" s="251"/>
      <c r="AE479021" s="251"/>
      <c r="AH479021" s="251"/>
      <c r="AK479021" s="251"/>
    </row>
    <row r="479136" spans="25:37" x14ac:dyDescent="0.2">
      <c r="Y479136" s="5"/>
      <c r="AB479136" s="5"/>
      <c r="AE479136" s="5"/>
      <c r="AH479136" s="5"/>
      <c r="AK479136" s="5"/>
    </row>
    <row r="479146" spans="25:37" x14ac:dyDescent="0.2">
      <c r="Y479146" s="251"/>
      <c r="AB479146" s="251"/>
      <c r="AE479146" s="251"/>
      <c r="AH479146" s="251"/>
      <c r="AK479146" s="251"/>
    </row>
    <row r="479261" spans="25:37" x14ac:dyDescent="0.2">
      <c r="Y479261" s="5"/>
      <c r="AB479261" s="5"/>
      <c r="AE479261" s="5"/>
      <c r="AH479261" s="5"/>
      <c r="AK479261" s="5"/>
    </row>
    <row r="479271" spans="25:37" x14ac:dyDescent="0.2">
      <c r="Y479271" s="251"/>
      <c r="AB479271" s="251"/>
      <c r="AE479271" s="251"/>
      <c r="AH479271" s="251"/>
      <c r="AK479271" s="251"/>
    </row>
    <row r="479386" spans="25:37" x14ac:dyDescent="0.2">
      <c r="Y479386" s="5"/>
      <c r="AB479386" s="5"/>
      <c r="AE479386" s="5"/>
      <c r="AH479386" s="5"/>
      <c r="AK479386" s="5"/>
    </row>
    <row r="479396" spans="25:37" x14ac:dyDescent="0.2">
      <c r="Y479396" s="251"/>
      <c r="AB479396" s="251"/>
      <c r="AE479396" s="251"/>
      <c r="AH479396" s="251"/>
      <c r="AK479396" s="251"/>
    </row>
    <row r="479511" spans="25:37" x14ac:dyDescent="0.2">
      <c r="Y479511" s="5"/>
      <c r="AB479511" s="5"/>
      <c r="AE479511" s="5"/>
      <c r="AH479511" s="5"/>
      <c r="AK479511" s="5"/>
    </row>
    <row r="479521" spans="25:37" x14ac:dyDescent="0.2">
      <c r="Y479521" s="251"/>
      <c r="AB479521" s="251"/>
      <c r="AE479521" s="251"/>
      <c r="AH479521" s="251"/>
      <c r="AK479521" s="251"/>
    </row>
    <row r="479636" spans="25:37" x14ac:dyDescent="0.2">
      <c r="Y479636" s="5"/>
      <c r="AB479636" s="5"/>
      <c r="AE479636" s="5"/>
      <c r="AH479636" s="5"/>
      <c r="AK479636" s="5"/>
    </row>
    <row r="479646" spans="25:37" x14ac:dyDescent="0.2">
      <c r="Y479646" s="251"/>
      <c r="AB479646" s="251"/>
      <c r="AE479646" s="251"/>
      <c r="AH479646" s="251"/>
      <c r="AK479646" s="251"/>
    </row>
    <row r="479761" spans="25:37" x14ac:dyDescent="0.2">
      <c r="Y479761" s="5"/>
      <c r="AB479761" s="5"/>
      <c r="AE479761" s="5"/>
      <c r="AH479761" s="5"/>
      <c r="AK479761" s="5"/>
    </row>
    <row r="479771" spans="25:37" x14ac:dyDescent="0.2">
      <c r="Y479771" s="251"/>
      <c r="AB479771" s="251"/>
      <c r="AE479771" s="251"/>
      <c r="AH479771" s="251"/>
      <c r="AK479771" s="251"/>
    </row>
    <row r="479886" spans="25:37" x14ac:dyDescent="0.2">
      <c r="Y479886" s="5"/>
      <c r="AB479886" s="5"/>
      <c r="AE479886" s="5"/>
      <c r="AH479886" s="5"/>
      <c r="AK479886" s="5"/>
    </row>
    <row r="479896" spans="25:37" x14ac:dyDescent="0.2">
      <c r="Y479896" s="251"/>
      <c r="AB479896" s="251"/>
      <c r="AE479896" s="251"/>
      <c r="AH479896" s="251"/>
      <c r="AK479896" s="251"/>
    </row>
    <row r="480011" spans="25:37" x14ac:dyDescent="0.2">
      <c r="Y480011" s="5"/>
      <c r="AB480011" s="5"/>
      <c r="AE480011" s="5"/>
      <c r="AH480011" s="5"/>
      <c r="AK480011" s="5"/>
    </row>
    <row r="480021" spans="25:37" x14ac:dyDescent="0.2">
      <c r="Y480021" s="251"/>
      <c r="AB480021" s="251"/>
      <c r="AE480021" s="251"/>
      <c r="AH480021" s="251"/>
      <c r="AK480021" s="251"/>
    </row>
    <row r="480136" spans="25:37" x14ac:dyDescent="0.2">
      <c r="Y480136" s="5"/>
      <c r="AB480136" s="5"/>
      <c r="AE480136" s="5"/>
      <c r="AH480136" s="5"/>
      <c r="AK480136" s="5"/>
    </row>
    <row r="480146" spans="25:37" x14ac:dyDescent="0.2">
      <c r="Y480146" s="251"/>
      <c r="AB480146" s="251"/>
      <c r="AE480146" s="251"/>
      <c r="AH480146" s="251"/>
      <c r="AK480146" s="251"/>
    </row>
    <row r="480261" spans="25:37" x14ac:dyDescent="0.2">
      <c r="Y480261" s="5"/>
      <c r="AB480261" s="5"/>
      <c r="AE480261" s="5"/>
      <c r="AH480261" s="5"/>
      <c r="AK480261" s="5"/>
    </row>
    <row r="480271" spans="25:37" x14ac:dyDescent="0.2">
      <c r="Y480271" s="251"/>
      <c r="AB480271" s="251"/>
      <c r="AE480271" s="251"/>
      <c r="AH480271" s="251"/>
      <c r="AK480271" s="251"/>
    </row>
    <row r="480386" spans="25:37" x14ac:dyDescent="0.2">
      <c r="Y480386" s="5"/>
      <c r="AB480386" s="5"/>
      <c r="AE480386" s="5"/>
      <c r="AH480386" s="5"/>
      <c r="AK480386" s="5"/>
    </row>
    <row r="480396" spans="25:37" x14ac:dyDescent="0.2">
      <c r="Y480396" s="251"/>
      <c r="AB480396" s="251"/>
      <c r="AE480396" s="251"/>
      <c r="AH480396" s="251"/>
      <c r="AK480396" s="251"/>
    </row>
    <row r="480511" spans="25:37" x14ac:dyDescent="0.2">
      <c r="Y480511" s="5"/>
      <c r="AB480511" s="5"/>
      <c r="AE480511" s="5"/>
      <c r="AH480511" s="5"/>
      <c r="AK480511" s="5"/>
    </row>
    <row r="480521" spans="25:37" x14ac:dyDescent="0.2">
      <c r="Y480521" s="251"/>
      <c r="AB480521" s="251"/>
      <c r="AE480521" s="251"/>
      <c r="AH480521" s="251"/>
      <c r="AK480521" s="251"/>
    </row>
    <row r="480636" spans="25:37" x14ac:dyDescent="0.2">
      <c r="Y480636" s="5"/>
      <c r="AB480636" s="5"/>
      <c r="AE480636" s="5"/>
      <c r="AH480636" s="5"/>
      <c r="AK480636" s="5"/>
    </row>
    <row r="480646" spans="25:37" x14ac:dyDescent="0.2">
      <c r="Y480646" s="251"/>
      <c r="AB480646" s="251"/>
      <c r="AE480646" s="251"/>
      <c r="AH480646" s="251"/>
      <c r="AK480646" s="251"/>
    </row>
    <row r="480761" spans="25:37" x14ac:dyDescent="0.2">
      <c r="Y480761" s="5"/>
      <c r="AB480761" s="5"/>
      <c r="AE480761" s="5"/>
      <c r="AH480761" s="5"/>
      <c r="AK480761" s="5"/>
    </row>
    <row r="480771" spans="25:37" x14ac:dyDescent="0.2">
      <c r="Y480771" s="251"/>
      <c r="AB480771" s="251"/>
      <c r="AE480771" s="251"/>
      <c r="AH480771" s="251"/>
      <c r="AK480771" s="251"/>
    </row>
    <row r="480886" spans="25:37" x14ac:dyDescent="0.2">
      <c r="Y480886" s="5"/>
      <c r="AB480886" s="5"/>
      <c r="AE480886" s="5"/>
      <c r="AH480886" s="5"/>
      <c r="AK480886" s="5"/>
    </row>
    <row r="480896" spans="25:37" x14ac:dyDescent="0.2">
      <c r="Y480896" s="251"/>
      <c r="AB480896" s="251"/>
      <c r="AE480896" s="251"/>
      <c r="AH480896" s="251"/>
      <c r="AK480896" s="251"/>
    </row>
    <row r="481011" spans="25:37" x14ac:dyDescent="0.2">
      <c r="Y481011" s="5"/>
      <c r="AB481011" s="5"/>
      <c r="AE481011" s="5"/>
      <c r="AH481011" s="5"/>
      <c r="AK481011" s="5"/>
    </row>
    <row r="481021" spans="25:37" x14ac:dyDescent="0.2">
      <c r="Y481021" s="251"/>
      <c r="AB481021" s="251"/>
      <c r="AE481021" s="251"/>
      <c r="AH481021" s="251"/>
      <c r="AK481021" s="251"/>
    </row>
    <row r="481136" spans="25:37" x14ac:dyDescent="0.2">
      <c r="Y481136" s="5"/>
      <c r="AB481136" s="5"/>
      <c r="AE481136" s="5"/>
      <c r="AH481136" s="5"/>
      <c r="AK481136" s="5"/>
    </row>
    <row r="481146" spans="25:37" x14ac:dyDescent="0.2">
      <c r="Y481146" s="251"/>
      <c r="AB481146" s="251"/>
      <c r="AE481146" s="251"/>
      <c r="AH481146" s="251"/>
      <c r="AK481146" s="251"/>
    </row>
    <row r="481261" spans="25:37" x14ac:dyDescent="0.2">
      <c r="Y481261" s="5"/>
      <c r="AB481261" s="5"/>
      <c r="AE481261" s="5"/>
      <c r="AH481261" s="5"/>
      <c r="AK481261" s="5"/>
    </row>
    <row r="481271" spans="25:37" x14ac:dyDescent="0.2">
      <c r="Y481271" s="251"/>
      <c r="AB481271" s="251"/>
      <c r="AE481271" s="251"/>
      <c r="AH481271" s="251"/>
      <c r="AK481271" s="251"/>
    </row>
    <row r="481386" spans="25:37" x14ac:dyDescent="0.2">
      <c r="Y481386" s="5"/>
      <c r="AB481386" s="5"/>
      <c r="AE481386" s="5"/>
      <c r="AH481386" s="5"/>
      <c r="AK481386" s="5"/>
    </row>
    <row r="481396" spans="25:37" x14ac:dyDescent="0.2">
      <c r="Y481396" s="251"/>
      <c r="AB481396" s="251"/>
      <c r="AE481396" s="251"/>
      <c r="AH481396" s="251"/>
      <c r="AK481396" s="251"/>
    </row>
    <row r="481511" spans="25:37" x14ac:dyDescent="0.2">
      <c r="Y481511" s="5"/>
      <c r="AB481511" s="5"/>
      <c r="AE481511" s="5"/>
      <c r="AH481511" s="5"/>
      <c r="AK481511" s="5"/>
    </row>
    <row r="481521" spans="25:37" x14ac:dyDescent="0.2">
      <c r="Y481521" s="251"/>
      <c r="AB481521" s="251"/>
      <c r="AE481521" s="251"/>
      <c r="AH481521" s="251"/>
      <c r="AK481521" s="251"/>
    </row>
    <row r="481636" spans="25:37" x14ac:dyDescent="0.2">
      <c r="Y481636" s="5"/>
      <c r="AB481636" s="5"/>
      <c r="AE481636" s="5"/>
      <c r="AH481636" s="5"/>
      <c r="AK481636" s="5"/>
    </row>
    <row r="481646" spans="25:37" x14ac:dyDescent="0.2">
      <c r="Y481646" s="251"/>
      <c r="AB481646" s="251"/>
      <c r="AE481646" s="251"/>
      <c r="AH481646" s="251"/>
      <c r="AK481646" s="251"/>
    </row>
    <row r="481761" spans="25:37" x14ac:dyDescent="0.2">
      <c r="Y481761" s="5"/>
      <c r="AB481761" s="5"/>
      <c r="AE481761" s="5"/>
      <c r="AH481761" s="5"/>
      <c r="AK481761" s="5"/>
    </row>
    <row r="481771" spans="25:37" x14ac:dyDescent="0.2">
      <c r="Y481771" s="251"/>
      <c r="AB481771" s="251"/>
      <c r="AE481771" s="251"/>
      <c r="AH481771" s="251"/>
      <c r="AK481771" s="251"/>
    </row>
    <row r="481886" spans="25:37" x14ac:dyDescent="0.2">
      <c r="Y481886" s="5"/>
      <c r="AB481886" s="5"/>
      <c r="AE481886" s="5"/>
      <c r="AH481886" s="5"/>
      <c r="AK481886" s="5"/>
    </row>
    <row r="481896" spans="25:37" x14ac:dyDescent="0.2">
      <c r="Y481896" s="251"/>
      <c r="AB481896" s="251"/>
      <c r="AE481896" s="251"/>
      <c r="AH481896" s="251"/>
      <c r="AK481896" s="251"/>
    </row>
    <row r="482011" spans="25:37" x14ac:dyDescent="0.2">
      <c r="Y482011" s="5"/>
      <c r="AB482011" s="5"/>
      <c r="AE482011" s="5"/>
      <c r="AH482011" s="5"/>
      <c r="AK482011" s="5"/>
    </row>
    <row r="482021" spans="25:37" x14ac:dyDescent="0.2">
      <c r="Y482021" s="251"/>
      <c r="AB482021" s="251"/>
      <c r="AE482021" s="251"/>
      <c r="AH482021" s="251"/>
      <c r="AK482021" s="251"/>
    </row>
    <row r="482136" spans="25:37" x14ac:dyDescent="0.2">
      <c r="Y482136" s="5"/>
      <c r="AB482136" s="5"/>
      <c r="AE482136" s="5"/>
      <c r="AH482136" s="5"/>
      <c r="AK482136" s="5"/>
    </row>
    <row r="482146" spans="25:37" x14ac:dyDescent="0.2">
      <c r="Y482146" s="251"/>
      <c r="AB482146" s="251"/>
      <c r="AE482146" s="251"/>
      <c r="AH482146" s="251"/>
      <c r="AK482146" s="251"/>
    </row>
    <row r="482261" spans="25:37" x14ac:dyDescent="0.2">
      <c r="Y482261" s="5"/>
      <c r="AB482261" s="5"/>
      <c r="AE482261" s="5"/>
      <c r="AH482261" s="5"/>
      <c r="AK482261" s="5"/>
    </row>
    <row r="482271" spans="25:37" x14ac:dyDescent="0.2">
      <c r="Y482271" s="251"/>
      <c r="AB482271" s="251"/>
      <c r="AE482271" s="251"/>
      <c r="AH482271" s="251"/>
      <c r="AK482271" s="251"/>
    </row>
    <row r="482386" spans="25:37" x14ac:dyDescent="0.2">
      <c r="Y482386" s="5"/>
      <c r="AB482386" s="5"/>
      <c r="AE482386" s="5"/>
      <c r="AH482386" s="5"/>
      <c r="AK482386" s="5"/>
    </row>
    <row r="482396" spans="25:37" x14ac:dyDescent="0.2">
      <c r="Y482396" s="251"/>
      <c r="AB482396" s="251"/>
      <c r="AE482396" s="251"/>
      <c r="AH482396" s="251"/>
      <c r="AK482396" s="251"/>
    </row>
    <row r="482511" spans="25:37" x14ac:dyDescent="0.2">
      <c r="Y482511" s="5"/>
      <c r="AB482511" s="5"/>
      <c r="AE482511" s="5"/>
      <c r="AH482511" s="5"/>
      <c r="AK482511" s="5"/>
    </row>
    <row r="482521" spans="25:37" x14ac:dyDescent="0.2">
      <c r="Y482521" s="251"/>
      <c r="AB482521" s="251"/>
      <c r="AE482521" s="251"/>
      <c r="AH482521" s="251"/>
      <c r="AK482521" s="251"/>
    </row>
    <row r="482636" spans="25:37" x14ac:dyDescent="0.2">
      <c r="Y482636" s="5"/>
      <c r="AB482636" s="5"/>
      <c r="AE482636" s="5"/>
      <c r="AH482636" s="5"/>
      <c r="AK482636" s="5"/>
    </row>
    <row r="482646" spans="25:37" x14ac:dyDescent="0.2">
      <c r="Y482646" s="251"/>
      <c r="AB482646" s="251"/>
      <c r="AE482646" s="251"/>
      <c r="AH482646" s="251"/>
      <c r="AK482646" s="251"/>
    </row>
    <row r="482761" spans="25:37" x14ac:dyDescent="0.2">
      <c r="Y482761" s="5"/>
      <c r="AB482761" s="5"/>
      <c r="AE482761" s="5"/>
      <c r="AH482761" s="5"/>
      <c r="AK482761" s="5"/>
    </row>
    <row r="482771" spans="25:37" x14ac:dyDescent="0.2">
      <c r="Y482771" s="251"/>
      <c r="AB482771" s="251"/>
      <c r="AE482771" s="251"/>
      <c r="AH482771" s="251"/>
      <c r="AK482771" s="251"/>
    </row>
    <row r="482886" spans="25:37" x14ac:dyDescent="0.2">
      <c r="Y482886" s="5"/>
      <c r="AB482886" s="5"/>
      <c r="AE482886" s="5"/>
      <c r="AH482886" s="5"/>
      <c r="AK482886" s="5"/>
    </row>
    <row r="482896" spans="25:37" x14ac:dyDescent="0.2">
      <c r="Y482896" s="251"/>
      <c r="AB482896" s="251"/>
      <c r="AE482896" s="251"/>
      <c r="AH482896" s="251"/>
      <c r="AK482896" s="251"/>
    </row>
    <row r="483011" spans="25:37" x14ac:dyDescent="0.2">
      <c r="Y483011" s="5"/>
      <c r="AB483011" s="5"/>
      <c r="AE483011" s="5"/>
      <c r="AH483011" s="5"/>
      <c r="AK483011" s="5"/>
    </row>
    <row r="483021" spans="25:37" x14ac:dyDescent="0.2">
      <c r="Y483021" s="251"/>
      <c r="AB483021" s="251"/>
      <c r="AE483021" s="251"/>
      <c r="AH483021" s="251"/>
      <c r="AK483021" s="251"/>
    </row>
    <row r="483136" spans="25:37" x14ac:dyDescent="0.2">
      <c r="Y483136" s="5"/>
      <c r="AB483136" s="5"/>
      <c r="AE483136" s="5"/>
      <c r="AH483136" s="5"/>
      <c r="AK483136" s="5"/>
    </row>
    <row r="483146" spans="25:37" x14ac:dyDescent="0.2">
      <c r="Y483146" s="251"/>
      <c r="AB483146" s="251"/>
      <c r="AE483146" s="251"/>
      <c r="AH483146" s="251"/>
      <c r="AK483146" s="251"/>
    </row>
    <row r="483261" spans="25:37" x14ac:dyDescent="0.2">
      <c r="Y483261" s="5"/>
      <c r="AB483261" s="5"/>
      <c r="AE483261" s="5"/>
      <c r="AH483261" s="5"/>
      <c r="AK483261" s="5"/>
    </row>
    <row r="483271" spans="25:37" x14ac:dyDescent="0.2">
      <c r="Y483271" s="251"/>
      <c r="AB483271" s="251"/>
      <c r="AE483271" s="251"/>
      <c r="AH483271" s="251"/>
      <c r="AK483271" s="251"/>
    </row>
    <row r="483386" spans="25:37" x14ac:dyDescent="0.2">
      <c r="Y483386" s="5"/>
      <c r="AB483386" s="5"/>
      <c r="AE483386" s="5"/>
      <c r="AH483386" s="5"/>
      <c r="AK483386" s="5"/>
    </row>
    <row r="483396" spans="25:37" x14ac:dyDescent="0.2">
      <c r="Y483396" s="251"/>
      <c r="AB483396" s="251"/>
      <c r="AE483396" s="251"/>
      <c r="AH483396" s="251"/>
      <c r="AK483396" s="251"/>
    </row>
    <row r="483511" spans="25:37" x14ac:dyDescent="0.2">
      <c r="Y483511" s="5"/>
      <c r="AB483511" s="5"/>
      <c r="AE483511" s="5"/>
      <c r="AH483511" s="5"/>
      <c r="AK483511" s="5"/>
    </row>
    <row r="483521" spans="25:37" x14ac:dyDescent="0.2">
      <c r="Y483521" s="251"/>
      <c r="AB483521" s="251"/>
      <c r="AE483521" s="251"/>
      <c r="AH483521" s="251"/>
      <c r="AK483521" s="251"/>
    </row>
    <row r="483636" spans="25:37" x14ac:dyDescent="0.2">
      <c r="Y483636" s="5"/>
      <c r="AB483636" s="5"/>
      <c r="AE483636" s="5"/>
      <c r="AH483636" s="5"/>
      <c r="AK483636" s="5"/>
    </row>
    <row r="483646" spans="25:37" x14ac:dyDescent="0.2">
      <c r="Y483646" s="251"/>
      <c r="AB483646" s="251"/>
      <c r="AE483646" s="251"/>
      <c r="AH483646" s="251"/>
      <c r="AK483646" s="251"/>
    </row>
    <row r="483761" spans="25:37" x14ac:dyDescent="0.2">
      <c r="Y483761" s="5"/>
      <c r="AB483761" s="5"/>
      <c r="AE483761" s="5"/>
      <c r="AH483761" s="5"/>
      <c r="AK483761" s="5"/>
    </row>
    <row r="483771" spans="25:37" x14ac:dyDescent="0.2">
      <c r="Y483771" s="251"/>
      <c r="AB483771" s="251"/>
      <c r="AE483771" s="251"/>
      <c r="AH483771" s="251"/>
      <c r="AK483771" s="251"/>
    </row>
    <row r="483886" spans="25:37" x14ac:dyDescent="0.2">
      <c r="Y483886" s="5"/>
      <c r="AB483886" s="5"/>
      <c r="AE483886" s="5"/>
      <c r="AH483886" s="5"/>
      <c r="AK483886" s="5"/>
    </row>
    <row r="483896" spans="25:37" x14ac:dyDescent="0.2">
      <c r="Y483896" s="251"/>
      <c r="AB483896" s="251"/>
      <c r="AE483896" s="251"/>
      <c r="AH483896" s="251"/>
      <c r="AK483896" s="251"/>
    </row>
    <row r="484011" spans="25:37" x14ac:dyDescent="0.2">
      <c r="Y484011" s="5"/>
      <c r="AB484011" s="5"/>
      <c r="AE484011" s="5"/>
      <c r="AH484011" s="5"/>
      <c r="AK484011" s="5"/>
    </row>
    <row r="484021" spans="25:37" x14ac:dyDescent="0.2">
      <c r="Y484021" s="251"/>
      <c r="AB484021" s="251"/>
      <c r="AE484021" s="251"/>
      <c r="AH484021" s="251"/>
      <c r="AK484021" s="251"/>
    </row>
    <row r="484136" spans="25:37" x14ac:dyDescent="0.2">
      <c r="Y484136" s="5"/>
      <c r="AB484136" s="5"/>
      <c r="AE484136" s="5"/>
      <c r="AH484136" s="5"/>
      <c r="AK484136" s="5"/>
    </row>
    <row r="484146" spans="25:37" x14ac:dyDescent="0.2">
      <c r="Y484146" s="251"/>
      <c r="AB484146" s="251"/>
      <c r="AE484146" s="251"/>
      <c r="AH484146" s="251"/>
      <c r="AK484146" s="251"/>
    </row>
    <row r="484261" spans="25:37" x14ac:dyDescent="0.2">
      <c r="Y484261" s="5"/>
      <c r="AB484261" s="5"/>
      <c r="AE484261" s="5"/>
      <c r="AH484261" s="5"/>
      <c r="AK484261" s="5"/>
    </row>
    <row r="484271" spans="25:37" x14ac:dyDescent="0.2">
      <c r="Y484271" s="251"/>
      <c r="AB484271" s="251"/>
      <c r="AE484271" s="251"/>
      <c r="AH484271" s="251"/>
      <c r="AK484271" s="251"/>
    </row>
    <row r="484386" spans="25:37" x14ac:dyDescent="0.2">
      <c r="Y484386" s="5"/>
      <c r="AB484386" s="5"/>
      <c r="AE484386" s="5"/>
      <c r="AH484386" s="5"/>
      <c r="AK484386" s="5"/>
    </row>
    <row r="484396" spans="25:37" x14ac:dyDescent="0.2">
      <c r="Y484396" s="251"/>
      <c r="AB484396" s="251"/>
      <c r="AE484396" s="251"/>
      <c r="AH484396" s="251"/>
      <c r="AK484396" s="251"/>
    </row>
    <row r="484511" spans="25:37" x14ac:dyDescent="0.2">
      <c r="Y484511" s="5"/>
      <c r="AB484511" s="5"/>
      <c r="AE484511" s="5"/>
      <c r="AH484511" s="5"/>
      <c r="AK484511" s="5"/>
    </row>
    <row r="484521" spans="25:37" x14ac:dyDescent="0.2">
      <c r="Y484521" s="251"/>
      <c r="AB484521" s="251"/>
      <c r="AE484521" s="251"/>
      <c r="AH484521" s="251"/>
      <c r="AK484521" s="251"/>
    </row>
    <row r="484636" spans="25:37" x14ac:dyDescent="0.2">
      <c r="Y484636" s="5"/>
      <c r="AB484636" s="5"/>
      <c r="AE484636" s="5"/>
      <c r="AH484636" s="5"/>
      <c r="AK484636" s="5"/>
    </row>
    <row r="484646" spans="25:37" x14ac:dyDescent="0.2">
      <c r="Y484646" s="251"/>
      <c r="AB484646" s="251"/>
      <c r="AE484646" s="251"/>
      <c r="AH484646" s="251"/>
      <c r="AK484646" s="251"/>
    </row>
    <row r="484761" spans="25:37" x14ac:dyDescent="0.2">
      <c r="Y484761" s="5"/>
      <c r="AB484761" s="5"/>
      <c r="AE484761" s="5"/>
      <c r="AH484761" s="5"/>
      <c r="AK484761" s="5"/>
    </row>
    <row r="484771" spans="25:37" x14ac:dyDescent="0.2">
      <c r="Y484771" s="251"/>
      <c r="AB484771" s="251"/>
      <c r="AE484771" s="251"/>
      <c r="AH484771" s="251"/>
      <c r="AK484771" s="251"/>
    </row>
    <row r="484886" spans="25:37" x14ac:dyDescent="0.2">
      <c r="Y484886" s="5"/>
      <c r="AB484886" s="5"/>
      <c r="AE484886" s="5"/>
      <c r="AH484886" s="5"/>
      <c r="AK484886" s="5"/>
    </row>
    <row r="484896" spans="25:37" x14ac:dyDescent="0.2">
      <c r="Y484896" s="251"/>
      <c r="AB484896" s="251"/>
      <c r="AE484896" s="251"/>
      <c r="AH484896" s="251"/>
      <c r="AK484896" s="251"/>
    </row>
    <row r="485011" spans="25:37" x14ac:dyDescent="0.2">
      <c r="Y485011" s="5"/>
      <c r="AB485011" s="5"/>
      <c r="AE485011" s="5"/>
      <c r="AH485011" s="5"/>
      <c r="AK485011" s="5"/>
    </row>
    <row r="485021" spans="25:37" x14ac:dyDescent="0.2">
      <c r="Y485021" s="251"/>
      <c r="AB485021" s="251"/>
      <c r="AE485021" s="251"/>
      <c r="AH485021" s="251"/>
      <c r="AK485021" s="251"/>
    </row>
    <row r="485136" spans="25:37" x14ac:dyDescent="0.2">
      <c r="Y485136" s="5"/>
      <c r="AB485136" s="5"/>
      <c r="AE485136" s="5"/>
      <c r="AH485136" s="5"/>
      <c r="AK485136" s="5"/>
    </row>
    <row r="485146" spans="25:37" x14ac:dyDescent="0.2">
      <c r="Y485146" s="251"/>
      <c r="AB485146" s="251"/>
      <c r="AE485146" s="251"/>
      <c r="AH485146" s="251"/>
      <c r="AK485146" s="251"/>
    </row>
    <row r="485261" spans="25:37" x14ac:dyDescent="0.2">
      <c r="Y485261" s="5"/>
      <c r="AB485261" s="5"/>
      <c r="AE485261" s="5"/>
      <c r="AH485261" s="5"/>
      <c r="AK485261" s="5"/>
    </row>
    <row r="485271" spans="25:37" x14ac:dyDescent="0.2">
      <c r="Y485271" s="251"/>
      <c r="AB485271" s="251"/>
      <c r="AE485271" s="251"/>
      <c r="AH485271" s="251"/>
      <c r="AK485271" s="251"/>
    </row>
    <row r="485386" spans="25:37" x14ac:dyDescent="0.2">
      <c r="Y485386" s="5"/>
      <c r="AB485386" s="5"/>
      <c r="AE485386" s="5"/>
      <c r="AH485386" s="5"/>
      <c r="AK485386" s="5"/>
    </row>
    <row r="485396" spans="25:37" x14ac:dyDescent="0.2">
      <c r="Y485396" s="251"/>
      <c r="AB485396" s="251"/>
      <c r="AE485396" s="251"/>
      <c r="AH485396" s="251"/>
      <c r="AK485396" s="251"/>
    </row>
    <row r="485511" spans="25:37" x14ac:dyDescent="0.2">
      <c r="Y485511" s="5"/>
      <c r="AB485511" s="5"/>
      <c r="AE485511" s="5"/>
      <c r="AH485511" s="5"/>
      <c r="AK485511" s="5"/>
    </row>
    <row r="485521" spans="25:37" x14ac:dyDescent="0.2">
      <c r="Y485521" s="251"/>
      <c r="AB485521" s="251"/>
      <c r="AE485521" s="251"/>
      <c r="AH485521" s="251"/>
      <c r="AK485521" s="251"/>
    </row>
    <row r="485636" spans="25:37" x14ac:dyDescent="0.2">
      <c r="Y485636" s="5"/>
      <c r="AB485636" s="5"/>
      <c r="AE485636" s="5"/>
      <c r="AH485636" s="5"/>
      <c r="AK485636" s="5"/>
    </row>
    <row r="485646" spans="25:37" x14ac:dyDescent="0.2">
      <c r="Y485646" s="251"/>
      <c r="AB485646" s="251"/>
      <c r="AE485646" s="251"/>
      <c r="AH485646" s="251"/>
      <c r="AK485646" s="251"/>
    </row>
    <row r="485761" spans="25:37" x14ac:dyDescent="0.2">
      <c r="Y485761" s="5"/>
      <c r="AB485761" s="5"/>
      <c r="AE485761" s="5"/>
      <c r="AH485761" s="5"/>
      <c r="AK485761" s="5"/>
    </row>
    <row r="485771" spans="25:37" x14ac:dyDescent="0.2">
      <c r="Y485771" s="251"/>
      <c r="AB485771" s="251"/>
      <c r="AE485771" s="251"/>
      <c r="AH485771" s="251"/>
      <c r="AK485771" s="251"/>
    </row>
    <row r="485886" spans="25:37" x14ac:dyDescent="0.2">
      <c r="Y485886" s="5"/>
      <c r="AB485886" s="5"/>
      <c r="AE485886" s="5"/>
      <c r="AH485886" s="5"/>
      <c r="AK485886" s="5"/>
    </row>
    <row r="485896" spans="25:37" x14ac:dyDescent="0.2">
      <c r="Y485896" s="251"/>
      <c r="AB485896" s="251"/>
      <c r="AE485896" s="251"/>
      <c r="AH485896" s="251"/>
      <c r="AK485896" s="251"/>
    </row>
    <row r="486011" spans="25:37" x14ac:dyDescent="0.2">
      <c r="Y486011" s="5"/>
      <c r="AB486011" s="5"/>
      <c r="AE486011" s="5"/>
      <c r="AH486011" s="5"/>
      <c r="AK486011" s="5"/>
    </row>
    <row r="486021" spans="25:37" x14ac:dyDescent="0.2">
      <c r="Y486021" s="251"/>
      <c r="AB486021" s="251"/>
      <c r="AE486021" s="251"/>
      <c r="AH486021" s="251"/>
      <c r="AK486021" s="251"/>
    </row>
    <row r="486136" spans="25:37" x14ac:dyDescent="0.2">
      <c r="Y486136" s="5"/>
      <c r="AB486136" s="5"/>
      <c r="AE486136" s="5"/>
      <c r="AH486136" s="5"/>
      <c r="AK486136" s="5"/>
    </row>
    <row r="486146" spans="25:37" x14ac:dyDescent="0.2">
      <c r="Y486146" s="251"/>
      <c r="AB486146" s="251"/>
      <c r="AE486146" s="251"/>
      <c r="AH486146" s="251"/>
      <c r="AK486146" s="251"/>
    </row>
    <row r="486261" spans="25:37" x14ac:dyDescent="0.2">
      <c r="Y486261" s="5"/>
      <c r="AB486261" s="5"/>
      <c r="AE486261" s="5"/>
      <c r="AH486261" s="5"/>
      <c r="AK486261" s="5"/>
    </row>
    <row r="486271" spans="25:37" x14ac:dyDescent="0.2">
      <c r="Y486271" s="251"/>
      <c r="AB486271" s="251"/>
      <c r="AE486271" s="251"/>
      <c r="AH486271" s="251"/>
      <c r="AK486271" s="251"/>
    </row>
    <row r="486386" spans="25:37" x14ac:dyDescent="0.2">
      <c r="Y486386" s="5"/>
      <c r="AB486386" s="5"/>
      <c r="AE486386" s="5"/>
      <c r="AH486386" s="5"/>
      <c r="AK486386" s="5"/>
    </row>
    <row r="486396" spans="25:37" x14ac:dyDescent="0.2">
      <c r="Y486396" s="251"/>
      <c r="AB486396" s="251"/>
      <c r="AE486396" s="251"/>
      <c r="AH486396" s="251"/>
      <c r="AK486396" s="251"/>
    </row>
    <row r="486511" spans="25:37" x14ac:dyDescent="0.2">
      <c r="Y486511" s="5"/>
      <c r="AB486511" s="5"/>
      <c r="AE486511" s="5"/>
      <c r="AH486511" s="5"/>
      <c r="AK486511" s="5"/>
    </row>
    <row r="486521" spans="25:37" x14ac:dyDescent="0.2">
      <c r="Y486521" s="251"/>
      <c r="AB486521" s="251"/>
      <c r="AE486521" s="251"/>
      <c r="AH486521" s="251"/>
      <c r="AK486521" s="251"/>
    </row>
    <row r="486636" spans="25:37" x14ac:dyDescent="0.2">
      <c r="Y486636" s="5"/>
      <c r="AB486636" s="5"/>
      <c r="AE486636" s="5"/>
      <c r="AH486636" s="5"/>
      <c r="AK486636" s="5"/>
    </row>
    <row r="486646" spans="25:37" x14ac:dyDescent="0.2">
      <c r="Y486646" s="251"/>
      <c r="AB486646" s="251"/>
      <c r="AE486646" s="251"/>
      <c r="AH486646" s="251"/>
      <c r="AK486646" s="251"/>
    </row>
    <row r="486761" spans="25:37" x14ac:dyDescent="0.2">
      <c r="Y486761" s="5"/>
      <c r="AB486761" s="5"/>
      <c r="AE486761" s="5"/>
      <c r="AH486761" s="5"/>
      <c r="AK486761" s="5"/>
    </row>
    <row r="486771" spans="25:37" x14ac:dyDescent="0.2">
      <c r="Y486771" s="251"/>
      <c r="AB486771" s="251"/>
      <c r="AE486771" s="251"/>
      <c r="AH486771" s="251"/>
      <c r="AK486771" s="251"/>
    </row>
    <row r="486886" spans="25:37" x14ac:dyDescent="0.2">
      <c r="Y486886" s="5"/>
      <c r="AB486886" s="5"/>
      <c r="AE486886" s="5"/>
      <c r="AH486886" s="5"/>
      <c r="AK486886" s="5"/>
    </row>
    <row r="486896" spans="25:37" x14ac:dyDescent="0.2">
      <c r="Y486896" s="251"/>
      <c r="AB486896" s="251"/>
      <c r="AE486896" s="251"/>
      <c r="AH486896" s="251"/>
      <c r="AK486896" s="251"/>
    </row>
    <row r="487011" spans="25:37" x14ac:dyDescent="0.2">
      <c r="Y487011" s="5"/>
      <c r="AB487011" s="5"/>
      <c r="AE487011" s="5"/>
      <c r="AH487011" s="5"/>
      <c r="AK487011" s="5"/>
    </row>
    <row r="487021" spans="25:37" x14ac:dyDescent="0.2">
      <c r="Y487021" s="251"/>
      <c r="AB487021" s="251"/>
      <c r="AE487021" s="251"/>
      <c r="AH487021" s="251"/>
      <c r="AK487021" s="251"/>
    </row>
    <row r="487136" spans="25:37" x14ac:dyDescent="0.2">
      <c r="Y487136" s="5"/>
      <c r="AB487136" s="5"/>
      <c r="AE487136" s="5"/>
      <c r="AH487136" s="5"/>
      <c r="AK487136" s="5"/>
    </row>
    <row r="487146" spans="25:37" x14ac:dyDescent="0.2">
      <c r="Y487146" s="251"/>
      <c r="AB487146" s="251"/>
      <c r="AE487146" s="251"/>
      <c r="AH487146" s="251"/>
      <c r="AK487146" s="251"/>
    </row>
    <row r="487261" spans="25:37" x14ac:dyDescent="0.2">
      <c r="Y487261" s="5"/>
      <c r="AB487261" s="5"/>
      <c r="AE487261" s="5"/>
      <c r="AH487261" s="5"/>
      <c r="AK487261" s="5"/>
    </row>
    <row r="487271" spans="25:37" x14ac:dyDescent="0.2">
      <c r="Y487271" s="251"/>
      <c r="AB487271" s="251"/>
      <c r="AE487271" s="251"/>
      <c r="AH487271" s="251"/>
      <c r="AK487271" s="251"/>
    </row>
    <row r="487386" spans="25:37" x14ac:dyDescent="0.2">
      <c r="Y487386" s="5"/>
      <c r="AB487386" s="5"/>
      <c r="AE487386" s="5"/>
      <c r="AH487386" s="5"/>
      <c r="AK487386" s="5"/>
    </row>
    <row r="487396" spans="25:37" x14ac:dyDescent="0.2">
      <c r="Y487396" s="251"/>
      <c r="AB487396" s="251"/>
      <c r="AE487396" s="251"/>
      <c r="AH487396" s="251"/>
      <c r="AK487396" s="251"/>
    </row>
    <row r="487511" spans="25:37" x14ac:dyDescent="0.2">
      <c r="Y487511" s="5"/>
      <c r="AB487511" s="5"/>
      <c r="AE487511" s="5"/>
      <c r="AH487511" s="5"/>
      <c r="AK487511" s="5"/>
    </row>
    <row r="487521" spans="25:37" x14ac:dyDescent="0.2">
      <c r="Y487521" s="251"/>
      <c r="AB487521" s="251"/>
      <c r="AE487521" s="251"/>
      <c r="AH487521" s="251"/>
      <c r="AK487521" s="251"/>
    </row>
    <row r="487636" spans="25:37" x14ac:dyDescent="0.2">
      <c r="Y487636" s="5"/>
      <c r="AB487636" s="5"/>
      <c r="AE487636" s="5"/>
      <c r="AH487636" s="5"/>
      <c r="AK487636" s="5"/>
    </row>
    <row r="487646" spans="25:37" x14ac:dyDescent="0.2">
      <c r="Y487646" s="251"/>
      <c r="AB487646" s="251"/>
      <c r="AE487646" s="251"/>
      <c r="AH487646" s="251"/>
      <c r="AK487646" s="251"/>
    </row>
    <row r="487761" spans="25:37" x14ac:dyDescent="0.2">
      <c r="Y487761" s="5"/>
      <c r="AB487761" s="5"/>
      <c r="AE487761" s="5"/>
      <c r="AH487761" s="5"/>
      <c r="AK487761" s="5"/>
    </row>
    <row r="487771" spans="25:37" x14ac:dyDescent="0.2">
      <c r="Y487771" s="251"/>
      <c r="AB487771" s="251"/>
      <c r="AE487771" s="251"/>
      <c r="AH487771" s="251"/>
      <c r="AK487771" s="251"/>
    </row>
    <row r="487886" spans="25:37" x14ac:dyDescent="0.2">
      <c r="Y487886" s="5"/>
      <c r="AB487886" s="5"/>
      <c r="AE487886" s="5"/>
      <c r="AH487886" s="5"/>
      <c r="AK487886" s="5"/>
    </row>
    <row r="487896" spans="25:37" x14ac:dyDescent="0.2">
      <c r="Y487896" s="251"/>
      <c r="AB487896" s="251"/>
      <c r="AE487896" s="251"/>
      <c r="AH487896" s="251"/>
      <c r="AK487896" s="251"/>
    </row>
    <row r="488011" spans="25:37" x14ac:dyDescent="0.2">
      <c r="Y488011" s="5"/>
      <c r="AB488011" s="5"/>
      <c r="AE488011" s="5"/>
      <c r="AH488011" s="5"/>
      <c r="AK488011" s="5"/>
    </row>
    <row r="488021" spans="25:37" x14ac:dyDescent="0.2">
      <c r="Y488021" s="251"/>
      <c r="AB488021" s="251"/>
      <c r="AE488021" s="251"/>
      <c r="AH488021" s="251"/>
      <c r="AK488021" s="251"/>
    </row>
    <row r="488136" spans="25:37" x14ac:dyDescent="0.2">
      <c r="Y488136" s="5"/>
      <c r="AB488136" s="5"/>
      <c r="AE488136" s="5"/>
      <c r="AH488136" s="5"/>
      <c r="AK488136" s="5"/>
    </row>
    <row r="488146" spans="25:37" x14ac:dyDescent="0.2">
      <c r="Y488146" s="251"/>
      <c r="AB488146" s="251"/>
      <c r="AE488146" s="251"/>
      <c r="AH488146" s="251"/>
      <c r="AK488146" s="251"/>
    </row>
    <row r="488261" spans="25:37" x14ac:dyDescent="0.2">
      <c r="Y488261" s="5"/>
      <c r="AB488261" s="5"/>
      <c r="AE488261" s="5"/>
      <c r="AH488261" s="5"/>
      <c r="AK488261" s="5"/>
    </row>
    <row r="488271" spans="25:37" x14ac:dyDescent="0.2">
      <c r="Y488271" s="251"/>
      <c r="AB488271" s="251"/>
      <c r="AE488271" s="251"/>
      <c r="AH488271" s="251"/>
      <c r="AK488271" s="251"/>
    </row>
    <row r="488386" spans="25:37" x14ac:dyDescent="0.2">
      <c r="Y488386" s="5"/>
      <c r="AB488386" s="5"/>
      <c r="AE488386" s="5"/>
      <c r="AH488386" s="5"/>
      <c r="AK488386" s="5"/>
    </row>
    <row r="488396" spans="25:37" x14ac:dyDescent="0.2">
      <c r="Y488396" s="251"/>
      <c r="AB488396" s="251"/>
      <c r="AE488396" s="251"/>
      <c r="AH488396" s="251"/>
      <c r="AK488396" s="251"/>
    </row>
    <row r="488511" spans="25:37" x14ac:dyDescent="0.2">
      <c r="Y488511" s="5"/>
      <c r="AB488511" s="5"/>
      <c r="AE488511" s="5"/>
      <c r="AH488511" s="5"/>
      <c r="AK488511" s="5"/>
    </row>
    <row r="488521" spans="25:37" x14ac:dyDescent="0.2">
      <c r="Y488521" s="251"/>
      <c r="AB488521" s="251"/>
      <c r="AE488521" s="251"/>
      <c r="AH488521" s="251"/>
      <c r="AK488521" s="251"/>
    </row>
    <row r="488636" spans="25:37" x14ac:dyDescent="0.2">
      <c r="Y488636" s="5"/>
      <c r="AB488636" s="5"/>
      <c r="AE488636" s="5"/>
      <c r="AH488636" s="5"/>
      <c r="AK488636" s="5"/>
    </row>
    <row r="488646" spans="25:37" x14ac:dyDescent="0.2">
      <c r="Y488646" s="251"/>
      <c r="AB488646" s="251"/>
      <c r="AE488646" s="251"/>
      <c r="AH488646" s="251"/>
      <c r="AK488646" s="251"/>
    </row>
    <row r="488761" spans="25:37" x14ac:dyDescent="0.2">
      <c r="Y488761" s="5"/>
      <c r="AB488761" s="5"/>
      <c r="AE488761" s="5"/>
      <c r="AH488761" s="5"/>
      <c r="AK488761" s="5"/>
    </row>
    <row r="488771" spans="25:37" x14ac:dyDescent="0.2">
      <c r="Y488771" s="251"/>
      <c r="AB488771" s="251"/>
      <c r="AE488771" s="251"/>
      <c r="AH488771" s="251"/>
      <c r="AK488771" s="251"/>
    </row>
    <row r="488886" spans="25:37" x14ac:dyDescent="0.2">
      <c r="Y488886" s="5"/>
      <c r="AB488886" s="5"/>
      <c r="AE488886" s="5"/>
      <c r="AH488886" s="5"/>
      <c r="AK488886" s="5"/>
    </row>
    <row r="488896" spans="25:37" x14ac:dyDescent="0.2">
      <c r="Y488896" s="251"/>
      <c r="AB488896" s="251"/>
      <c r="AE488896" s="251"/>
      <c r="AH488896" s="251"/>
      <c r="AK488896" s="251"/>
    </row>
    <row r="489011" spans="25:37" x14ac:dyDescent="0.2">
      <c r="Y489011" s="5"/>
      <c r="AB489011" s="5"/>
      <c r="AE489011" s="5"/>
      <c r="AH489011" s="5"/>
      <c r="AK489011" s="5"/>
    </row>
    <row r="489021" spans="25:37" x14ac:dyDescent="0.2">
      <c r="Y489021" s="251"/>
      <c r="AB489021" s="251"/>
      <c r="AE489021" s="251"/>
      <c r="AH489021" s="251"/>
      <c r="AK489021" s="251"/>
    </row>
    <row r="489136" spans="25:37" x14ac:dyDescent="0.2">
      <c r="Y489136" s="5"/>
      <c r="AB489136" s="5"/>
      <c r="AE489136" s="5"/>
      <c r="AH489136" s="5"/>
      <c r="AK489136" s="5"/>
    </row>
    <row r="489146" spans="25:37" x14ac:dyDescent="0.2">
      <c r="Y489146" s="251"/>
      <c r="AB489146" s="251"/>
      <c r="AE489146" s="251"/>
      <c r="AH489146" s="251"/>
      <c r="AK489146" s="251"/>
    </row>
    <row r="489261" spans="25:37" x14ac:dyDescent="0.2">
      <c r="Y489261" s="5"/>
      <c r="AB489261" s="5"/>
      <c r="AE489261" s="5"/>
      <c r="AH489261" s="5"/>
      <c r="AK489261" s="5"/>
    </row>
    <row r="489271" spans="25:37" x14ac:dyDescent="0.2">
      <c r="Y489271" s="251"/>
      <c r="AB489271" s="251"/>
      <c r="AE489271" s="251"/>
      <c r="AH489271" s="251"/>
      <c r="AK489271" s="251"/>
    </row>
    <row r="489386" spans="25:37" x14ac:dyDescent="0.2">
      <c r="Y489386" s="5"/>
      <c r="AB489386" s="5"/>
      <c r="AE489386" s="5"/>
      <c r="AH489386" s="5"/>
      <c r="AK489386" s="5"/>
    </row>
    <row r="489396" spans="25:37" x14ac:dyDescent="0.2">
      <c r="Y489396" s="251"/>
      <c r="AB489396" s="251"/>
      <c r="AE489396" s="251"/>
      <c r="AH489396" s="251"/>
      <c r="AK489396" s="251"/>
    </row>
    <row r="489511" spans="25:37" x14ac:dyDescent="0.2">
      <c r="Y489511" s="5"/>
      <c r="AB489511" s="5"/>
      <c r="AE489511" s="5"/>
      <c r="AH489511" s="5"/>
      <c r="AK489511" s="5"/>
    </row>
    <row r="489521" spans="25:37" x14ac:dyDescent="0.2">
      <c r="Y489521" s="251"/>
      <c r="AB489521" s="251"/>
      <c r="AE489521" s="251"/>
      <c r="AH489521" s="251"/>
      <c r="AK489521" s="251"/>
    </row>
    <row r="489636" spans="25:37" x14ac:dyDescent="0.2">
      <c r="Y489636" s="5"/>
      <c r="AB489636" s="5"/>
      <c r="AE489636" s="5"/>
      <c r="AH489636" s="5"/>
      <c r="AK489636" s="5"/>
    </row>
    <row r="489646" spans="25:37" x14ac:dyDescent="0.2">
      <c r="Y489646" s="251"/>
      <c r="AB489646" s="251"/>
      <c r="AE489646" s="251"/>
      <c r="AH489646" s="251"/>
      <c r="AK489646" s="251"/>
    </row>
    <row r="489761" spans="25:37" x14ac:dyDescent="0.2">
      <c r="Y489761" s="5"/>
      <c r="AB489761" s="5"/>
      <c r="AE489761" s="5"/>
      <c r="AH489761" s="5"/>
      <c r="AK489761" s="5"/>
    </row>
    <row r="489771" spans="25:37" x14ac:dyDescent="0.2">
      <c r="Y489771" s="251"/>
      <c r="AB489771" s="251"/>
      <c r="AE489771" s="251"/>
      <c r="AH489771" s="251"/>
      <c r="AK489771" s="251"/>
    </row>
    <row r="489886" spans="25:37" x14ac:dyDescent="0.2">
      <c r="Y489886" s="5"/>
      <c r="AB489886" s="5"/>
      <c r="AE489886" s="5"/>
      <c r="AH489886" s="5"/>
      <c r="AK489886" s="5"/>
    </row>
    <row r="489896" spans="25:37" x14ac:dyDescent="0.2">
      <c r="Y489896" s="251"/>
      <c r="AB489896" s="251"/>
      <c r="AE489896" s="251"/>
      <c r="AH489896" s="251"/>
      <c r="AK489896" s="251"/>
    </row>
    <row r="490011" spans="25:37" x14ac:dyDescent="0.2">
      <c r="Y490011" s="5"/>
      <c r="AB490011" s="5"/>
      <c r="AE490011" s="5"/>
      <c r="AH490011" s="5"/>
      <c r="AK490011" s="5"/>
    </row>
    <row r="490021" spans="25:37" x14ac:dyDescent="0.2">
      <c r="Y490021" s="251"/>
      <c r="AB490021" s="251"/>
      <c r="AE490021" s="251"/>
      <c r="AH490021" s="251"/>
      <c r="AK490021" s="251"/>
    </row>
    <row r="490136" spans="25:37" x14ac:dyDescent="0.2">
      <c r="Y490136" s="5"/>
      <c r="AB490136" s="5"/>
      <c r="AE490136" s="5"/>
      <c r="AH490136" s="5"/>
      <c r="AK490136" s="5"/>
    </row>
    <row r="490146" spans="25:37" x14ac:dyDescent="0.2">
      <c r="Y490146" s="251"/>
      <c r="AB490146" s="251"/>
      <c r="AE490146" s="251"/>
      <c r="AH490146" s="251"/>
      <c r="AK490146" s="251"/>
    </row>
    <row r="490261" spans="25:37" x14ac:dyDescent="0.2">
      <c r="Y490261" s="5"/>
      <c r="AB490261" s="5"/>
      <c r="AE490261" s="5"/>
      <c r="AH490261" s="5"/>
      <c r="AK490261" s="5"/>
    </row>
    <row r="490271" spans="25:37" x14ac:dyDescent="0.2">
      <c r="Y490271" s="251"/>
      <c r="AB490271" s="251"/>
      <c r="AE490271" s="251"/>
      <c r="AH490271" s="251"/>
      <c r="AK490271" s="251"/>
    </row>
    <row r="490386" spans="25:37" x14ac:dyDescent="0.2">
      <c r="Y490386" s="5"/>
      <c r="AB490386" s="5"/>
      <c r="AE490386" s="5"/>
      <c r="AH490386" s="5"/>
      <c r="AK490386" s="5"/>
    </row>
    <row r="490396" spans="25:37" x14ac:dyDescent="0.2">
      <c r="Y490396" s="251"/>
      <c r="AB490396" s="251"/>
      <c r="AE490396" s="251"/>
      <c r="AH490396" s="251"/>
      <c r="AK490396" s="251"/>
    </row>
    <row r="490511" spans="25:37" x14ac:dyDescent="0.2">
      <c r="Y490511" s="5"/>
      <c r="AB490511" s="5"/>
      <c r="AE490511" s="5"/>
      <c r="AH490511" s="5"/>
      <c r="AK490511" s="5"/>
    </row>
    <row r="490521" spans="25:37" x14ac:dyDescent="0.2">
      <c r="Y490521" s="251"/>
      <c r="AB490521" s="251"/>
      <c r="AE490521" s="251"/>
      <c r="AH490521" s="251"/>
      <c r="AK490521" s="251"/>
    </row>
    <row r="490636" spans="25:37" x14ac:dyDescent="0.2">
      <c r="Y490636" s="5"/>
      <c r="AB490636" s="5"/>
      <c r="AE490636" s="5"/>
      <c r="AH490636" s="5"/>
      <c r="AK490636" s="5"/>
    </row>
    <row r="490646" spans="25:37" x14ac:dyDescent="0.2">
      <c r="Y490646" s="251"/>
      <c r="AB490646" s="251"/>
      <c r="AE490646" s="251"/>
      <c r="AH490646" s="251"/>
      <c r="AK490646" s="251"/>
    </row>
    <row r="490761" spans="25:37" x14ac:dyDescent="0.2">
      <c r="Y490761" s="5"/>
      <c r="AB490761" s="5"/>
      <c r="AE490761" s="5"/>
      <c r="AH490761" s="5"/>
      <c r="AK490761" s="5"/>
    </row>
    <row r="490771" spans="25:37" x14ac:dyDescent="0.2">
      <c r="Y490771" s="251"/>
      <c r="AB490771" s="251"/>
      <c r="AE490771" s="251"/>
      <c r="AH490771" s="251"/>
      <c r="AK490771" s="251"/>
    </row>
    <row r="490886" spans="25:37" x14ac:dyDescent="0.2">
      <c r="Y490886" s="5"/>
      <c r="AB490886" s="5"/>
      <c r="AE490886" s="5"/>
      <c r="AH490886" s="5"/>
      <c r="AK490886" s="5"/>
    </row>
    <row r="490896" spans="25:37" x14ac:dyDescent="0.2">
      <c r="Y490896" s="251"/>
      <c r="AB490896" s="251"/>
      <c r="AE490896" s="251"/>
      <c r="AH490896" s="251"/>
      <c r="AK490896" s="251"/>
    </row>
    <row r="491011" spans="25:37" x14ac:dyDescent="0.2">
      <c r="Y491011" s="5"/>
      <c r="AB491011" s="5"/>
      <c r="AE491011" s="5"/>
      <c r="AH491011" s="5"/>
      <c r="AK491011" s="5"/>
    </row>
    <row r="491021" spans="25:37" x14ac:dyDescent="0.2">
      <c r="Y491021" s="251"/>
      <c r="AB491021" s="251"/>
      <c r="AE491021" s="251"/>
      <c r="AH491021" s="251"/>
      <c r="AK491021" s="251"/>
    </row>
    <row r="491136" spans="25:37" x14ac:dyDescent="0.2">
      <c r="Y491136" s="5"/>
      <c r="AB491136" s="5"/>
      <c r="AE491136" s="5"/>
      <c r="AH491136" s="5"/>
      <c r="AK491136" s="5"/>
    </row>
    <row r="491146" spans="25:37" x14ac:dyDescent="0.2">
      <c r="Y491146" s="251"/>
      <c r="AB491146" s="251"/>
      <c r="AE491146" s="251"/>
      <c r="AH491146" s="251"/>
      <c r="AK491146" s="251"/>
    </row>
    <row r="491261" spans="25:37" x14ac:dyDescent="0.2">
      <c r="Y491261" s="5"/>
      <c r="AB491261" s="5"/>
      <c r="AE491261" s="5"/>
      <c r="AH491261" s="5"/>
      <c r="AK491261" s="5"/>
    </row>
    <row r="491271" spans="25:37" x14ac:dyDescent="0.2">
      <c r="Y491271" s="251"/>
      <c r="AB491271" s="251"/>
      <c r="AE491271" s="251"/>
      <c r="AH491271" s="251"/>
      <c r="AK491271" s="251"/>
    </row>
    <row r="491386" spans="25:37" x14ac:dyDescent="0.2">
      <c r="Y491386" s="5"/>
      <c r="AB491386" s="5"/>
      <c r="AE491386" s="5"/>
      <c r="AH491386" s="5"/>
      <c r="AK491386" s="5"/>
    </row>
    <row r="491396" spans="25:37" x14ac:dyDescent="0.2">
      <c r="Y491396" s="251"/>
      <c r="AB491396" s="251"/>
      <c r="AE491396" s="251"/>
      <c r="AH491396" s="251"/>
      <c r="AK491396" s="251"/>
    </row>
    <row r="491511" spans="25:37" x14ac:dyDescent="0.2">
      <c r="Y491511" s="5"/>
      <c r="AB491511" s="5"/>
      <c r="AE491511" s="5"/>
      <c r="AH491511" s="5"/>
      <c r="AK491511" s="5"/>
    </row>
    <row r="491521" spans="25:37" x14ac:dyDescent="0.2">
      <c r="Y491521" s="251"/>
      <c r="AB491521" s="251"/>
      <c r="AE491521" s="251"/>
      <c r="AH491521" s="251"/>
      <c r="AK491521" s="251"/>
    </row>
    <row r="491636" spans="25:37" x14ac:dyDescent="0.2">
      <c r="Y491636" s="5"/>
      <c r="AB491636" s="5"/>
      <c r="AE491636" s="5"/>
      <c r="AH491636" s="5"/>
      <c r="AK491636" s="5"/>
    </row>
    <row r="491646" spans="25:37" x14ac:dyDescent="0.2">
      <c r="Y491646" s="251"/>
      <c r="AB491646" s="251"/>
      <c r="AE491646" s="251"/>
      <c r="AH491646" s="251"/>
      <c r="AK491646" s="251"/>
    </row>
    <row r="491761" spans="25:37" x14ac:dyDescent="0.2">
      <c r="Y491761" s="5"/>
      <c r="AB491761" s="5"/>
      <c r="AE491761" s="5"/>
      <c r="AH491761" s="5"/>
      <c r="AK491761" s="5"/>
    </row>
    <row r="491771" spans="25:37" x14ac:dyDescent="0.2">
      <c r="Y491771" s="251"/>
      <c r="AB491771" s="251"/>
      <c r="AE491771" s="251"/>
      <c r="AH491771" s="251"/>
      <c r="AK491771" s="251"/>
    </row>
    <row r="491886" spans="25:37" x14ac:dyDescent="0.2">
      <c r="Y491886" s="5"/>
      <c r="AB491886" s="5"/>
      <c r="AE491886" s="5"/>
      <c r="AH491886" s="5"/>
      <c r="AK491886" s="5"/>
    </row>
    <row r="491896" spans="25:37" x14ac:dyDescent="0.2">
      <c r="Y491896" s="251"/>
      <c r="AB491896" s="251"/>
      <c r="AE491896" s="251"/>
      <c r="AH491896" s="251"/>
      <c r="AK491896" s="251"/>
    </row>
    <row r="492011" spans="25:37" x14ac:dyDescent="0.2">
      <c r="Y492011" s="5"/>
      <c r="AB492011" s="5"/>
      <c r="AE492011" s="5"/>
      <c r="AH492011" s="5"/>
      <c r="AK492011" s="5"/>
    </row>
    <row r="492021" spans="25:37" x14ac:dyDescent="0.2">
      <c r="Y492021" s="251"/>
      <c r="AB492021" s="251"/>
      <c r="AE492021" s="251"/>
      <c r="AH492021" s="251"/>
      <c r="AK492021" s="251"/>
    </row>
    <row r="492136" spans="25:37" x14ac:dyDescent="0.2">
      <c r="Y492136" s="5"/>
      <c r="AB492136" s="5"/>
      <c r="AE492136" s="5"/>
      <c r="AH492136" s="5"/>
      <c r="AK492136" s="5"/>
    </row>
    <row r="492146" spans="25:37" x14ac:dyDescent="0.2">
      <c r="Y492146" s="251"/>
      <c r="AB492146" s="251"/>
      <c r="AE492146" s="251"/>
      <c r="AH492146" s="251"/>
      <c r="AK492146" s="251"/>
    </row>
    <row r="492261" spans="25:37" x14ac:dyDescent="0.2">
      <c r="Y492261" s="5"/>
      <c r="AB492261" s="5"/>
      <c r="AE492261" s="5"/>
      <c r="AH492261" s="5"/>
      <c r="AK492261" s="5"/>
    </row>
    <row r="492271" spans="25:37" x14ac:dyDescent="0.2">
      <c r="Y492271" s="251"/>
      <c r="AB492271" s="251"/>
      <c r="AE492271" s="251"/>
      <c r="AH492271" s="251"/>
      <c r="AK492271" s="251"/>
    </row>
    <row r="492386" spans="25:37" x14ac:dyDescent="0.2">
      <c r="Y492386" s="5"/>
      <c r="AB492386" s="5"/>
      <c r="AE492386" s="5"/>
      <c r="AH492386" s="5"/>
      <c r="AK492386" s="5"/>
    </row>
    <row r="492396" spans="25:37" x14ac:dyDescent="0.2">
      <c r="Y492396" s="251"/>
      <c r="AB492396" s="251"/>
      <c r="AE492396" s="251"/>
      <c r="AH492396" s="251"/>
      <c r="AK492396" s="251"/>
    </row>
    <row r="492511" spans="25:37" x14ac:dyDescent="0.2">
      <c r="Y492511" s="5"/>
      <c r="AB492511" s="5"/>
      <c r="AE492511" s="5"/>
      <c r="AH492511" s="5"/>
      <c r="AK492511" s="5"/>
    </row>
    <row r="492521" spans="25:37" x14ac:dyDescent="0.2">
      <c r="Y492521" s="251"/>
      <c r="AB492521" s="251"/>
      <c r="AE492521" s="251"/>
      <c r="AH492521" s="251"/>
      <c r="AK492521" s="251"/>
    </row>
    <row r="492636" spans="25:37" x14ac:dyDescent="0.2">
      <c r="Y492636" s="5"/>
      <c r="AB492636" s="5"/>
      <c r="AE492636" s="5"/>
      <c r="AH492636" s="5"/>
      <c r="AK492636" s="5"/>
    </row>
    <row r="492646" spans="25:37" x14ac:dyDescent="0.2">
      <c r="Y492646" s="251"/>
      <c r="AB492646" s="251"/>
      <c r="AE492646" s="251"/>
      <c r="AH492646" s="251"/>
      <c r="AK492646" s="251"/>
    </row>
    <row r="492761" spans="25:37" x14ac:dyDescent="0.2">
      <c r="Y492761" s="5"/>
      <c r="AB492761" s="5"/>
      <c r="AE492761" s="5"/>
      <c r="AH492761" s="5"/>
      <c r="AK492761" s="5"/>
    </row>
    <row r="492771" spans="25:37" x14ac:dyDescent="0.2">
      <c r="Y492771" s="251"/>
      <c r="AB492771" s="251"/>
      <c r="AE492771" s="251"/>
      <c r="AH492771" s="251"/>
      <c r="AK492771" s="251"/>
    </row>
    <row r="492886" spans="25:37" x14ac:dyDescent="0.2">
      <c r="Y492886" s="5"/>
      <c r="AB492886" s="5"/>
      <c r="AE492886" s="5"/>
      <c r="AH492886" s="5"/>
      <c r="AK492886" s="5"/>
    </row>
    <row r="492896" spans="25:37" x14ac:dyDescent="0.2">
      <c r="Y492896" s="251"/>
      <c r="AB492896" s="251"/>
      <c r="AE492896" s="251"/>
      <c r="AH492896" s="251"/>
      <c r="AK492896" s="251"/>
    </row>
    <row r="493011" spans="25:37" x14ac:dyDescent="0.2">
      <c r="Y493011" s="5"/>
      <c r="AB493011" s="5"/>
      <c r="AE493011" s="5"/>
      <c r="AH493011" s="5"/>
      <c r="AK493011" s="5"/>
    </row>
    <row r="493021" spans="25:37" x14ac:dyDescent="0.2">
      <c r="Y493021" s="251"/>
      <c r="AB493021" s="251"/>
      <c r="AE493021" s="251"/>
      <c r="AH493021" s="251"/>
      <c r="AK493021" s="251"/>
    </row>
    <row r="493136" spans="25:37" x14ac:dyDescent="0.2">
      <c r="Y493136" s="5"/>
      <c r="AB493136" s="5"/>
      <c r="AE493136" s="5"/>
      <c r="AH493136" s="5"/>
      <c r="AK493136" s="5"/>
    </row>
    <row r="493146" spans="25:37" x14ac:dyDescent="0.2">
      <c r="Y493146" s="251"/>
      <c r="AB493146" s="251"/>
      <c r="AE493146" s="251"/>
      <c r="AH493146" s="251"/>
      <c r="AK493146" s="251"/>
    </row>
    <row r="493261" spans="25:37" x14ac:dyDescent="0.2">
      <c r="Y493261" s="5"/>
      <c r="AB493261" s="5"/>
      <c r="AE493261" s="5"/>
      <c r="AH493261" s="5"/>
      <c r="AK493261" s="5"/>
    </row>
    <row r="493271" spans="25:37" x14ac:dyDescent="0.2">
      <c r="Y493271" s="251"/>
      <c r="AB493271" s="251"/>
      <c r="AE493271" s="251"/>
      <c r="AH493271" s="251"/>
      <c r="AK493271" s="251"/>
    </row>
    <row r="493386" spans="25:37" x14ac:dyDescent="0.2">
      <c r="Y493386" s="5"/>
      <c r="AB493386" s="5"/>
      <c r="AE493386" s="5"/>
      <c r="AH493386" s="5"/>
      <c r="AK493386" s="5"/>
    </row>
    <row r="493396" spans="25:37" x14ac:dyDescent="0.2">
      <c r="Y493396" s="251"/>
      <c r="AB493396" s="251"/>
      <c r="AE493396" s="251"/>
      <c r="AH493396" s="251"/>
      <c r="AK493396" s="251"/>
    </row>
    <row r="493511" spans="25:37" x14ac:dyDescent="0.2">
      <c r="Y493511" s="5"/>
      <c r="AB493511" s="5"/>
      <c r="AE493511" s="5"/>
      <c r="AH493511" s="5"/>
      <c r="AK493511" s="5"/>
    </row>
    <row r="493521" spans="25:37" x14ac:dyDescent="0.2">
      <c r="Y493521" s="251"/>
      <c r="AB493521" s="251"/>
      <c r="AE493521" s="251"/>
      <c r="AH493521" s="251"/>
      <c r="AK493521" s="251"/>
    </row>
    <row r="493636" spans="25:37" x14ac:dyDescent="0.2">
      <c r="Y493636" s="5"/>
      <c r="AB493636" s="5"/>
      <c r="AE493636" s="5"/>
      <c r="AH493636" s="5"/>
      <c r="AK493636" s="5"/>
    </row>
    <row r="493646" spans="25:37" x14ac:dyDescent="0.2">
      <c r="Y493646" s="251"/>
      <c r="AB493646" s="251"/>
      <c r="AE493646" s="251"/>
      <c r="AH493646" s="251"/>
      <c r="AK493646" s="251"/>
    </row>
    <row r="493761" spans="25:37" x14ac:dyDescent="0.2">
      <c r="Y493761" s="5"/>
      <c r="AB493761" s="5"/>
      <c r="AE493761" s="5"/>
      <c r="AH493761" s="5"/>
      <c r="AK493761" s="5"/>
    </row>
    <row r="493771" spans="25:37" x14ac:dyDescent="0.2">
      <c r="Y493771" s="251"/>
      <c r="AB493771" s="251"/>
      <c r="AE493771" s="251"/>
      <c r="AH493771" s="251"/>
      <c r="AK493771" s="251"/>
    </row>
    <row r="493886" spans="25:37" x14ac:dyDescent="0.2">
      <c r="Y493886" s="5"/>
      <c r="AB493886" s="5"/>
      <c r="AE493886" s="5"/>
      <c r="AH493886" s="5"/>
      <c r="AK493886" s="5"/>
    </row>
    <row r="493896" spans="25:37" x14ac:dyDescent="0.2">
      <c r="Y493896" s="251"/>
      <c r="AB493896" s="251"/>
      <c r="AE493896" s="251"/>
      <c r="AH493896" s="251"/>
      <c r="AK493896" s="251"/>
    </row>
    <row r="494011" spans="25:37" x14ac:dyDescent="0.2">
      <c r="Y494011" s="5"/>
      <c r="AB494011" s="5"/>
      <c r="AE494011" s="5"/>
      <c r="AH494011" s="5"/>
      <c r="AK494011" s="5"/>
    </row>
    <row r="494021" spans="25:37" x14ac:dyDescent="0.2">
      <c r="Y494021" s="251"/>
      <c r="AB494021" s="251"/>
      <c r="AE494021" s="251"/>
      <c r="AH494021" s="251"/>
      <c r="AK494021" s="251"/>
    </row>
    <row r="494136" spans="25:37" x14ac:dyDescent="0.2">
      <c r="Y494136" s="5"/>
      <c r="AB494136" s="5"/>
      <c r="AE494136" s="5"/>
      <c r="AH494136" s="5"/>
      <c r="AK494136" s="5"/>
    </row>
    <row r="494146" spans="25:37" x14ac:dyDescent="0.2">
      <c r="Y494146" s="251"/>
      <c r="AB494146" s="251"/>
      <c r="AE494146" s="251"/>
      <c r="AH494146" s="251"/>
      <c r="AK494146" s="251"/>
    </row>
    <row r="494261" spans="25:37" x14ac:dyDescent="0.2">
      <c r="Y494261" s="5"/>
      <c r="AB494261" s="5"/>
      <c r="AE494261" s="5"/>
      <c r="AH494261" s="5"/>
      <c r="AK494261" s="5"/>
    </row>
    <row r="494271" spans="25:37" x14ac:dyDescent="0.2">
      <c r="Y494271" s="251"/>
      <c r="AB494271" s="251"/>
      <c r="AE494271" s="251"/>
      <c r="AH494271" s="251"/>
      <c r="AK494271" s="251"/>
    </row>
    <row r="494386" spans="25:37" x14ac:dyDescent="0.2">
      <c r="Y494386" s="5"/>
      <c r="AB494386" s="5"/>
      <c r="AE494386" s="5"/>
      <c r="AH494386" s="5"/>
      <c r="AK494386" s="5"/>
    </row>
    <row r="494396" spans="25:37" x14ac:dyDescent="0.2">
      <c r="Y494396" s="251"/>
      <c r="AB494396" s="251"/>
      <c r="AE494396" s="251"/>
      <c r="AH494396" s="251"/>
      <c r="AK494396" s="251"/>
    </row>
    <row r="494511" spans="25:37" x14ac:dyDescent="0.2">
      <c r="Y494511" s="5"/>
      <c r="AB494511" s="5"/>
      <c r="AE494511" s="5"/>
      <c r="AH494511" s="5"/>
      <c r="AK494511" s="5"/>
    </row>
    <row r="494521" spans="25:37" x14ac:dyDescent="0.2">
      <c r="Y494521" s="251"/>
      <c r="AB494521" s="251"/>
      <c r="AE494521" s="251"/>
      <c r="AH494521" s="251"/>
      <c r="AK494521" s="251"/>
    </row>
    <row r="494636" spans="25:37" x14ac:dyDescent="0.2">
      <c r="Y494636" s="5"/>
      <c r="AB494636" s="5"/>
      <c r="AE494636" s="5"/>
      <c r="AH494636" s="5"/>
      <c r="AK494636" s="5"/>
    </row>
    <row r="494646" spans="25:37" x14ac:dyDescent="0.2">
      <c r="Y494646" s="251"/>
      <c r="AB494646" s="251"/>
      <c r="AE494646" s="251"/>
      <c r="AH494646" s="251"/>
      <c r="AK494646" s="251"/>
    </row>
    <row r="494761" spans="25:37" x14ac:dyDescent="0.2">
      <c r="Y494761" s="5"/>
      <c r="AB494761" s="5"/>
      <c r="AE494761" s="5"/>
      <c r="AH494761" s="5"/>
      <c r="AK494761" s="5"/>
    </row>
    <row r="494771" spans="25:37" x14ac:dyDescent="0.2">
      <c r="Y494771" s="251"/>
      <c r="AB494771" s="251"/>
      <c r="AE494771" s="251"/>
      <c r="AH494771" s="251"/>
      <c r="AK494771" s="251"/>
    </row>
    <row r="494886" spans="25:37" x14ac:dyDescent="0.2">
      <c r="Y494886" s="5"/>
      <c r="AB494886" s="5"/>
      <c r="AE494886" s="5"/>
      <c r="AH494886" s="5"/>
      <c r="AK494886" s="5"/>
    </row>
    <row r="494896" spans="25:37" x14ac:dyDescent="0.2">
      <c r="Y494896" s="251"/>
      <c r="AB494896" s="251"/>
      <c r="AE494896" s="251"/>
      <c r="AH494896" s="251"/>
      <c r="AK494896" s="251"/>
    </row>
    <row r="495011" spans="25:37" x14ac:dyDescent="0.2">
      <c r="Y495011" s="5"/>
      <c r="AB495011" s="5"/>
      <c r="AE495011" s="5"/>
      <c r="AH495011" s="5"/>
      <c r="AK495011" s="5"/>
    </row>
    <row r="495021" spans="25:37" x14ac:dyDescent="0.2">
      <c r="Y495021" s="251"/>
      <c r="AB495021" s="251"/>
      <c r="AE495021" s="251"/>
      <c r="AH495021" s="251"/>
      <c r="AK495021" s="251"/>
    </row>
    <row r="495136" spans="25:37" x14ac:dyDescent="0.2">
      <c r="Y495136" s="5"/>
      <c r="AB495136" s="5"/>
      <c r="AE495136" s="5"/>
      <c r="AH495136" s="5"/>
      <c r="AK495136" s="5"/>
    </row>
    <row r="495146" spans="25:37" x14ac:dyDescent="0.2">
      <c r="Y495146" s="251"/>
      <c r="AB495146" s="251"/>
      <c r="AE495146" s="251"/>
      <c r="AH495146" s="251"/>
      <c r="AK495146" s="251"/>
    </row>
    <row r="495261" spans="25:37" x14ac:dyDescent="0.2">
      <c r="Y495261" s="5"/>
      <c r="AB495261" s="5"/>
      <c r="AE495261" s="5"/>
      <c r="AH495261" s="5"/>
      <c r="AK495261" s="5"/>
    </row>
    <row r="495271" spans="25:37" x14ac:dyDescent="0.2">
      <c r="Y495271" s="251"/>
      <c r="AB495271" s="251"/>
      <c r="AE495271" s="251"/>
      <c r="AH495271" s="251"/>
      <c r="AK495271" s="251"/>
    </row>
    <row r="495386" spans="25:37" x14ac:dyDescent="0.2">
      <c r="Y495386" s="5"/>
      <c r="AB495386" s="5"/>
      <c r="AE495386" s="5"/>
      <c r="AH495386" s="5"/>
      <c r="AK495386" s="5"/>
    </row>
    <row r="495396" spans="25:37" x14ac:dyDescent="0.2">
      <c r="Y495396" s="251"/>
      <c r="AB495396" s="251"/>
      <c r="AE495396" s="251"/>
      <c r="AH495396" s="251"/>
      <c r="AK495396" s="251"/>
    </row>
    <row r="495511" spans="25:37" x14ac:dyDescent="0.2">
      <c r="Y495511" s="5"/>
      <c r="AB495511" s="5"/>
      <c r="AE495511" s="5"/>
      <c r="AH495511" s="5"/>
      <c r="AK495511" s="5"/>
    </row>
    <row r="495521" spans="25:37" x14ac:dyDescent="0.2">
      <c r="Y495521" s="251"/>
      <c r="AB495521" s="251"/>
      <c r="AE495521" s="251"/>
      <c r="AH495521" s="251"/>
      <c r="AK495521" s="251"/>
    </row>
    <row r="495636" spans="25:37" x14ac:dyDescent="0.2">
      <c r="Y495636" s="5"/>
      <c r="AB495636" s="5"/>
      <c r="AE495636" s="5"/>
      <c r="AH495636" s="5"/>
      <c r="AK495636" s="5"/>
    </row>
    <row r="495646" spans="25:37" x14ac:dyDescent="0.2">
      <c r="Y495646" s="251"/>
      <c r="AB495646" s="251"/>
      <c r="AE495646" s="251"/>
      <c r="AH495646" s="251"/>
      <c r="AK495646" s="251"/>
    </row>
    <row r="495761" spans="25:37" x14ac:dyDescent="0.2">
      <c r="Y495761" s="5"/>
      <c r="AB495761" s="5"/>
      <c r="AE495761" s="5"/>
      <c r="AH495761" s="5"/>
      <c r="AK495761" s="5"/>
    </row>
    <row r="495771" spans="25:37" x14ac:dyDescent="0.2">
      <c r="Y495771" s="251"/>
      <c r="AB495771" s="251"/>
      <c r="AE495771" s="251"/>
      <c r="AH495771" s="251"/>
      <c r="AK495771" s="251"/>
    </row>
    <row r="495886" spans="25:37" x14ac:dyDescent="0.2">
      <c r="Y495886" s="5"/>
      <c r="AB495886" s="5"/>
      <c r="AE495886" s="5"/>
      <c r="AH495886" s="5"/>
      <c r="AK495886" s="5"/>
    </row>
    <row r="495896" spans="25:37" x14ac:dyDescent="0.2">
      <c r="Y495896" s="251"/>
      <c r="AB495896" s="251"/>
      <c r="AE495896" s="251"/>
      <c r="AH495896" s="251"/>
      <c r="AK495896" s="251"/>
    </row>
    <row r="496011" spans="25:37" x14ac:dyDescent="0.2">
      <c r="Y496011" s="5"/>
      <c r="AB496011" s="5"/>
      <c r="AE496011" s="5"/>
      <c r="AH496011" s="5"/>
      <c r="AK496011" s="5"/>
    </row>
    <row r="496021" spans="25:37" x14ac:dyDescent="0.2">
      <c r="Y496021" s="251"/>
      <c r="AB496021" s="251"/>
      <c r="AE496021" s="251"/>
      <c r="AH496021" s="251"/>
      <c r="AK496021" s="251"/>
    </row>
    <row r="496136" spans="25:37" x14ac:dyDescent="0.2">
      <c r="Y496136" s="5"/>
      <c r="AB496136" s="5"/>
      <c r="AE496136" s="5"/>
      <c r="AH496136" s="5"/>
      <c r="AK496136" s="5"/>
    </row>
    <row r="496146" spans="25:37" x14ac:dyDescent="0.2">
      <c r="Y496146" s="251"/>
      <c r="AB496146" s="251"/>
      <c r="AE496146" s="251"/>
      <c r="AH496146" s="251"/>
      <c r="AK496146" s="251"/>
    </row>
    <row r="496261" spans="25:37" x14ac:dyDescent="0.2">
      <c r="Y496261" s="5"/>
      <c r="AB496261" s="5"/>
      <c r="AE496261" s="5"/>
      <c r="AH496261" s="5"/>
      <c r="AK496261" s="5"/>
    </row>
    <row r="496271" spans="25:37" x14ac:dyDescent="0.2">
      <c r="Y496271" s="251"/>
      <c r="AB496271" s="251"/>
      <c r="AE496271" s="251"/>
      <c r="AH496271" s="251"/>
      <c r="AK496271" s="251"/>
    </row>
    <row r="496386" spans="25:37" x14ac:dyDescent="0.2">
      <c r="Y496386" s="5"/>
      <c r="AB496386" s="5"/>
      <c r="AE496386" s="5"/>
      <c r="AH496386" s="5"/>
      <c r="AK496386" s="5"/>
    </row>
    <row r="496396" spans="25:37" x14ac:dyDescent="0.2">
      <c r="Y496396" s="251"/>
      <c r="AB496396" s="251"/>
      <c r="AE496396" s="251"/>
      <c r="AH496396" s="251"/>
      <c r="AK496396" s="251"/>
    </row>
    <row r="496511" spans="25:37" x14ac:dyDescent="0.2">
      <c r="Y496511" s="5"/>
      <c r="AB496511" s="5"/>
      <c r="AE496511" s="5"/>
      <c r="AH496511" s="5"/>
      <c r="AK496511" s="5"/>
    </row>
    <row r="496521" spans="25:37" x14ac:dyDescent="0.2">
      <c r="Y496521" s="251"/>
      <c r="AB496521" s="251"/>
      <c r="AE496521" s="251"/>
      <c r="AH496521" s="251"/>
      <c r="AK496521" s="251"/>
    </row>
    <row r="496636" spans="25:37" x14ac:dyDescent="0.2">
      <c r="Y496636" s="5"/>
      <c r="AB496636" s="5"/>
      <c r="AE496636" s="5"/>
      <c r="AH496636" s="5"/>
      <c r="AK496636" s="5"/>
    </row>
    <row r="496646" spans="25:37" x14ac:dyDescent="0.2">
      <c r="Y496646" s="251"/>
      <c r="AB496646" s="251"/>
      <c r="AE496646" s="251"/>
      <c r="AH496646" s="251"/>
      <c r="AK496646" s="251"/>
    </row>
    <row r="496761" spans="25:37" x14ac:dyDescent="0.2">
      <c r="Y496761" s="5"/>
      <c r="AB496761" s="5"/>
      <c r="AE496761" s="5"/>
      <c r="AH496761" s="5"/>
      <c r="AK496761" s="5"/>
    </row>
    <row r="496771" spans="25:37" x14ac:dyDescent="0.2">
      <c r="Y496771" s="251"/>
      <c r="AB496771" s="251"/>
      <c r="AE496771" s="251"/>
      <c r="AH496771" s="251"/>
      <c r="AK496771" s="251"/>
    </row>
    <row r="496886" spans="25:37" x14ac:dyDescent="0.2">
      <c r="Y496886" s="5"/>
      <c r="AB496886" s="5"/>
      <c r="AE496886" s="5"/>
      <c r="AH496886" s="5"/>
      <c r="AK496886" s="5"/>
    </row>
    <row r="496896" spans="25:37" x14ac:dyDescent="0.2">
      <c r="Y496896" s="251"/>
      <c r="AB496896" s="251"/>
      <c r="AE496896" s="251"/>
      <c r="AH496896" s="251"/>
      <c r="AK496896" s="251"/>
    </row>
    <row r="497011" spans="25:37" x14ac:dyDescent="0.2">
      <c r="Y497011" s="5"/>
      <c r="AB497011" s="5"/>
      <c r="AE497011" s="5"/>
      <c r="AH497011" s="5"/>
      <c r="AK497011" s="5"/>
    </row>
    <row r="497021" spans="25:37" x14ac:dyDescent="0.2">
      <c r="Y497021" s="251"/>
      <c r="AB497021" s="251"/>
      <c r="AE497021" s="251"/>
      <c r="AH497021" s="251"/>
      <c r="AK497021" s="251"/>
    </row>
    <row r="497136" spans="25:37" x14ac:dyDescent="0.2">
      <c r="Y497136" s="5"/>
      <c r="AB497136" s="5"/>
      <c r="AE497136" s="5"/>
      <c r="AH497136" s="5"/>
      <c r="AK497136" s="5"/>
    </row>
    <row r="497146" spans="25:37" x14ac:dyDescent="0.2">
      <c r="Y497146" s="251"/>
      <c r="AB497146" s="251"/>
      <c r="AE497146" s="251"/>
      <c r="AH497146" s="251"/>
      <c r="AK497146" s="251"/>
    </row>
    <row r="497261" spans="25:37" x14ac:dyDescent="0.2">
      <c r="Y497261" s="5"/>
      <c r="AB497261" s="5"/>
      <c r="AE497261" s="5"/>
      <c r="AH497261" s="5"/>
      <c r="AK497261" s="5"/>
    </row>
    <row r="497271" spans="25:37" x14ac:dyDescent="0.2">
      <c r="Y497271" s="251"/>
      <c r="AB497271" s="251"/>
      <c r="AE497271" s="251"/>
      <c r="AH497271" s="251"/>
      <c r="AK497271" s="251"/>
    </row>
    <row r="497386" spans="25:37" x14ac:dyDescent="0.2">
      <c r="Y497386" s="5"/>
      <c r="AB497386" s="5"/>
      <c r="AE497386" s="5"/>
      <c r="AH497386" s="5"/>
      <c r="AK497386" s="5"/>
    </row>
    <row r="497396" spans="25:37" x14ac:dyDescent="0.2">
      <c r="Y497396" s="251"/>
      <c r="AB497396" s="251"/>
      <c r="AE497396" s="251"/>
      <c r="AH497396" s="251"/>
      <c r="AK497396" s="251"/>
    </row>
    <row r="497511" spans="25:37" x14ac:dyDescent="0.2">
      <c r="Y497511" s="5"/>
      <c r="AB497511" s="5"/>
      <c r="AE497511" s="5"/>
      <c r="AH497511" s="5"/>
      <c r="AK497511" s="5"/>
    </row>
    <row r="497521" spans="25:37" x14ac:dyDescent="0.2">
      <c r="Y497521" s="251"/>
      <c r="AB497521" s="251"/>
      <c r="AE497521" s="251"/>
      <c r="AH497521" s="251"/>
      <c r="AK497521" s="251"/>
    </row>
    <row r="497636" spans="25:37" x14ac:dyDescent="0.2">
      <c r="Y497636" s="5"/>
      <c r="AB497636" s="5"/>
      <c r="AE497636" s="5"/>
      <c r="AH497636" s="5"/>
      <c r="AK497636" s="5"/>
    </row>
    <row r="497646" spans="25:37" x14ac:dyDescent="0.2">
      <c r="Y497646" s="251"/>
      <c r="AB497646" s="251"/>
      <c r="AE497646" s="251"/>
      <c r="AH497646" s="251"/>
      <c r="AK497646" s="251"/>
    </row>
    <row r="497761" spans="25:37" x14ac:dyDescent="0.2">
      <c r="Y497761" s="5"/>
      <c r="AB497761" s="5"/>
      <c r="AE497761" s="5"/>
      <c r="AH497761" s="5"/>
      <c r="AK497761" s="5"/>
    </row>
    <row r="497771" spans="25:37" x14ac:dyDescent="0.2">
      <c r="Y497771" s="251"/>
      <c r="AB497771" s="251"/>
      <c r="AE497771" s="251"/>
      <c r="AH497771" s="251"/>
      <c r="AK497771" s="251"/>
    </row>
    <row r="497886" spans="25:37" x14ac:dyDescent="0.2">
      <c r="Y497886" s="5"/>
      <c r="AB497886" s="5"/>
      <c r="AE497886" s="5"/>
      <c r="AH497886" s="5"/>
      <c r="AK497886" s="5"/>
    </row>
    <row r="497896" spans="25:37" x14ac:dyDescent="0.2">
      <c r="Y497896" s="251"/>
      <c r="AB497896" s="251"/>
      <c r="AE497896" s="251"/>
      <c r="AH497896" s="251"/>
      <c r="AK497896" s="251"/>
    </row>
    <row r="498011" spans="25:37" x14ac:dyDescent="0.2">
      <c r="Y498011" s="5"/>
      <c r="AB498011" s="5"/>
      <c r="AE498011" s="5"/>
      <c r="AH498011" s="5"/>
      <c r="AK498011" s="5"/>
    </row>
    <row r="498021" spans="25:37" x14ac:dyDescent="0.2">
      <c r="Y498021" s="251"/>
      <c r="AB498021" s="251"/>
      <c r="AE498021" s="251"/>
      <c r="AH498021" s="251"/>
      <c r="AK498021" s="251"/>
    </row>
    <row r="498136" spans="25:37" x14ac:dyDescent="0.2">
      <c r="Y498136" s="5"/>
      <c r="AB498136" s="5"/>
      <c r="AE498136" s="5"/>
      <c r="AH498136" s="5"/>
      <c r="AK498136" s="5"/>
    </row>
    <row r="498146" spans="25:37" x14ac:dyDescent="0.2">
      <c r="Y498146" s="251"/>
      <c r="AB498146" s="251"/>
      <c r="AE498146" s="251"/>
      <c r="AH498146" s="251"/>
      <c r="AK498146" s="251"/>
    </row>
    <row r="498261" spans="25:37" x14ac:dyDescent="0.2">
      <c r="Y498261" s="5"/>
      <c r="AB498261" s="5"/>
      <c r="AE498261" s="5"/>
      <c r="AH498261" s="5"/>
      <c r="AK498261" s="5"/>
    </row>
    <row r="498271" spans="25:37" x14ac:dyDescent="0.2">
      <c r="Y498271" s="251"/>
      <c r="AB498271" s="251"/>
      <c r="AE498271" s="251"/>
      <c r="AH498271" s="251"/>
      <c r="AK498271" s="251"/>
    </row>
    <row r="498386" spans="25:37" x14ac:dyDescent="0.2">
      <c r="Y498386" s="5"/>
      <c r="AB498386" s="5"/>
      <c r="AE498386" s="5"/>
      <c r="AH498386" s="5"/>
      <c r="AK498386" s="5"/>
    </row>
    <row r="498396" spans="25:37" x14ac:dyDescent="0.2">
      <c r="Y498396" s="251"/>
      <c r="AB498396" s="251"/>
      <c r="AE498396" s="251"/>
      <c r="AH498396" s="251"/>
      <c r="AK498396" s="251"/>
    </row>
    <row r="498511" spans="25:37" x14ac:dyDescent="0.2">
      <c r="Y498511" s="5"/>
      <c r="AB498511" s="5"/>
      <c r="AE498511" s="5"/>
      <c r="AH498511" s="5"/>
      <c r="AK498511" s="5"/>
    </row>
    <row r="498521" spans="25:37" x14ac:dyDescent="0.2">
      <c r="Y498521" s="251"/>
      <c r="AB498521" s="251"/>
      <c r="AE498521" s="251"/>
      <c r="AH498521" s="251"/>
      <c r="AK498521" s="251"/>
    </row>
    <row r="498636" spans="25:37" x14ac:dyDescent="0.2">
      <c r="Y498636" s="5"/>
      <c r="AB498636" s="5"/>
      <c r="AE498636" s="5"/>
      <c r="AH498636" s="5"/>
      <c r="AK498636" s="5"/>
    </row>
    <row r="498646" spans="25:37" x14ac:dyDescent="0.2">
      <c r="Y498646" s="251"/>
      <c r="AB498646" s="251"/>
      <c r="AE498646" s="251"/>
      <c r="AH498646" s="251"/>
      <c r="AK498646" s="251"/>
    </row>
    <row r="498761" spans="25:37" x14ac:dyDescent="0.2">
      <c r="Y498761" s="5"/>
      <c r="AB498761" s="5"/>
      <c r="AE498761" s="5"/>
      <c r="AH498761" s="5"/>
      <c r="AK498761" s="5"/>
    </row>
    <row r="498771" spans="25:37" x14ac:dyDescent="0.2">
      <c r="Y498771" s="251"/>
      <c r="AB498771" s="251"/>
      <c r="AE498771" s="251"/>
      <c r="AH498771" s="251"/>
      <c r="AK498771" s="251"/>
    </row>
    <row r="498886" spans="25:37" x14ac:dyDescent="0.2">
      <c r="Y498886" s="5"/>
      <c r="AB498886" s="5"/>
      <c r="AE498886" s="5"/>
      <c r="AH498886" s="5"/>
      <c r="AK498886" s="5"/>
    </row>
    <row r="498896" spans="25:37" x14ac:dyDescent="0.2">
      <c r="Y498896" s="251"/>
      <c r="AB498896" s="251"/>
      <c r="AE498896" s="251"/>
      <c r="AH498896" s="251"/>
      <c r="AK498896" s="251"/>
    </row>
    <row r="499011" spans="25:37" x14ac:dyDescent="0.2">
      <c r="Y499011" s="5"/>
      <c r="AB499011" s="5"/>
      <c r="AE499011" s="5"/>
      <c r="AH499011" s="5"/>
      <c r="AK499011" s="5"/>
    </row>
    <row r="499021" spans="25:37" x14ac:dyDescent="0.2">
      <c r="Y499021" s="251"/>
      <c r="AB499021" s="251"/>
      <c r="AE499021" s="251"/>
      <c r="AH499021" s="251"/>
      <c r="AK499021" s="251"/>
    </row>
    <row r="499136" spans="25:37" x14ac:dyDescent="0.2">
      <c r="Y499136" s="5"/>
      <c r="AB499136" s="5"/>
      <c r="AE499136" s="5"/>
      <c r="AH499136" s="5"/>
      <c r="AK499136" s="5"/>
    </row>
    <row r="499146" spans="25:37" x14ac:dyDescent="0.2">
      <c r="Y499146" s="251"/>
      <c r="AB499146" s="251"/>
      <c r="AE499146" s="251"/>
      <c r="AH499146" s="251"/>
      <c r="AK499146" s="251"/>
    </row>
    <row r="499261" spans="25:37" x14ac:dyDescent="0.2">
      <c r="Y499261" s="5"/>
      <c r="AB499261" s="5"/>
      <c r="AE499261" s="5"/>
      <c r="AH499261" s="5"/>
      <c r="AK499261" s="5"/>
    </row>
    <row r="499271" spans="25:37" x14ac:dyDescent="0.2">
      <c r="Y499271" s="251"/>
      <c r="AB499271" s="251"/>
      <c r="AE499271" s="251"/>
      <c r="AH499271" s="251"/>
      <c r="AK499271" s="251"/>
    </row>
    <row r="499386" spans="25:37" x14ac:dyDescent="0.2">
      <c r="Y499386" s="5"/>
      <c r="AB499386" s="5"/>
      <c r="AE499386" s="5"/>
      <c r="AH499386" s="5"/>
      <c r="AK499386" s="5"/>
    </row>
    <row r="499396" spans="25:37" x14ac:dyDescent="0.2">
      <c r="Y499396" s="251"/>
      <c r="AB499396" s="251"/>
      <c r="AE499396" s="251"/>
      <c r="AH499396" s="251"/>
      <c r="AK499396" s="251"/>
    </row>
    <row r="499511" spans="25:37" x14ac:dyDescent="0.2">
      <c r="Y499511" s="5"/>
      <c r="AB499511" s="5"/>
      <c r="AE499511" s="5"/>
      <c r="AH499511" s="5"/>
      <c r="AK499511" s="5"/>
    </row>
    <row r="499521" spans="25:37" x14ac:dyDescent="0.2">
      <c r="Y499521" s="251"/>
      <c r="AB499521" s="251"/>
      <c r="AE499521" s="251"/>
      <c r="AH499521" s="251"/>
      <c r="AK499521" s="251"/>
    </row>
    <row r="499636" spans="25:37" x14ac:dyDescent="0.2">
      <c r="Y499636" s="5"/>
      <c r="AB499636" s="5"/>
      <c r="AE499636" s="5"/>
      <c r="AH499636" s="5"/>
      <c r="AK499636" s="5"/>
    </row>
    <row r="499646" spans="25:37" x14ac:dyDescent="0.2">
      <c r="Y499646" s="251"/>
      <c r="AB499646" s="251"/>
      <c r="AE499646" s="251"/>
      <c r="AH499646" s="251"/>
      <c r="AK499646" s="251"/>
    </row>
    <row r="499761" spans="25:37" x14ac:dyDescent="0.2">
      <c r="Y499761" s="5"/>
      <c r="AB499761" s="5"/>
      <c r="AE499761" s="5"/>
      <c r="AH499761" s="5"/>
      <c r="AK499761" s="5"/>
    </row>
    <row r="499771" spans="25:37" x14ac:dyDescent="0.2">
      <c r="Y499771" s="251"/>
      <c r="AB499771" s="251"/>
      <c r="AE499771" s="251"/>
      <c r="AH499771" s="251"/>
      <c r="AK499771" s="251"/>
    </row>
    <row r="499886" spans="25:37" x14ac:dyDescent="0.2">
      <c r="Y499886" s="5"/>
      <c r="AB499886" s="5"/>
      <c r="AE499886" s="5"/>
      <c r="AH499886" s="5"/>
      <c r="AK499886" s="5"/>
    </row>
    <row r="499896" spans="25:37" x14ac:dyDescent="0.2">
      <c r="Y499896" s="251"/>
      <c r="AB499896" s="251"/>
      <c r="AE499896" s="251"/>
      <c r="AH499896" s="251"/>
      <c r="AK499896" s="251"/>
    </row>
    <row r="500011" spans="25:37" x14ac:dyDescent="0.2">
      <c r="Y500011" s="5"/>
      <c r="AB500011" s="5"/>
      <c r="AE500011" s="5"/>
      <c r="AH500011" s="5"/>
      <c r="AK500011" s="5"/>
    </row>
    <row r="500021" spans="25:37" x14ac:dyDescent="0.2">
      <c r="Y500021" s="251"/>
      <c r="AB500021" s="251"/>
      <c r="AE500021" s="251"/>
      <c r="AH500021" s="251"/>
      <c r="AK500021" s="251"/>
    </row>
    <row r="500136" spans="25:37" x14ac:dyDescent="0.2">
      <c r="Y500136" s="5"/>
      <c r="AB500136" s="5"/>
      <c r="AE500136" s="5"/>
      <c r="AH500136" s="5"/>
      <c r="AK500136" s="5"/>
    </row>
    <row r="500146" spans="25:37" x14ac:dyDescent="0.2">
      <c r="Y500146" s="251"/>
      <c r="AB500146" s="251"/>
      <c r="AE500146" s="251"/>
      <c r="AH500146" s="251"/>
      <c r="AK500146" s="251"/>
    </row>
    <row r="500261" spans="25:37" x14ac:dyDescent="0.2">
      <c r="Y500261" s="5"/>
      <c r="AB500261" s="5"/>
      <c r="AE500261" s="5"/>
      <c r="AH500261" s="5"/>
      <c r="AK500261" s="5"/>
    </row>
    <row r="500271" spans="25:37" x14ac:dyDescent="0.2">
      <c r="Y500271" s="251"/>
      <c r="AB500271" s="251"/>
      <c r="AE500271" s="251"/>
      <c r="AH500271" s="251"/>
      <c r="AK500271" s="251"/>
    </row>
    <row r="500386" spans="25:37" x14ac:dyDescent="0.2">
      <c r="Y500386" s="5"/>
      <c r="AB500386" s="5"/>
      <c r="AE500386" s="5"/>
      <c r="AH500386" s="5"/>
      <c r="AK500386" s="5"/>
    </row>
    <row r="500396" spans="25:37" x14ac:dyDescent="0.2">
      <c r="Y500396" s="251"/>
      <c r="AB500396" s="251"/>
      <c r="AE500396" s="251"/>
      <c r="AH500396" s="251"/>
      <c r="AK500396" s="251"/>
    </row>
    <row r="500511" spans="25:37" x14ac:dyDescent="0.2">
      <c r="Y500511" s="5"/>
      <c r="AB500511" s="5"/>
      <c r="AE500511" s="5"/>
      <c r="AH500511" s="5"/>
      <c r="AK500511" s="5"/>
    </row>
    <row r="500521" spans="25:37" x14ac:dyDescent="0.2">
      <c r="Y500521" s="251"/>
      <c r="AB500521" s="251"/>
      <c r="AE500521" s="251"/>
      <c r="AH500521" s="251"/>
      <c r="AK500521" s="251"/>
    </row>
    <row r="500636" spans="25:37" x14ac:dyDescent="0.2">
      <c r="Y500636" s="5"/>
      <c r="AB500636" s="5"/>
      <c r="AE500636" s="5"/>
      <c r="AH500636" s="5"/>
      <c r="AK500636" s="5"/>
    </row>
    <row r="500646" spans="25:37" x14ac:dyDescent="0.2">
      <c r="Y500646" s="251"/>
      <c r="AB500646" s="251"/>
      <c r="AE500646" s="251"/>
      <c r="AH500646" s="251"/>
      <c r="AK500646" s="251"/>
    </row>
    <row r="500761" spans="25:37" x14ac:dyDescent="0.2">
      <c r="Y500761" s="5"/>
      <c r="AB500761" s="5"/>
      <c r="AE500761" s="5"/>
      <c r="AH500761" s="5"/>
      <c r="AK500761" s="5"/>
    </row>
    <row r="500771" spans="25:37" x14ac:dyDescent="0.2">
      <c r="Y500771" s="251"/>
      <c r="AB500771" s="251"/>
      <c r="AE500771" s="251"/>
      <c r="AH500771" s="251"/>
      <c r="AK500771" s="251"/>
    </row>
    <row r="500886" spans="25:37" x14ac:dyDescent="0.2">
      <c r="Y500886" s="5"/>
      <c r="AB500886" s="5"/>
      <c r="AE500886" s="5"/>
      <c r="AH500886" s="5"/>
      <c r="AK500886" s="5"/>
    </row>
    <row r="500896" spans="25:37" x14ac:dyDescent="0.2">
      <c r="Y500896" s="251"/>
      <c r="AB500896" s="251"/>
      <c r="AE500896" s="251"/>
      <c r="AH500896" s="251"/>
      <c r="AK500896" s="251"/>
    </row>
    <row r="501011" spans="25:37" x14ac:dyDescent="0.2">
      <c r="Y501011" s="5"/>
      <c r="AB501011" s="5"/>
      <c r="AE501011" s="5"/>
      <c r="AH501011" s="5"/>
      <c r="AK501011" s="5"/>
    </row>
    <row r="501021" spans="25:37" x14ac:dyDescent="0.2">
      <c r="Y501021" s="251"/>
      <c r="AB501021" s="251"/>
      <c r="AE501021" s="251"/>
      <c r="AH501021" s="251"/>
      <c r="AK501021" s="251"/>
    </row>
    <row r="501136" spans="25:37" x14ac:dyDescent="0.2">
      <c r="Y501136" s="5"/>
      <c r="AB501136" s="5"/>
      <c r="AE501136" s="5"/>
      <c r="AH501136" s="5"/>
      <c r="AK501136" s="5"/>
    </row>
    <row r="501146" spans="25:37" x14ac:dyDescent="0.2">
      <c r="Y501146" s="251"/>
      <c r="AB501146" s="251"/>
      <c r="AE501146" s="251"/>
      <c r="AH501146" s="251"/>
      <c r="AK501146" s="251"/>
    </row>
    <row r="501261" spans="25:37" x14ac:dyDescent="0.2">
      <c r="Y501261" s="5"/>
      <c r="AB501261" s="5"/>
      <c r="AE501261" s="5"/>
      <c r="AH501261" s="5"/>
      <c r="AK501261" s="5"/>
    </row>
    <row r="501271" spans="25:37" x14ac:dyDescent="0.2">
      <c r="Y501271" s="251"/>
      <c r="AB501271" s="251"/>
      <c r="AE501271" s="251"/>
      <c r="AH501271" s="251"/>
      <c r="AK501271" s="251"/>
    </row>
    <row r="501386" spans="25:37" x14ac:dyDescent="0.2">
      <c r="Y501386" s="5"/>
      <c r="AB501386" s="5"/>
      <c r="AE501386" s="5"/>
      <c r="AH501386" s="5"/>
      <c r="AK501386" s="5"/>
    </row>
    <row r="501396" spans="25:37" x14ac:dyDescent="0.2">
      <c r="Y501396" s="251"/>
      <c r="AB501396" s="251"/>
      <c r="AE501396" s="251"/>
      <c r="AH501396" s="251"/>
      <c r="AK501396" s="251"/>
    </row>
    <row r="501511" spans="25:37" x14ac:dyDescent="0.2">
      <c r="Y501511" s="5"/>
      <c r="AB501511" s="5"/>
      <c r="AE501511" s="5"/>
      <c r="AH501511" s="5"/>
      <c r="AK501511" s="5"/>
    </row>
    <row r="501521" spans="25:37" x14ac:dyDescent="0.2">
      <c r="Y501521" s="251"/>
      <c r="AB501521" s="251"/>
      <c r="AE501521" s="251"/>
      <c r="AH501521" s="251"/>
      <c r="AK501521" s="251"/>
    </row>
    <row r="501636" spans="25:37" x14ac:dyDescent="0.2">
      <c r="Y501636" s="5"/>
      <c r="AB501636" s="5"/>
      <c r="AE501636" s="5"/>
      <c r="AH501636" s="5"/>
      <c r="AK501636" s="5"/>
    </row>
    <row r="501646" spans="25:37" x14ac:dyDescent="0.2">
      <c r="Y501646" s="251"/>
      <c r="AB501646" s="251"/>
      <c r="AE501646" s="251"/>
      <c r="AH501646" s="251"/>
      <c r="AK501646" s="251"/>
    </row>
    <row r="501761" spans="25:37" x14ac:dyDescent="0.2">
      <c r="Y501761" s="5"/>
      <c r="AB501761" s="5"/>
      <c r="AE501761" s="5"/>
      <c r="AH501761" s="5"/>
      <c r="AK501761" s="5"/>
    </row>
    <row r="501771" spans="25:37" x14ac:dyDescent="0.2">
      <c r="Y501771" s="251"/>
      <c r="AB501771" s="251"/>
      <c r="AE501771" s="251"/>
      <c r="AH501771" s="251"/>
      <c r="AK501771" s="251"/>
    </row>
    <row r="501886" spans="25:37" x14ac:dyDescent="0.2">
      <c r="Y501886" s="5"/>
      <c r="AB501886" s="5"/>
      <c r="AE501886" s="5"/>
      <c r="AH501886" s="5"/>
      <c r="AK501886" s="5"/>
    </row>
    <row r="501896" spans="25:37" x14ac:dyDescent="0.2">
      <c r="Y501896" s="251"/>
      <c r="AB501896" s="251"/>
      <c r="AE501896" s="251"/>
      <c r="AH501896" s="251"/>
      <c r="AK501896" s="251"/>
    </row>
    <row r="502011" spans="25:37" x14ac:dyDescent="0.2">
      <c r="Y502011" s="5"/>
      <c r="AB502011" s="5"/>
      <c r="AE502011" s="5"/>
      <c r="AH502011" s="5"/>
      <c r="AK502011" s="5"/>
    </row>
    <row r="502021" spans="25:37" x14ac:dyDescent="0.2">
      <c r="Y502021" s="251"/>
      <c r="AB502021" s="251"/>
      <c r="AE502021" s="251"/>
      <c r="AH502021" s="251"/>
      <c r="AK502021" s="251"/>
    </row>
    <row r="502136" spans="25:37" x14ac:dyDescent="0.2">
      <c r="Y502136" s="5"/>
      <c r="AB502136" s="5"/>
      <c r="AE502136" s="5"/>
      <c r="AH502136" s="5"/>
      <c r="AK502136" s="5"/>
    </row>
    <row r="502146" spans="25:37" x14ac:dyDescent="0.2">
      <c r="Y502146" s="251"/>
      <c r="AB502146" s="251"/>
      <c r="AE502146" s="251"/>
      <c r="AH502146" s="251"/>
      <c r="AK502146" s="251"/>
    </row>
    <row r="502261" spans="25:37" x14ac:dyDescent="0.2">
      <c r="Y502261" s="5"/>
      <c r="AB502261" s="5"/>
      <c r="AE502261" s="5"/>
      <c r="AH502261" s="5"/>
      <c r="AK502261" s="5"/>
    </row>
    <row r="502271" spans="25:37" x14ac:dyDescent="0.2">
      <c r="Y502271" s="251"/>
      <c r="AB502271" s="251"/>
      <c r="AE502271" s="251"/>
      <c r="AH502271" s="251"/>
      <c r="AK502271" s="251"/>
    </row>
    <row r="502386" spans="25:37" x14ac:dyDescent="0.2">
      <c r="Y502386" s="5"/>
      <c r="AB502386" s="5"/>
      <c r="AE502386" s="5"/>
      <c r="AH502386" s="5"/>
      <c r="AK502386" s="5"/>
    </row>
    <row r="502396" spans="25:37" x14ac:dyDescent="0.2">
      <c r="Y502396" s="251"/>
      <c r="AB502396" s="251"/>
      <c r="AE502396" s="251"/>
      <c r="AH502396" s="251"/>
      <c r="AK502396" s="251"/>
    </row>
    <row r="502511" spans="25:37" x14ac:dyDescent="0.2">
      <c r="Y502511" s="5"/>
      <c r="AB502511" s="5"/>
      <c r="AE502511" s="5"/>
      <c r="AH502511" s="5"/>
      <c r="AK502511" s="5"/>
    </row>
    <row r="502521" spans="25:37" x14ac:dyDescent="0.2">
      <c r="Y502521" s="251"/>
      <c r="AB502521" s="251"/>
      <c r="AE502521" s="251"/>
      <c r="AH502521" s="251"/>
      <c r="AK502521" s="251"/>
    </row>
    <row r="502636" spans="25:37" x14ac:dyDescent="0.2">
      <c r="Y502636" s="5"/>
      <c r="AB502636" s="5"/>
      <c r="AE502636" s="5"/>
      <c r="AH502636" s="5"/>
      <c r="AK502636" s="5"/>
    </row>
    <row r="502646" spans="25:37" x14ac:dyDescent="0.2">
      <c r="Y502646" s="251"/>
      <c r="AB502646" s="251"/>
      <c r="AE502646" s="251"/>
      <c r="AH502646" s="251"/>
      <c r="AK502646" s="251"/>
    </row>
    <row r="502761" spans="25:37" x14ac:dyDescent="0.2">
      <c r="Y502761" s="5"/>
      <c r="AB502761" s="5"/>
      <c r="AE502761" s="5"/>
      <c r="AH502761" s="5"/>
      <c r="AK502761" s="5"/>
    </row>
    <row r="502771" spans="25:37" x14ac:dyDescent="0.2">
      <c r="Y502771" s="251"/>
      <c r="AB502771" s="251"/>
      <c r="AE502771" s="251"/>
      <c r="AH502771" s="251"/>
      <c r="AK502771" s="251"/>
    </row>
    <row r="502886" spans="25:37" x14ac:dyDescent="0.2">
      <c r="Y502886" s="5"/>
      <c r="AB502886" s="5"/>
      <c r="AE502886" s="5"/>
      <c r="AH502886" s="5"/>
      <c r="AK502886" s="5"/>
    </row>
    <row r="502896" spans="25:37" x14ac:dyDescent="0.2">
      <c r="Y502896" s="251"/>
      <c r="AB502896" s="251"/>
      <c r="AE502896" s="251"/>
      <c r="AH502896" s="251"/>
      <c r="AK502896" s="251"/>
    </row>
    <row r="503011" spans="25:37" x14ac:dyDescent="0.2">
      <c r="Y503011" s="5"/>
      <c r="AB503011" s="5"/>
      <c r="AE503011" s="5"/>
      <c r="AH503011" s="5"/>
      <c r="AK503011" s="5"/>
    </row>
    <row r="503021" spans="25:37" x14ac:dyDescent="0.2">
      <c r="Y503021" s="251"/>
      <c r="AB503021" s="251"/>
      <c r="AE503021" s="251"/>
      <c r="AH503021" s="251"/>
      <c r="AK503021" s="251"/>
    </row>
    <row r="503136" spans="25:37" x14ac:dyDescent="0.2">
      <c r="Y503136" s="5"/>
      <c r="AB503136" s="5"/>
      <c r="AE503136" s="5"/>
      <c r="AH503136" s="5"/>
      <c r="AK503136" s="5"/>
    </row>
    <row r="503146" spans="25:37" x14ac:dyDescent="0.2">
      <c r="Y503146" s="251"/>
      <c r="AB503146" s="251"/>
      <c r="AE503146" s="251"/>
      <c r="AH503146" s="251"/>
      <c r="AK503146" s="251"/>
    </row>
    <row r="503261" spans="25:37" x14ac:dyDescent="0.2">
      <c r="Y503261" s="5"/>
      <c r="AB503261" s="5"/>
      <c r="AE503261" s="5"/>
      <c r="AH503261" s="5"/>
      <c r="AK503261" s="5"/>
    </row>
    <row r="503271" spans="25:37" x14ac:dyDescent="0.2">
      <c r="Y503271" s="251"/>
      <c r="AB503271" s="251"/>
      <c r="AE503271" s="251"/>
      <c r="AH503271" s="251"/>
      <c r="AK503271" s="251"/>
    </row>
    <row r="503386" spans="25:37" x14ac:dyDescent="0.2">
      <c r="Y503386" s="5"/>
      <c r="AB503386" s="5"/>
      <c r="AE503386" s="5"/>
      <c r="AH503386" s="5"/>
      <c r="AK503386" s="5"/>
    </row>
    <row r="503396" spans="25:37" x14ac:dyDescent="0.2">
      <c r="Y503396" s="251"/>
      <c r="AB503396" s="251"/>
      <c r="AE503396" s="251"/>
      <c r="AH503396" s="251"/>
      <c r="AK503396" s="251"/>
    </row>
    <row r="503511" spans="25:37" x14ac:dyDescent="0.2">
      <c r="Y503511" s="5"/>
      <c r="AB503511" s="5"/>
      <c r="AE503511" s="5"/>
      <c r="AH503511" s="5"/>
      <c r="AK503511" s="5"/>
    </row>
    <row r="503521" spans="25:37" x14ac:dyDescent="0.2">
      <c r="Y503521" s="251"/>
      <c r="AB503521" s="251"/>
      <c r="AE503521" s="251"/>
      <c r="AH503521" s="251"/>
      <c r="AK503521" s="251"/>
    </row>
    <row r="503636" spans="25:37" x14ac:dyDescent="0.2">
      <c r="Y503636" s="5"/>
      <c r="AB503636" s="5"/>
      <c r="AE503636" s="5"/>
      <c r="AH503636" s="5"/>
      <c r="AK503636" s="5"/>
    </row>
    <row r="503646" spans="25:37" x14ac:dyDescent="0.2">
      <c r="Y503646" s="251"/>
      <c r="AB503646" s="251"/>
      <c r="AE503646" s="251"/>
      <c r="AH503646" s="251"/>
      <c r="AK503646" s="251"/>
    </row>
    <row r="503761" spans="25:37" x14ac:dyDescent="0.2">
      <c r="Y503761" s="5"/>
      <c r="AB503761" s="5"/>
      <c r="AE503761" s="5"/>
      <c r="AH503761" s="5"/>
      <c r="AK503761" s="5"/>
    </row>
    <row r="503771" spans="25:37" x14ac:dyDescent="0.2">
      <c r="Y503771" s="251"/>
      <c r="AB503771" s="251"/>
      <c r="AE503771" s="251"/>
      <c r="AH503771" s="251"/>
      <c r="AK503771" s="251"/>
    </row>
    <row r="503886" spans="25:37" x14ac:dyDescent="0.2">
      <c r="Y503886" s="5"/>
      <c r="AB503886" s="5"/>
      <c r="AE503886" s="5"/>
      <c r="AH503886" s="5"/>
      <c r="AK503886" s="5"/>
    </row>
    <row r="503896" spans="25:37" x14ac:dyDescent="0.2">
      <c r="Y503896" s="251"/>
      <c r="AB503896" s="251"/>
      <c r="AE503896" s="251"/>
      <c r="AH503896" s="251"/>
      <c r="AK503896" s="251"/>
    </row>
    <row r="504011" spans="25:37" x14ac:dyDescent="0.2">
      <c r="Y504011" s="5"/>
      <c r="AB504011" s="5"/>
      <c r="AE504011" s="5"/>
      <c r="AH504011" s="5"/>
      <c r="AK504011" s="5"/>
    </row>
    <row r="504021" spans="25:37" x14ac:dyDescent="0.2">
      <c r="Y504021" s="251"/>
      <c r="AB504021" s="251"/>
      <c r="AE504021" s="251"/>
      <c r="AH504021" s="251"/>
      <c r="AK504021" s="251"/>
    </row>
    <row r="504136" spans="25:37" x14ac:dyDescent="0.2">
      <c r="Y504136" s="5"/>
      <c r="AB504136" s="5"/>
      <c r="AE504136" s="5"/>
      <c r="AH504136" s="5"/>
      <c r="AK504136" s="5"/>
    </row>
    <row r="504146" spans="25:37" x14ac:dyDescent="0.2">
      <c r="Y504146" s="251"/>
      <c r="AB504146" s="251"/>
      <c r="AE504146" s="251"/>
      <c r="AH504146" s="251"/>
      <c r="AK504146" s="251"/>
    </row>
    <row r="504261" spans="25:37" x14ac:dyDescent="0.2">
      <c r="Y504261" s="5"/>
      <c r="AB504261" s="5"/>
      <c r="AE504261" s="5"/>
      <c r="AH504261" s="5"/>
      <c r="AK504261" s="5"/>
    </row>
    <row r="504271" spans="25:37" x14ac:dyDescent="0.2">
      <c r="Y504271" s="251"/>
      <c r="AB504271" s="251"/>
      <c r="AE504271" s="251"/>
      <c r="AH504271" s="251"/>
      <c r="AK504271" s="251"/>
    </row>
    <row r="504386" spans="25:37" x14ac:dyDescent="0.2">
      <c r="Y504386" s="5"/>
      <c r="AB504386" s="5"/>
      <c r="AE504386" s="5"/>
      <c r="AH504386" s="5"/>
      <c r="AK504386" s="5"/>
    </row>
    <row r="504396" spans="25:37" x14ac:dyDescent="0.2">
      <c r="Y504396" s="251"/>
      <c r="AB504396" s="251"/>
      <c r="AE504396" s="251"/>
      <c r="AH504396" s="251"/>
      <c r="AK504396" s="251"/>
    </row>
    <row r="504511" spans="25:37" x14ac:dyDescent="0.2">
      <c r="Y504511" s="5"/>
      <c r="AB504511" s="5"/>
      <c r="AE504511" s="5"/>
      <c r="AH504511" s="5"/>
      <c r="AK504511" s="5"/>
    </row>
    <row r="504521" spans="25:37" x14ac:dyDescent="0.2">
      <c r="Y504521" s="251"/>
      <c r="AB504521" s="251"/>
      <c r="AE504521" s="251"/>
      <c r="AH504521" s="251"/>
      <c r="AK504521" s="251"/>
    </row>
    <row r="504636" spans="25:37" x14ac:dyDescent="0.2">
      <c r="Y504636" s="5"/>
      <c r="AB504636" s="5"/>
      <c r="AE504636" s="5"/>
      <c r="AH504636" s="5"/>
      <c r="AK504636" s="5"/>
    </row>
    <row r="504646" spans="25:37" x14ac:dyDescent="0.2">
      <c r="Y504646" s="251"/>
      <c r="AB504646" s="251"/>
      <c r="AE504646" s="251"/>
      <c r="AH504646" s="251"/>
      <c r="AK504646" s="251"/>
    </row>
    <row r="504761" spans="25:37" x14ac:dyDescent="0.2">
      <c r="Y504761" s="5"/>
      <c r="AB504761" s="5"/>
      <c r="AE504761" s="5"/>
      <c r="AH504761" s="5"/>
      <c r="AK504761" s="5"/>
    </row>
    <row r="504771" spans="25:37" x14ac:dyDescent="0.2">
      <c r="Y504771" s="251"/>
      <c r="AB504771" s="251"/>
      <c r="AE504771" s="251"/>
      <c r="AH504771" s="251"/>
      <c r="AK504771" s="251"/>
    </row>
    <row r="504886" spans="25:37" x14ac:dyDescent="0.2">
      <c r="Y504886" s="5"/>
      <c r="AB504886" s="5"/>
      <c r="AE504886" s="5"/>
      <c r="AH504886" s="5"/>
      <c r="AK504886" s="5"/>
    </row>
    <row r="504896" spans="25:37" x14ac:dyDescent="0.2">
      <c r="Y504896" s="251"/>
      <c r="AB504896" s="251"/>
      <c r="AE504896" s="251"/>
      <c r="AH504896" s="251"/>
      <c r="AK504896" s="251"/>
    </row>
    <row r="505011" spans="25:37" x14ac:dyDescent="0.2">
      <c r="Y505011" s="5"/>
      <c r="AB505011" s="5"/>
      <c r="AE505011" s="5"/>
      <c r="AH505011" s="5"/>
      <c r="AK505011" s="5"/>
    </row>
    <row r="505021" spans="25:37" x14ac:dyDescent="0.2">
      <c r="Y505021" s="251"/>
      <c r="AB505021" s="251"/>
      <c r="AE505021" s="251"/>
      <c r="AH505021" s="251"/>
      <c r="AK505021" s="251"/>
    </row>
    <row r="505136" spans="25:37" x14ac:dyDescent="0.2">
      <c r="Y505136" s="5"/>
      <c r="AB505136" s="5"/>
      <c r="AE505136" s="5"/>
      <c r="AH505136" s="5"/>
      <c r="AK505136" s="5"/>
    </row>
    <row r="505146" spans="25:37" x14ac:dyDescent="0.2">
      <c r="Y505146" s="251"/>
      <c r="AB505146" s="251"/>
      <c r="AE505146" s="251"/>
      <c r="AH505146" s="251"/>
      <c r="AK505146" s="251"/>
    </row>
    <row r="505261" spans="25:37" x14ac:dyDescent="0.2">
      <c r="Y505261" s="5"/>
      <c r="AB505261" s="5"/>
      <c r="AE505261" s="5"/>
      <c r="AH505261" s="5"/>
      <c r="AK505261" s="5"/>
    </row>
    <row r="505271" spans="25:37" x14ac:dyDescent="0.2">
      <c r="Y505271" s="251"/>
      <c r="AB505271" s="251"/>
      <c r="AE505271" s="251"/>
      <c r="AH505271" s="251"/>
      <c r="AK505271" s="251"/>
    </row>
    <row r="505386" spans="25:37" x14ac:dyDescent="0.2">
      <c r="Y505386" s="5"/>
      <c r="AB505386" s="5"/>
      <c r="AE505386" s="5"/>
      <c r="AH505386" s="5"/>
      <c r="AK505386" s="5"/>
    </row>
    <row r="505396" spans="25:37" x14ac:dyDescent="0.2">
      <c r="Y505396" s="251"/>
      <c r="AB505396" s="251"/>
      <c r="AE505396" s="251"/>
      <c r="AH505396" s="251"/>
      <c r="AK505396" s="251"/>
    </row>
    <row r="505511" spans="25:37" x14ac:dyDescent="0.2">
      <c r="Y505511" s="5"/>
      <c r="AB505511" s="5"/>
      <c r="AE505511" s="5"/>
      <c r="AH505511" s="5"/>
      <c r="AK505511" s="5"/>
    </row>
    <row r="505521" spans="25:37" x14ac:dyDescent="0.2">
      <c r="Y505521" s="251"/>
      <c r="AB505521" s="251"/>
      <c r="AE505521" s="251"/>
      <c r="AH505521" s="251"/>
      <c r="AK505521" s="251"/>
    </row>
    <row r="505636" spans="25:37" x14ac:dyDescent="0.2">
      <c r="Y505636" s="5"/>
      <c r="AB505636" s="5"/>
      <c r="AE505636" s="5"/>
      <c r="AH505636" s="5"/>
      <c r="AK505636" s="5"/>
    </row>
    <row r="505646" spans="25:37" x14ac:dyDescent="0.2">
      <c r="Y505646" s="251"/>
      <c r="AB505646" s="251"/>
      <c r="AE505646" s="251"/>
      <c r="AH505646" s="251"/>
      <c r="AK505646" s="251"/>
    </row>
    <row r="505761" spans="25:37" x14ac:dyDescent="0.2">
      <c r="Y505761" s="5"/>
      <c r="AB505761" s="5"/>
      <c r="AE505761" s="5"/>
      <c r="AH505761" s="5"/>
      <c r="AK505761" s="5"/>
    </row>
    <row r="505771" spans="25:37" x14ac:dyDescent="0.2">
      <c r="Y505771" s="251"/>
      <c r="AB505771" s="251"/>
      <c r="AE505771" s="251"/>
      <c r="AH505771" s="251"/>
      <c r="AK505771" s="251"/>
    </row>
    <row r="505886" spans="25:37" x14ac:dyDescent="0.2">
      <c r="Y505886" s="5"/>
      <c r="AB505886" s="5"/>
      <c r="AE505886" s="5"/>
      <c r="AH505886" s="5"/>
      <c r="AK505886" s="5"/>
    </row>
    <row r="505896" spans="25:37" x14ac:dyDescent="0.2">
      <c r="Y505896" s="251"/>
      <c r="AB505896" s="251"/>
      <c r="AE505896" s="251"/>
      <c r="AH505896" s="251"/>
      <c r="AK505896" s="251"/>
    </row>
    <row r="506011" spans="25:37" x14ac:dyDescent="0.2">
      <c r="Y506011" s="5"/>
      <c r="AB506011" s="5"/>
      <c r="AE506011" s="5"/>
      <c r="AH506011" s="5"/>
      <c r="AK506011" s="5"/>
    </row>
    <row r="506021" spans="25:37" x14ac:dyDescent="0.2">
      <c r="Y506021" s="251"/>
      <c r="AB506021" s="251"/>
      <c r="AE506021" s="251"/>
      <c r="AH506021" s="251"/>
      <c r="AK506021" s="251"/>
    </row>
    <row r="506136" spans="25:37" x14ac:dyDescent="0.2">
      <c r="Y506136" s="5"/>
      <c r="AB506136" s="5"/>
      <c r="AE506136" s="5"/>
      <c r="AH506136" s="5"/>
      <c r="AK506136" s="5"/>
    </row>
    <row r="506146" spans="25:37" x14ac:dyDescent="0.2">
      <c r="Y506146" s="251"/>
      <c r="AB506146" s="251"/>
      <c r="AE506146" s="251"/>
      <c r="AH506146" s="251"/>
      <c r="AK506146" s="251"/>
    </row>
    <row r="506261" spans="25:37" x14ac:dyDescent="0.2">
      <c r="Y506261" s="5"/>
      <c r="AB506261" s="5"/>
      <c r="AE506261" s="5"/>
      <c r="AH506261" s="5"/>
      <c r="AK506261" s="5"/>
    </row>
    <row r="506271" spans="25:37" x14ac:dyDescent="0.2">
      <c r="Y506271" s="251"/>
      <c r="AB506271" s="251"/>
      <c r="AE506271" s="251"/>
      <c r="AH506271" s="251"/>
      <c r="AK506271" s="251"/>
    </row>
    <row r="506386" spans="25:37" x14ac:dyDescent="0.2">
      <c r="Y506386" s="5"/>
      <c r="AB506386" s="5"/>
      <c r="AE506386" s="5"/>
      <c r="AH506386" s="5"/>
      <c r="AK506386" s="5"/>
    </row>
    <row r="506396" spans="25:37" x14ac:dyDescent="0.2">
      <c r="Y506396" s="251"/>
      <c r="AB506396" s="251"/>
      <c r="AE506396" s="251"/>
      <c r="AH506396" s="251"/>
      <c r="AK506396" s="251"/>
    </row>
    <row r="506511" spans="25:37" x14ac:dyDescent="0.2">
      <c r="Y506511" s="5"/>
      <c r="AB506511" s="5"/>
      <c r="AE506511" s="5"/>
      <c r="AH506511" s="5"/>
      <c r="AK506511" s="5"/>
    </row>
    <row r="506521" spans="25:37" x14ac:dyDescent="0.2">
      <c r="Y506521" s="251"/>
      <c r="AB506521" s="251"/>
      <c r="AE506521" s="251"/>
      <c r="AH506521" s="251"/>
      <c r="AK506521" s="251"/>
    </row>
    <row r="506636" spans="25:37" x14ac:dyDescent="0.2">
      <c r="Y506636" s="5"/>
      <c r="AB506636" s="5"/>
      <c r="AE506636" s="5"/>
      <c r="AH506636" s="5"/>
      <c r="AK506636" s="5"/>
    </row>
    <row r="506646" spans="25:37" x14ac:dyDescent="0.2">
      <c r="Y506646" s="251"/>
      <c r="AB506646" s="251"/>
      <c r="AE506646" s="251"/>
      <c r="AH506646" s="251"/>
      <c r="AK506646" s="251"/>
    </row>
    <row r="506761" spans="25:37" x14ac:dyDescent="0.2">
      <c r="Y506761" s="5"/>
      <c r="AB506761" s="5"/>
      <c r="AE506761" s="5"/>
      <c r="AH506761" s="5"/>
      <c r="AK506761" s="5"/>
    </row>
    <row r="506771" spans="25:37" x14ac:dyDescent="0.2">
      <c r="Y506771" s="251"/>
      <c r="AB506771" s="251"/>
      <c r="AE506771" s="251"/>
      <c r="AH506771" s="251"/>
      <c r="AK506771" s="251"/>
    </row>
    <row r="506886" spans="25:37" x14ac:dyDescent="0.2">
      <c r="Y506886" s="5"/>
      <c r="AB506886" s="5"/>
      <c r="AE506886" s="5"/>
      <c r="AH506886" s="5"/>
      <c r="AK506886" s="5"/>
    </row>
    <row r="506896" spans="25:37" x14ac:dyDescent="0.2">
      <c r="Y506896" s="251"/>
      <c r="AB506896" s="251"/>
      <c r="AE506896" s="251"/>
      <c r="AH506896" s="251"/>
      <c r="AK506896" s="251"/>
    </row>
    <row r="507011" spans="25:37" x14ac:dyDescent="0.2">
      <c r="Y507011" s="5"/>
      <c r="AB507011" s="5"/>
      <c r="AE507011" s="5"/>
      <c r="AH507011" s="5"/>
      <c r="AK507011" s="5"/>
    </row>
    <row r="507021" spans="25:37" x14ac:dyDescent="0.2">
      <c r="Y507021" s="251"/>
      <c r="AB507021" s="251"/>
      <c r="AE507021" s="251"/>
      <c r="AH507021" s="251"/>
      <c r="AK507021" s="251"/>
    </row>
    <row r="507136" spans="25:37" x14ac:dyDescent="0.2">
      <c r="Y507136" s="5"/>
      <c r="AB507136" s="5"/>
      <c r="AE507136" s="5"/>
      <c r="AH507136" s="5"/>
      <c r="AK507136" s="5"/>
    </row>
    <row r="507146" spans="25:37" x14ac:dyDescent="0.2">
      <c r="Y507146" s="251"/>
      <c r="AB507146" s="251"/>
      <c r="AE507146" s="251"/>
      <c r="AH507146" s="251"/>
      <c r="AK507146" s="251"/>
    </row>
    <row r="507261" spans="25:37" x14ac:dyDescent="0.2">
      <c r="Y507261" s="5"/>
      <c r="AB507261" s="5"/>
      <c r="AE507261" s="5"/>
      <c r="AH507261" s="5"/>
      <c r="AK507261" s="5"/>
    </row>
    <row r="507271" spans="25:37" x14ac:dyDescent="0.2">
      <c r="Y507271" s="251"/>
      <c r="AB507271" s="251"/>
      <c r="AE507271" s="251"/>
      <c r="AH507271" s="251"/>
      <c r="AK507271" s="251"/>
    </row>
    <row r="507386" spans="25:37" x14ac:dyDescent="0.2">
      <c r="Y507386" s="5"/>
      <c r="AB507386" s="5"/>
      <c r="AE507386" s="5"/>
      <c r="AH507386" s="5"/>
      <c r="AK507386" s="5"/>
    </row>
    <row r="507396" spans="25:37" x14ac:dyDescent="0.2">
      <c r="Y507396" s="251"/>
      <c r="AB507396" s="251"/>
      <c r="AE507396" s="251"/>
      <c r="AH507396" s="251"/>
      <c r="AK507396" s="251"/>
    </row>
    <row r="507511" spans="25:37" x14ac:dyDescent="0.2">
      <c r="Y507511" s="5"/>
      <c r="AB507511" s="5"/>
      <c r="AE507511" s="5"/>
      <c r="AH507511" s="5"/>
      <c r="AK507511" s="5"/>
    </row>
    <row r="507521" spans="25:37" x14ac:dyDescent="0.2">
      <c r="Y507521" s="251"/>
      <c r="AB507521" s="251"/>
      <c r="AE507521" s="251"/>
      <c r="AH507521" s="251"/>
      <c r="AK507521" s="251"/>
    </row>
    <row r="507636" spans="25:37" x14ac:dyDescent="0.2">
      <c r="Y507636" s="5"/>
      <c r="AB507636" s="5"/>
      <c r="AE507636" s="5"/>
      <c r="AH507636" s="5"/>
      <c r="AK507636" s="5"/>
    </row>
    <row r="507646" spans="25:37" x14ac:dyDescent="0.2">
      <c r="Y507646" s="251"/>
      <c r="AB507646" s="251"/>
      <c r="AE507646" s="251"/>
      <c r="AH507646" s="251"/>
      <c r="AK507646" s="251"/>
    </row>
    <row r="507761" spans="25:37" x14ac:dyDescent="0.2">
      <c r="Y507761" s="5"/>
      <c r="AB507761" s="5"/>
      <c r="AE507761" s="5"/>
      <c r="AH507761" s="5"/>
      <c r="AK507761" s="5"/>
    </row>
    <row r="507771" spans="25:37" x14ac:dyDescent="0.2">
      <c r="Y507771" s="251"/>
      <c r="AB507771" s="251"/>
      <c r="AE507771" s="251"/>
      <c r="AH507771" s="251"/>
      <c r="AK507771" s="251"/>
    </row>
    <row r="507886" spans="25:37" x14ac:dyDescent="0.2">
      <c r="Y507886" s="5"/>
      <c r="AB507886" s="5"/>
      <c r="AE507886" s="5"/>
      <c r="AH507886" s="5"/>
      <c r="AK507886" s="5"/>
    </row>
    <row r="507896" spans="25:37" x14ac:dyDescent="0.2">
      <c r="Y507896" s="251"/>
      <c r="AB507896" s="251"/>
      <c r="AE507896" s="251"/>
      <c r="AH507896" s="251"/>
      <c r="AK507896" s="251"/>
    </row>
    <row r="508011" spans="25:37" x14ac:dyDescent="0.2">
      <c r="Y508011" s="5"/>
      <c r="AB508011" s="5"/>
      <c r="AE508011" s="5"/>
      <c r="AH508011" s="5"/>
      <c r="AK508011" s="5"/>
    </row>
    <row r="508021" spans="25:37" x14ac:dyDescent="0.2">
      <c r="Y508021" s="251"/>
      <c r="AB508021" s="251"/>
      <c r="AE508021" s="251"/>
      <c r="AH508021" s="251"/>
      <c r="AK508021" s="251"/>
    </row>
    <row r="508136" spans="25:37" x14ac:dyDescent="0.2">
      <c r="Y508136" s="5"/>
      <c r="AB508136" s="5"/>
      <c r="AE508136" s="5"/>
      <c r="AH508136" s="5"/>
      <c r="AK508136" s="5"/>
    </row>
    <row r="508146" spans="25:37" x14ac:dyDescent="0.2">
      <c r="Y508146" s="251"/>
      <c r="AB508146" s="251"/>
      <c r="AE508146" s="251"/>
      <c r="AH508146" s="251"/>
      <c r="AK508146" s="251"/>
    </row>
    <row r="508261" spans="25:37" x14ac:dyDescent="0.2">
      <c r="Y508261" s="5"/>
      <c r="AB508261" s="5"/>
      <c r="AE508261" s="5"/>
      <c r="AH508261" s="5"/>
      <c r="AK508261" s="5"/>
    </row>
    <row r="508271" spans="25:37" x14ac:dyDescent="0.2">
      <c r="Y508271" s="251"/>
      <c r="AB508271" s="251"/>
      <c r="AE508271" s="251"/>
      <c r="AH508271" s="251"/>
      <c r="AK508271" s="251"/>
    </row>
    <row r="508386" spans="25:37" x14ac:dyDescent="0.2">
      <c r="Y508386" s="5"/>
      <c r="AB508386" s="5"/>
      <c r="AE508386" s="5"/>
      <c r="AH508386" s="5"/>
      <c r="AK508386" s="5"/>
    </row>
    <row r="508396" spans="25:37" x14ac:dyDescent="0.2">
      <c r="Y508396" s="251"/>
      <c r="AB508396" s="251"/>
      <c r="AE508396" s="251"/>
      <c r="AH508396" s="251"/>
      <c r="AK508396" s="251"/>
    </row>
    <row r="508511" spans="25:37" x14ac:dyDescent="0.2">
      <c r="Y508511" s="5"/>
      <c r="AB508511" s="5"/>
      <c r="AE508511" s="5"/>
      <c r="AH508511" s="5"/>
      <c r="AK508511" s="5"/>
    </row>
    <row r="508521" spans="25:37" x14ac:dyDescent="0.2">
      <c r="Y508521" s="251"/>
      <c r="AB508521" s="251"/>
      <c r="AE508521" s="251"/>
      <c r="AH508521" s="251"/>
      <c r="AK508521" s="251"/>
    </row>
    <row r="508636" spans="25:37" x14ac:dyDescent="0.2">
      <c r="Y508636" s="5"/>
      <c r="AB508636" s="5"/>
      <c r="AE508636" s="5"/>
      <c r="AH508636" s="5"/>
      <c r="AK508636" s="5"/>
    </row>
    <row r="508646" spans="25:37" x14ac:dyDescent="0.2">
      <c r="Y508646" s="251"/>
      <c r="AB508646" s="251"/>
      <c r="AE508646" s="251"/>
      <c r="AH508646" s="251"/>
      <c r="AK508646" s="251"/>
    </row>
    <row r="508761" spans="25:37" x14ac:dyDescent="0.2">
      <c r="Y508761" s="5"/>
      <c r="AB508761" s="5"/>
      <c r="AE508761" s="5"/>
      <c r="AH508761" s="5"/>
      <c r="AK508761" s="5"/>
    </row>
    <row r="508771" spans="25:37" x14ac:dyDescent="0.2">
      <c r="Y508771" s="251"/>
      <c r="AB508771" s="251"/>
      <c r="AE508771" s="251"/>
      <c r="AH508771" s="251"/>
      <c r="AK508771" s="251"/>
    </row>
    <row r="508886" spans="25:37" x14ac:dyDescent="0.2">
      <c r="Y508886" s="5"/>
      <c r="AB508886" s="5"/>
      <c r="AE508886" s="5"/>
      <c r="AH508886" s="5"/>
      <c r="AK508886" s="5"/>
    </row>
    <row r="508896" spans="25:37" x14ac:dyDescent="0.2">
      <c r="Y508896" s="251"/>
      <c r="AB508896" s="251"/>
      <c r="AE508896" s="251"/>
      <c r="AH508896" s="251"/>
      <c r="AK508896" s="251"/>
    </row>
    <row r="509011" spans="25:37" x14ac:dyDescent="0.2">
      <c r="Y509011" s="5"/>
      <c r="AB509011" s="5"/>
      <c r="AE509011" s="5"/>
      <c r="AH509011" s="5"/>
      <c r="AK509011" s="5"/>
    </row>
    <row r="509021" spans="25:37" x14ac:dyDescent="0.2">
      <c r="Y509021" s="251"/>
      <c r="AB509021" s="251"/>
      <c r="AE509021" s="251"/>
      <c r="AH509021" s="251"/>
      <c r="AK509021" s="251"/>
    </row>
    <row r="509136" spans="25:37" x14ac:dyDescent="0.2">
      <c r="Y509136" s="5"/>
      <c r="AB509136" s="5"/>
      <c r="AE509136" s="5"/>
      <c r="AH509136" s="5"/>
      <c r="AK509136" s="5"/>
    </row>
    <row r="509146" spans="25:37" x14ac:dyDescent="0.2">
      <c r="Y509146" s="251"/>
      <c r="AB509146" s="251"/>
      <c r="AE509146" s="251"/>
      <c r="AH509146" s="251"/>
      <c r="AK509146" s="251"/>
    </row>
    <row r="509261" spans="25:37" x14ac:dyDescent="0.2">
      <c r="Y509261" s="5"/>
      <c r="AB509261" s="5"/>
      <c r="AE509261" s="5"/>
      <c r="AH509261" s="5"/>
      <c r="AK509261" s="5"/>
    </row>
    <row r="509271" spans="25:37" x14ac:dyDescent="0.2">
      <c r="Y509271" s="251"/>
      <c r="AB509271" s="251"/>
      <c r="AE509271" s="251"/>
      <c r="AH509271" s="251"/>
      <c r="AK509271" s="251"/>
    </row>
    <row r="509386" spans="25:37" x14ac:dyDescent="0.2">
      <c r="Y509386" s="5"/>
      <c r="AB509386" s="5"/>
      <c r="AE509386" s="5"/>
      <c r="AH509386" s="5"/>
      <c r="AK509386" s="5"/>
    </row>
    <row r="509396" spans="25:37" x14ac:dyDescent="0.2">
      <c r="Y509396" s="251"/>
      <c r="AB509396" s="251"/>
      <c r="AE509396" s="251"/>
      <c r="AH509396" s="251"/>
      <c r="AK509396" s="251"/>
    </row>
    <row r="509511" spans="25:37" x14ac:dyDescent="0.2">
      <c r="Y509511" s="5"/>
      <c r="AB509511" s="5"/>
      <c r="AE509511" s="5"/>
      <c r="AH509511" s="5"/>
      <c r="AK509511" s="5"/>
    </row>
    <row r="509521" spans="25:37" x14ac:dyDescent="0.2">
      <c r="Y509521" s="251"/>
      <c r="AB509521" s="251"/>
      <c r="AE509521" s="251"/>
      <c r="AH509521" s="251"/>
      <c r="AK509521" s="251"/>
    </row>
    <row r="509636" spans="25:37" x14ac:dyDescent="0.2">
      <c r="Y509636" s="5"/>
      <c r="AB509636" s="5"/>
      <c r="AE509636" s="5"/>
      <c r="AH509636" s="5"/>
      <c r="AK509636" s="5"/>
    </row>
    <row r="509646" spans="25:37" x14ac:dyDescent="0.2">
      <c r="Y509646" s="251"/>
      <c r="AB509646" s="251"/>
      <c r="AE509646" s="251"/>
      <c r="AH509646" s="251"/>
      <c r="AK509646" s="251"/>
    </row>
    <row r="509761" spans="25:37" x14ac:dyDescent="0.2">
      <c r="Y509761" s="5"/>
      <c r="AB509761" s="5"/>
      <c r="AE509761" s="5"/>
      <c r="AH509761" s="5"/>
      <c r="AK509761" s="5"/>
    </row>
    <row r="509771" spans="25:37" x14ac:dyDescent="0.2">
      <c r="Y509771" s="251"/>
      <c r="AB509771" s="251"/>
      <c r="AE509771" s="251"/>
      <c r="AH509771" s="251"/>
      <c r="AK509771" s="251"/>
    </row>
    <row r="509886" spans="25:37" x14ac:dyDescent="0.2">
      <c r="Y509886" s="5"/>
      <c r="AB509886" s="5"/>
      <c r="AE509886" s="5"/>
      <c r="AH509886" s="5"/>
      <c r="AK509886" s="5"/>
    </row>
    <row r="509896" spans="25:37" x14ac:dyDescent="0.2">
      <c r="Y509896" s="251"/>
      <c r="AB509896" s="251"/>
      <c r="AE509896" s="251"/>
      <c r="AH509896" s="251"/>
      <c r="AK509896" s="251"/>
    </row>
    <row r="510011" spans="25:37" x14ac:dyDescent="0.2">
      <c r="Y510011" s="5"/>
      <c r="AB510011" s="5"/>
      <c r="AE510011" s="5"/>
      <c r="AH510011" s="5"/>
      <c r="AK510011" s="5"/>
    </row>
    <row r="510021" spans="25:37" x14ac:dyDescent="0.2">
      <c r="Y510021" s="251"/>
      <c r="AB510021" s="251"/>
      <c r="AE510021" s="251"/>
      <c r="AH510021" s="251"/>
      <c r="AK510021" s="251"/>
    </row>
    <row r="510136" spans="25:37" x14ac:dyDescent="0.2">
      <c r="Y510136" s="5"/>
      <c r="AB510136" s="5"/>
      <c r="AE510136" s="5"/>
      <c r="AH510136" s="5"/>
      <c r="AK510136" s="5"/>
    </row>
    <row r="510146" spans="25:37" x14ac:dyDescent="0.2">
      <c r="Y510146" s="251"/>
      <c r="AB510146" s="251"/>
      <c r="AE510146" s="251"/>
      <c r="AH510146" s="251"/>
      <c r="AK510146" s="251"/>
    </row>
    <row r="510261" spans="25:37" x14ac:dyDescent="0.2">
      <c r="Y510261" s="5"/>
      <c r="AB510261" s="5"/>
      <c r="AE510261" s="5"/>
      <c r="AH510261" s="5"/>
      <c r="AK510261" s="5"/>
    </row>
    <row r="510271" spans="25:37" x14ac:dyDescent="0.2">
      <c r="Y510271" s="251"/>
      <c r="AB510271" s="251"/>
      <c r="AE510271" s="251"/>
      <c r="AH510271" s="251"/>
      <c r="AK510271" s="251"/>
    </row>
    <row r="510386" spans="25:37" x14ac:dyDescent="0.2">
      <c r="Y510386" s="5"/>
      <c r="AB510386" s="5"/>
      <c r="AE510386" s="5"/>
      <c r="AH510386" s="5"/>
      <c r="AK510386" s="5"/>
    </row>
    <row r="510396" spans="25:37" x14ac:dyDescent="0.2">
      <c r="Y510396" s="251"/>
      <c r="AB510396" s="251"/>
      <c r="AE510396" s="251"/>
      <c r="AH510396" s="251"/>
      <c r="AK510396" s="251"/>
    </row>
    <row r="510511" spans="25:37" x14ac:dyDescent="0.2">
      <c r="Y510511" s="5"/>
      <c r="AB510511" s="5"/>
      <c r="AE510511" s="5"/>
      <c r="AH510511" s="5"/>
      <c r="AK510511" s="5"/>
    </row>
    <row r="510521" spans="25:37" x14ac:dyDescent="0.2">
      <c r="Y510521" s="251"/>
      <c r="AB510521" s="251"/>
      <c r="AE510521" s="251"/>
      <c r="AH510521" s="251"/>
      <c r="AK510521" s="251"/>
    </row>
    <row r="510636" spans="25:37" x14ac:dyDescent="0.2">
      <c r="Y510636" s="5"/>
      <c r="AB510636" s="5"/>
      <c r="AE510636" s="5"/>
      <c r="AH510636" s="5"/>
      <c r="AK510636" s="5"/>
    </row>
    <row r="510646" spans="25:37" x14ac:dyDescent="0.2">
      <c r="Y510646" s="251"/>
      <c r="AB510646" s="251"/>
      <c r="AE510646" s="251"/>
      <c r="AH510646" s="251"/>
      <c r="AK510646" s="251"/>
    </row>
    <row r="510761" spans="25:37" x14ac:dyDescent="0.2">
      <c r="Y510761" s="5"/>
      <c r="AB510761" s="5"/>
      <c r="AE510761" s="5"/>
      <c r="AH510761" s="5"/>
      <c r="AK510761" s="5"/>
    </row>
    <row r="510771" spans="25:37" x14ac:dyDescent="0.2">
      <c r="Y510771" s="251"/>
      <c r="AB510771" s="251"/>
      <c r="AE510771" s="251"/>
      <c r="AH510771" s="251"/>
      <c r="AK510771" s="251"/>
    </row>
    <row r="510886" spans="25:37" x14ac:dyDescent="0.2">
      <c r="Y510886" s="5"/>
      <c r="AB510886" s="5"/>
      <c r="AE510886" s="5"/>
      <c r="AH510886" s="5"/>
      <c r="AK510886" s="5"/>
    </row>
    <row r="510896" spans="25:37" x14ac:dyDescent="0.2">
      <c r="Y510896" s="251"/>
      <c r="AB510896" s="251"/>
      <c r="AE510896" s="251"/>
      <c r="AH510896" s="251"/>
      <c r="AK510896" s="251"/>
    </row>
    <row r="511011" spans="25:37" x14ac:dyDescent="0.2">
      <c r="Y511011" s="5"/>
      <c r="AB511011" s="5"/>
      <c r="AE511011" s="5"/>
      <c r="AH511011" s="5"/>
      <c r="AK511011" s="5"/>
    </row>
    <row r="511021" spans="25:37" x14ac:dyDescent="0.2">
      <c r="Y511021" s="251"/>
      <c r="AB511021" s="251"/>
      <c r="AE511021" s="251"/>
      <c r="AH511021" s="251"/>
      <c r="AK511021" s="251"/>
    </row>
    <row r="511136" spans="25:37" x14ac:dyDescent="0.2">
      <c r="Y511136" s="5"/>
      <c r="AB511136" s="5"/>
      <c r="AE511136" s="5"/>
      <c r="AH511136" s="5"/>
      <c r="AK511136" s="5"/>
    </row>
    <row r="511146" spans="25:37" x14ac:dyDescent="0.2">
      <c r="Y511146" s="251"/>
      <c r="AB511146" s="251"/>
      <c r="AE511146" s="251"/>
      <c r="AH511146" s="251"/>
      <c r="AK511146" s="251"/>
    </row>
    <row r="511261" spans="25:37" x14ac:dyDescent="0.2">
      <c r="Y511261" s="5"/>
      <c r="AB511261" s="5"/>
      <c r="AE511261" s="5"/>
      <c r="AH511261" s="5"/>
      <c r="AK511261" s="5"/>
    </row>
    <row r="511271" spans="25:37" x14ac:dyDescent="0.2">
      <c r="Y511271" s="251"/>
      <c r="AB511271" s="251"/>
      <c r="AE511271" s="251"/>
      <c r="AH511271" s="251"/>
      <c r="AK511271" s="251"/>
    </row>
    <row r="511386" spans="25:37" x14ac:dyDescent="0.2">
      <c r="Y511386" s="5"/>
      <c r="AB511386" s="5"/>
      <c r="AE511386" s="5"/>
      <c r="AH511386" s="5"/>
      <c r="AK511386" s="5"/>
    </row>
    <row r="511396" spans="25:37" x14ac:dyDescent="0.2">
      <c r="Y511396" s="251"/>
      <c r="AB511396" s="251"/>
      <c r="AE511396" s="251"/>
      <c r="AH511396" s="251"/>
      <c r="AK511396" s="251"/>
    </row>
    <row r="511511" spans="25:37" x14ac:dyDescent="0.2">
      <c r="Y511511" s="5"/>
      <c r="AB511511" s="5"/>
      <c r="AE511511" s="5"/>
      <c r="AH511511" s="5"/>
      <c r="AK511511" s="5"/>
    </row>
    <row r="511521" spans="25:37" x14ac:dyDescent="0.2">
      <c r="Y511521" s="251"/>
      <c r="AB511521" s="251"/>
      <c r="AE511521" s="251"/>
      <c r="AH511521" s="251"/>
      <c r="AK511521" s="251"/>
    </row>
    <row r="511636" spans="25:37" x14ac:dyDescent="0.2">
      <c r="Y511636" s="5"/>
      <c r="AB511636" s="5"/>
      <c r="AE511636" s="5"/>
      <c r="AH511636" s="5"/>
      <c r="AK511636" s="5"/>
    </row>
    <row r="511646" spans="25:37" x14ac:dyDescent="0.2">
      <c r="Y511646" s="251"/>
      <c r="AB511646" s="251"/>
      <c r="AE511646" s="251"/>
      <c r="AH511646" s="251"/>
      <c r="AK511646" s="251"/>
    </row>
    <row r="511761" spans="25:37" x14ac:dyDescent="0.2">
      <c r="Y511761" s="5"/>
      <c r="AB511761" s="5"/>
      <c r="AE511761" s="5"/>
      <c r="AH511761" s="5"/>
      <c r="AK511761" s="5"/>
    </row>
    <row r="511771" spans="25:37" x14ac:dyDescent="0.2">
      <c r="Y511771" s="251"/>
      <c r="AB511771" s="251"/>
      <c r="AE511771" s="251"/>
      <c r="AH511771" s="251"/>
      <c r="AK511771" s="251"/>
    </row>
    <row r="511886" spans="25:37" x14ac:dyDescent="0.2">
      <c r="Y511886" s="5"/>
      <c r="AB511886" s="5"/>
      <c r="AE511886" s="5"/>
      <c r="AH511886" s="5"/>
      <c r="AK511886" s="5"/>
    </row>
    <row r="511896" spans="25:37" x14ac:dyDescent="0.2">
      <c r="Y511896" s="251"/>
      <c r="AB511896" s="251"/>
      <c r="AE511896" s="251"/>
      <c r="AH511896" s="251"/>
      <c r="AK511896" s="251"/>
    </row>
    <row r="512011" spans="25:37" x14ac:dyDescent="0.2">
      <c r="Y512011" s="5"/>
      <c r="AB512011" s="5"/>
      <c r="AE512011" s="5"/>
      <c r="AH512011" s="5"/>
      <c r="AK512011" s="5"/>
    </row>
    <row r="512021" spans="25:37" x14ac:dyDescent="0.2">
      <c r="Y512021" s="251"/>
      <c r="AB512021" s="251"/>
      <c r="AE512021" s="251"/>
      <c r="AH512021" s="251"/>
      <c r="AK512021" s="251"/>
    </row>
    <row r="512136" spans="25:37" x14ac:dyDescent="0.2">
      <c r="Y512136" s="5"/>
      <c r="AB512136" s="5"/>
      <c r="AE512136" s="5"/>
      <c r="AH512136" s="5"/>
      <c r="AK512136" s="5"/>
    </row>
    <row r="512146" spans="25:37" x14ac:dyDescent="0.2">
      <c r="Y512146" s="251"/>
      <c r="AB512146" s="251"/>
      <c r="AE512146" s="251"/>
      <c r="AH512146" s="251"/>
      <c r="AK512146" s="251"/>
    </row>
    <row r="512261" spans="25:37" x14ac:dyDescent="0.2">
      <c r="Y512261" s="5"/>
      <c r="AB512261" s="5"/>
      <c r="AE512261" s="5"/>
      <c r="AH512261" s="5"/>
      <c r="AK512261" s="5"/>
    </row>
    <row r="512271" spans="25:37" x14ac:dyDescent="0.2">
      <c r="Y512271" s="251"/>
      <c r="AB512271" s="251"/>
      <c r="AE512271" s="251"/>
      <c r="AH512271" s="251"/>
      <c r="AK512271" s="251"/>
    </row>
    <row r="512386" spans="25:37" x14ac:dyDescent="0.2">
      <c r="Y512386" s="5"/>
      <c r="AB512386" s="5"/>
      <c r="AE512386" s="5"/>
      <c r="AH512386" s="5"/>
      <c r="AK512386" s="5"/>
    </row>
    <row r="512396" spans="25:37" x14ac:dyDescent="0.2">
      <c r="Y512396" s="251"/>
      <c r="AB512396" s="251"/>
      <c r="AE512396" s="251"/>
      <c r="AH512396" s="251"/>
      <c r="AK512396" s="251"/>
    </row>
    <row r="512511" spans="25:37" x14ac:dyDescent="0.2">
      <c r="Y512511" s="5"/>
      <c r="AB512511" s="5"/>
      <c r="AE512511" s="5"/>
      <c r="AH512511" s="5"/>
      <c r="AK512511" s="5"/>
    </row>
    <row r="512521" spans="25:37" x14ac:dyDescent="0.2">
      <c r="Y512521" s="251"/>
      <c r="AB512521" s="251"/>
      <c r="AE512521" s="251"/>
      <c r="AH512521" s="251"/>
      <c r="AK512521" s="251"/>
    </row>
    <row r="512636" spans="25:37" x14ac:dyDescent="0.2">
      <c r="Y512636" s="5"/>
      <c r="AB512636" s="5"/>
      <c r="AE512636" s="5"/>
      <c r="AH512636" s="5"/>
      <c r="AK512636" s="5"/>
    </row>
    <row r="512646" spans="25:37" x14ac:dyDescent="0.2">
      <c r="Y512646" s="251"/>
      <c r="AB512646" s="251"/>
      <c r="AE512646" s="251"/>
      <c r="AH512646" s="251"/>
      <c r="AK512646" s="251"/>
    </row>
    <row r="512761" spans="25:37" x14ac:dyDescent="0.2">
      <c r="Y512761" s="5"/>
      <c r="AB512761" s="5"/>
      <c r="AE512761" s="5"/>
      <c r="AH512761" s="5"/>
      <c r="AK512761" s="5"/>
    </row>
    <row r="512771" spans="25:37" x14ac:dyDescent="0.2">
      <c r="Y512771" s="251"/>
      <c r="AB512771" s="251"/>
      <c r="AE512771" s="251"/>
      <c r="AH512771" s="251"/>
      <c r="AK512771" s="251"/>
    </row>
    <row r="512886" spans="25:37" x14ac:dyDescent="0.2">
      <c r="Y512886" s="5"/>
      <c r="AB512886" s="5"/>
      <c r="AE512886" s="5"/>
      <c r="AH512886" s="5"/>
      <c r="AK512886" s="5"/>
    </row>
    <row r="512896" spans="25:37" x14ac:dyDescent="0.2">
      <c r="Y512896" s="251"/>
      <c r="AB512896" s="251"/>
      <c r="AE512896" s="251"/>
      <c r="AH512896" s="251"/>
      <c r="AK512896" s="251"/>
    </row>
    <row r="513011" spans="25:37" x14ac:dyDescent="0.2">
      <c r="Y513011" s="5"/>
      <c r="AB513011" s="5"/>
      <c r="AE513011" s="5"/>
      <c r="AH513011" s="5"/>
      <c r="AK513011" s="5"/>
    </row>
    <row r="513021" spans="25:37" x14ac:dyDescent="0.2">
      <c r="Y513021" s="251"/>
      <c r="AB513021" s="251"/>
      <c r="AE513021" s="251"/>
      <c r="AH513021" s="251"/>
      <c r="AK513021" s="251"/>
    </row>
    <row r="513136" spans="25:37" x14ac:dyDescent="0.2">
      <c r="Y513136" s="5"/>
      <c r="AB513136" s="5"/>
      <c r="AE513136" s="5"/>
      <c r="AH513136" s="5"/>
      <c r="AK513136" s="5"/>
    </row>
    <row r="513146" spans="25:37" x14ac:dyDescent="0.2">
      <c r="Y513146" s="251"/>
      <c r="AB513146" s="251"/>
      <c r="AE513146" s="251"/>
      <c r="AH513146" s="251"/>
      <c r="AK513146" s="251"/>
    </row>
    <row r="513261" spans="25:37" x14ac:dyDescent="0.2">
      <c r="Y513261" s="5"/>
      <c r="AB513261" s="5"/>
      <c r="AE513261" s="5"/>
      <c r="AH513261" s="5"/>
      <c r="AK513261" s="5"/>
    </row>
    <row r="513271" spans="25:37" x14ac:dyDescent="0.2">
      <c r="Y513271" s="251"/>
      <c r="AB513271" s="251"/>
      <c r="AE513271" s="251"/>
      <c r="AH513271" s="251"/>
      <c r="AK513271" s="251"/>
    </row>
    <row r="513386" spans="25:37" x14ac:dyDescent="0.2">
      <c r="Y513386" s="5"/>
      <c r="AB513386" s="5"/>
      <c r="AE513386" s="5"/>
      <c r="AH513386" s="5"/>
      <c r="AK513386" s="5"/>
    </row>
    <row r="513396" spans="25:37" x14ac:dyDescent="0.2">
      <c r="Y513396" s="251"/>
      <c r="AB513396" s="251"/>
      <c r="AE513396" s="251"/>
      <c r="AH513396" s="251"/>
      <c r="AK513396" s="251"/>
    </row>
    <row r="513511" spans="25:37" x14ac:dyDescent="0.2">
      <c r="Y513511" s="5"/>
      <c r="AB513511" s="5"/>
      <c r="AE513511" s="5"/>
      <c r="AH513511" s="5"/>
      <c r="AK513511" s="5"/>
    </row>
    <row r="513521" spans="25:37" x14ac:dyDescent="0.2">
      <c r="Y513521" s="251"/>
      <c r="AB513521" s="251"/>
      <c r="AE513521" s="251"/>
      <c r="AH513521" s="251"/>
      <c r="AK513521" s="251"/>
    </row>
    <row r="513636" spans="25:37" x14ac:dyDescent="0.2">
      <c r="Y513636" s="5"/>
      <c r="AB513636" s="5"/>
      <c r="AE513636" s="5"/>
      <c r="AH513636" s="5"/>
      <c r="AK513636" s="5"/>
    </row>
    <row r="513646" spans="25:37" x14ac:dyDescent="0.2">
      <c r="Y513646" s="251"/>
      <c r="AB513646" s="251"/>
      <c r="AE513646" s="251"/>
      <c r="AH513646" s="251"/>
      <c r="AK513646" s="251"/>
    </row>
    <row r="513761" spans="25:37" x14ac:dyDescent="0.2">
      <c r="Y513761" s="5"/>
      <c r="AB513761" s="5"/>
      <c r="AE513761" s="5"/>
      <c r="AH513761" s="5"/>
      <c r="AK513761" s="5"/>
    </row>
    <row r="513771" spans="25:37" x14ac:dyDescent="0.2">
      <c r="Y513771" s="251"/>
      <c r="AB513771" s="251"/>
      <c r="AE513771" s="251"/>
      <c r="AH513771" s="251"/>
      <c r="AK513771" s="251"/>
    </row>
    <row r="513886" spans="25:37" x14ac:dyDescent="0.2">
      <c r="Y513886" s="5"/>
      <c r="AB513886" s="5"/>
      <c r="AE513886" s="5"/>
      <c r="AH513886" s="5"/>
      <c r="AK513886" s="5"/>
    </row>
    <row r="513896" spans="25:37" x14ac:dyDescent="0.2">
      <c r="Y513896" s="251"/>
      <c r="AB513896" s="251"/>
      <c r="AE513896" s="251"/>
      <c r="AH513896" s="251"/>
      <c r="AK513896" s="251"/>
    </row>
    <row r="514011" spans="25:37" x14ac:dyDescent="0.2">
      <c r="Y514011" s="5"/>
      <c r="AB514011" s="5"/>
      <c r="AE514011" s="5"/>
      <c r="AH514011" s="5"/>
      <c r="AK514011" s="5"/>
    </row>
    <row r="514021" spans="25:37" x14ac:dyDescent="0.2">
      <c r="Y514021" s="251"/>
      <c r="AB514021" s="251"/>
      <c r="AE514021" s="251"/>
      <c r="AH514021" s="251"/>
      <c r="AK514021" s="251"/>
    </row>
    <row r="514136" spans="25:37" x14ac:dyDescent="0.2">
      <c r="Y514136" s="5"/>
      <c r="AB514136" s="5"/>
      <c r="AE514136" s="5"/>
      <c r="AH514136" s="5"/>
      <c r="AK514136" s="5"/>
    </row>
    <row r="514146" spans="25:37" x14ac:dyDescent="0.2">
      <c r="Y514146" s="251"/>
      <c r="AB514146" s="251"/>
      <c r="AE514146" s="251"/>
      <c r="AH514146" s="251"/>
      <c r="AK514146" s="251"/>
    </row>
    <row r="514261" spans="25:37" x14ac:dyDescent="0.2">
      <c r="Y514261" s="5"/>
      <c r="AB514261" s="5"/>
      <c r="AE514261" s="5"/>
      <c r="AH514261" s="5"/>
      <c r="AK514261" s="5"/>
    </row>
    <row r="514271" spans="25:37" x14ac:dyDescent="0.2">
      <c r="Y514271" s="251"/>
      <c r="AB514271" s="251"/>
      <c r="AE514271" s="251"/>
      <c r="AH514271" s="251"/>
      <c r="AK514271" s="251"/>
    </row>
    <row r="514386" spans="25:37" x14ac:dyDescent="0.2">
      <c r="Y514386" s="5"/>
      <c r="AB514386" s="5"/>
      <c r="AE514386" s="5"/>
      <c r="AH514386" s="5"/>
      <c r="AK514386" s="5"/>
    </row>
    <row r="514396" spans="25:37" x14ac:dyDescent="0.2">
      <c r="Y514396" s="251"/>
      <c r="AB514396" s="251"/>
      <c r="AE514396" s="251"/>
      <c r="AH514396" s="251"/>
      <c r="AK514396" s="251"/>
    </row>
    <row r="514511" spans="25:37" x14ac:dyDescent="0.2">
      <c r="Y514511" s="5"/>
      <c r="AB514511" s="5"/>
      <c r="AE514511" s="5"/>
      <c r="AH514511" s="5"/>
      <c r="AK514511" s="5"/>
    </row>
    <row r="514521" spans="25:37" x14ac:dyDescent="0.2">
      <c r="Y514521" s="251"/>
      <c r="AB514521" s="251"/>
      <c r="AE514521" s="251"/>
      <c r="AH514521" s="251"/>
      <c r="AK514521" s="251"/>
    </row>
    <row r="514636" spans="25:37" x14ac:dyDescent="0.2">
      <c r="Y514636" s="5"/>
      <c r="AB514636" s="5"/>
      <c r="AE514636" s="5"/>
      <c r="AH514636" s="5"/>
      <c r="AK514636" s="5"/>
    </row>
    <row r="514646" spans="25:37" x14ac:dyDescent="0.2">
      <c r="Y514646" s="251"/>
      <c r="AB514646" s="251"/>
      <c r="AE514646" s="251"/>
      <c r="AH514646" s="251"/>
      <c r="AK514646" s="251"/>
    </row>
    <row r="514761" spans="25:37" x14ac:dyDescent="0.2">
      <c r="Y514761" s="5"/>
      <c r="AB514761" s="5"/>
      <c r="AE514761" s="5"/>
      <c r="AH514761" s="5"/>
      <c r="AK514761" s="5"/>
    </row>
    <row r="514771" spans="25:37" x14ac:dyDescent="0.2">
      <c r="Y514771" s="251"/>
      <c r="AB514771" s="251"/>
      <c r="AE514771" s="251"/>
      <c r="AH514771" s="251"/>
      <c r="AK514771" s="251"/>
    </row>
    <row r="514886" spans="25:37" x14ac:dyDescent="0.2">
      <c r="Y514886" s="5"/>
      <c r="AB514886" s="5"/>
      <c r="AE514886" s="5"/>
      <c r="AH514886" s="5"/>
      <c r="AK514886" s="5"/>
    </row>
    <row r="514896" spans="25:37" x14ac:dyDescent="0.2">
      <c r="Y514896" s="251"/>
      <c r="AB514896" s="251"/>
      <c r="AE514896" s="251"/>
      <c r="AH514896" s="251"/>
      <c r="AK514896" s="251"/>
    </row>
    <row r="515011" spans="25:37" x14ac:dyDescent="0.2">
      <c r="Y515011" s="5"/>
      <c r="AB515011" s="5"/>
      <c r="AE515011" s="5"/>
      <c r="AH515011" s="5"/>
      <c r="AK515011" s="5"/>
    </row>
    <row r="515021" spans="25:37" x14ac:dyDescent="0.2">
      <c r="Y515021" s="251"/>
      <c r="AB515021" s="251"/>
      <c r="AE515021" s="251"/>
      <c r="AH515021" s="251"/>
      <c r="AK515021" s="251"/>
    </row>
    <row r="515136" spans="25:37" x14ac:dyDescent="0.2">
      <c r="Y515136" s="5"/>
      <c r="AB515136" s="5"/>
      <c r="AE515136" s="5"/>
      <c r="AH515136" s="5"/>
      <c r="AK515136" s="5"/>
    </row>
    <row r="515146" spans="25:37" x14ac:dyDescent="0.2">
      <c r="Y515146" s="251"/>
      <c r="AB515146" s="251"/>
      <c r="AE515146" s="251"/>
      <c r="AH515146" s="251"/>
      <c r="AK515146" s="251"/>
    </row>
    <row r="515261" spans="25:37" x14ac:dyDescent="0.2">
      <c r="Y515261" s="5"/>
      <c r="AB515261" s="5"/>
      <c r="AE515261" s="5"/>
      <c r="AH515261" s="5"/>
      <c r="AK515261" s="5"/>
    </row>
    <row r="515271" spans="25:37" x14ac:dyDescent="0.2">
      <c r="Y515271" s="251"/>
      <c r="AB515271" s="251"/>
      <c r="AE515271" s="251"/>
      <c r="AH515271" s="251"/>
      <c r="AK515271" s="251"/>
    </row>
    <row r="515386" spans="25:37" x14ac:dyDescent="0.2">
      <c r="Y515386" s="5"/>
      <c r="AB515386" s="5"/>
      <c r="AE515386" s="5"/>
      <c r="AH515386" s="5"/>
      <c r="AK515386" s="5"/>
    </row>
    <row r="515396" spans="25:37" x14ac:dyDescent="0.2">
      <c r="Y515396" s="251"/>
      <c r="AB515396" s="251"/>
      <c r="AE515396" s="251"/>
      <c r="AH515396" s="251"/>
      <c r="AK515396" s="251"/>
    </row>
    <row r="515511" spans="25:37" x14ac:dyDescent="0.2">
      <c r="Y515511" s="5"/>
      <c r="AB515511" s="5"/>
      <c r="AE515511" s="5"/>
      <c r="AH515511" s="5"/>
      <c r="AK515511" s="5"/>
    </row>
    <row r="515521" spans="25:37" x14ac:dyDescent="0.2">
      <c r="Y515521" s="251"/>
      <c r="AB515521" s="251"/>
      <c r="AE515521" s="251"/>
      <c r="AH515521" s="251"/>
      <c r="AK515521" s="251"/>
    </row>
    <row r="515636" spans="25:37" x14ac:dyDescent="0.2">
      <c r="Y515636" s="5"/>
      <c r="AB515636" s="5"/>
      <c r="AE515636" s="5"/>
      <c r="AH515636" s="5"/>
      <c r="AK515636" s="5"/>
    </row>
    <row r="515646" spans="25:37" x14ac:dyDescent="0.2">
      <c r="Y515646" s="251"/>
      <c r="AB515646" s="251"/>
      <c r="AE515646" s="251"/>
      <c r="AH515646" s="251"/>
      <c r="AK515646" s="251"/>
    </row>
    <row r="515761" spans="25:37" x14ac:dyDescent="0.2">
      <c r="Y515761" s="5"/>
      <c r="AB515761" s="5"/>
      <c r="AE515761" s="5"/>
      <c r="AH515761" s="5"/>
      <c r="AK515761" s="5"/>
    </row>
    <row r="515771" spans="25:37" x14ac:dyDescent="0.2">
      <c r="Y515771" s="251"/>
      <c r="AB515771" s="251"/>
      <c r="AE515771" s="251"/>
      <c r="AH515771" s="251"/>
      <c r="AK515771" s="251"/>
    </row>
    <row r="515886" spans="25:37" x14ac:dyDescent="0.2">
      <c r="Y515886" s="5"/>
      <c r="AB515886" s="5"/>
      <c r="AE515886" s="5"/>
      <c r="AH515886" s="5"/>
      <c r="AK515886" s="5"/>
    </row>
    <row r="515896" spans="25:37" x14ac:dyDescent="0.2">
      <c r="Y515896" s="251"/>
      <c r="AB515896" s="251"/>
      <c r="AE515896" s="251"/>
      <c r="AH515896" s="251"/>
      <c r="AK515896" s="251"/>
    </row>
    <row r="516011" spans="25:37" x14ac:dyDescent="0.2">
      <c r="Y516011" s="5"/>
      <c r="AB516011" s="5"/>
      <c r="AE516011" s="5"/>
      <c r="AH516011" s="5"/>
      <c r="AK516011" s="5"/>
    </row>
    <row r="516021" spans="25:37" x14ac:dyDescent="0.2">
      <c r="Y516021" s="251"/>
      <c r="AB516021" s="251"/>
      <c r="AE516021" s="251"/>
      <c r="AH516021" s="251"/>
      <c r="AK516021" s="251"/>
    </row>
    <row r="516136" spans="25:37" x14ac:dyDescent="0.2">
      <c r="Y516136" s="5"/>
      <c r="AB516136" s="5"/>
      <c r="AE516136" s="5"/>
      <c r="AH516136" s="5"/>
      <c r="AK516136" s="5"/>
    </row>
    <row r="516146" spans="25:37" x14ac:dyDescent="0.2">
      <c r="Y516146" s="251"/>
      <c r="AB516146" s="251"/>
      <c r="AE516146" s="251"/>
      <c r="AH516146" s="251"/>
      <c r="AK516146" s="251"/>
    </row>
    <row r="516261" spans="25:37" x14ac:dyDescent="0.2">
      <c r="Y516261" s="5"/>
      <c r="AB516261" s="5"/>
      <c r="AE516261" s="5"/>
      <c r="AH516261" s="5"/>
      <c r="AK516261" s="5"/>
    </row>
    <row r="516271" spans="25:37" x14ac:dyDescent="0.2">
      <c r="Y516271" s="251"/>
      <c r="AB516271" s="251"/>
      <c r="AE516271" s="251"/>
      <c r="AH516271" s="251"/>
      <c r="AK516271" s="251"/>
    </row>
    <row r="516386" spans="25:37" x14ac:dyDescent="0.2">
      <c r="Y516386" s="5"/>
      <c r="AB516386" s="5"/>
      <c r="AE516386" s="5"/>
      <c r="AH516386" s="5"/>
      <c r="AK516386" s="5"/>
    </row>
    <row r="516396" spans="25:37" x14ac:dyDescent="0.2">
      <c r="Y516396" s="251"/>
      <c r="AB516396" s="251"/>
      <c r="AE516396" s="251"/>
      <c r="AH516396" s="251"/>
      <c r="AK516396" s="251"/>
    </row>
    <row r="516511" spans="25:37" x14ac:dyDescent="0.2">
      <c r="Y516511" s="5"/>
      <c r="AB516511" s="5"/>
      <c r="AE516511" s="5"/>
      <c r="AH516511" s="5"/>
      <c r="AK516511" s="5"/>
    </row>
    <row r="516521" spans="25:37" x14ac:dyDescent="0.2">
      <c r="Y516521" s="251"/>
      <c r="AB516521" s="251"/>
      <c r="AE516521" s="251"/>
      <c r="AH516521" s="251"/>
      <c r="AK516521" s="251"/>
    </row>
    <row r="516636" spans="25:37" x14ac:dyDescent="0.2">
      <c r="Y516636" s="5"/>
      <c r="AB516636" s="5"/>
      <c r="AE516636" s="5"/>
      <c r="AH516636" s="5"/>
      <c r="AK516636" s="5"/>
    </row>
    <row r="516646" spans="25:37" x14ac:dyDescent="0.2">
      <c r="Y516646" s="251"/>
      <c r="AB516646" s="251"/>
      <c r="AE516646" s="251"/>
      <c r="AH516646" s="251"/>
      <c r="AK516646" s="251"/>
    </row>
    <row r="516761" spans="25:37" x14ac:dyDescent="0.2">
      <c r="Y516761" s="5"/>
      <c r="AB516761" s="5"/>
      <c r="AE516761" s="5"/>
      <c r="AH516761" s="5"/>
      <c r="AK516761" s="5"/>
    </row>
    <row r="516771" spans="25:37" x14ac:dyDescent="0.2">
      <c r="Y516771" s="251"/>
      <c r="AB516771" s="251"/>
      <c r="AE516771" s="251"/>
      <c r="AH516771" s="251"/>
      <c r="AK516771" s="251"/>
    </row>
    <row r="516886" spans="25:37" x14ac:dyDescent="0.2">
      <c r="Y516886" s="5"/>
      <c r="AB516886" s="5"/>
      <c r="AE516886" s="5"/>
      <c r="AH516886" s="5"/>
      <c r="AK516886" s="5"/>
    </row>
    <row r="516896" spans="25:37" x14ac:dyDescent="0.2">
      <c r="Y516896" s="251"/>
      <c r="AB516896" s="251"/>
      <c r="AE516896" s="251"/>
      <c r="AH516896" s="251"/>
      <c r="AK516896" s="251"/>
    </row>
    <row r="517011" spans="25:37" x14ac:dyDescent="0.2">
      <c r="Y517011" s="5"/>
      <c r="AB517011" s="5"/>
      <c r="AE517011" s="5"/>
      <c r="AH517011" s="5"/>
      <c r="AK517011" s="5"/>
    </row>
    <row r="517021" spans="25:37" x14ac:dyDescent="0.2">
      <c r="Y517021" s="251"/>
      <c r="AB517021" s="251"/>
      <c r="AE517021" s="251"/>
      <c r="AH517021" s="251"/>
      <c r="AK517021" s="251"/>
    </row>
    <row r="517136" spans="25:37" x14ac:dyDescent="0.2">
      <c r="Y517136" s="5"/>
      <c r="AB517136" s="5"/>
      <c r="AE517136" s="5"/>
      <c r="AH517136" s="5"/>
      <c r="AK517136" s="5"/>
    </row>
    <row r="517146" spans="25:37" x14ac:dyDescent="0.2">
      <c r="Y517146" s="251"/>
      <c r="AB517146" s="251"/>
      <c r="AE517146" s="251"/>
      <c r="AH517146" s="251"/>
      <c r="AK517146" s="251"/>
    </row>
    <row r="517261" spans="25:37" x14ac:dyDescent="0.2">
      <c r="Y517261" s="5"/>
      <c r="AB517261" s="5"/>
      <c r="AE517261" s="5"/>
      <c r="AH517261" s="5"/>
      <c r="AK517261" s="5"/>
    </row>
    <row r="517271" spans="25:37" x14ac:dyDescent="0.2">
      <c r="Y517271" s="251"/>
      <c r="AB517271" s="251"/>
      <c r="AE517271" s="251"/>
      <c r="AH517271" s="251"/>
      <c r="AK517271" s="251"/>
    </row>
    <row r="517386" spans="25:37" x14ac:dyDescent="0.2">
      <c r="Y517386" s="5"/>
      <c r="AB517386" s="5"/>
      <c r="AE517386" s="5"/>
      <c r="AH517386" s="5"/>
      <c r="AK517386" s="5"/>
    </row>
    <row r="517396" spans="25:37" x14ac:dyDescent="0.2">
      <c r="Y517396" s="251"/>
      <c r="AB517396" s="251"/>
      <c r="AE517396" s="251"/>
      <c r="AH517396" s="251"/>
      <c r="AK517396" s="251"/>
    </row>
    <row r="517511" spans="25:37" x14ac:dyDescent="0.2">
      <c r="Y517511" s="5"/>
      <c r="AB517511" s="5"/>
      <c r="AE517511" s="5"/>
      <c r="AH517511" s="5"/>
      <c r="AK517511" s="5"/>
    </row>
    <row r="517521" spans="25:37" x14ac:dyDescent="0.2">
      <c r="Y517521" s="251"/>
      <c r="AB517521" s="251"/>
      <c r="AE517521" s="251"/>
      <c r="AH517521" s="251"/>
      <c r="AK517521" s="251"/>
    </row>
    <row r="517636" spans="25:37" x14ac:dyDescent="0.2">
      <c r="Y517636" s="5"/>
      <c r="AB517636" s="5"/>
      <c r="AE517636" s="5"/>
      <c r="AH517636" s="5"/>
      <c r="AK517636" s="5"/>
    </row>
    <row r="517646" spans="25:37" x14ac:dyDescent="0.2">
      <c r="Y517646" s="251"/>
      <c r="AB517646" s="251"/>
      <c r="AE517646" s="251"/>
      <c r="AH517646" s="251"/>
      <c r="AK517646" s="251"/>
    </row>
    <row r="517761" spans="25:37" x14ac:dyDescent="0.2">
      <c r="Y517761" s="5"/>
      <c r="AB517761" s="5"/>
      <c r="AE517761" s="5"/>
      <c r="AH517761" s="5"/>
      <c r="AK517761" s="5"/>
    </row>
    <row r="517771" spans="25:37" x14ac:dyDescent="0.2">
      <c r="Y517771" s="251"/>
      <c r="AB517771" s="251"/>
      <c r="AE517771" s="251"/>
      <c r="AH517771" s="251"/>
      <c r="AK517771" s="251"/>
    </row>
    <row r="517886" spans="25:37" x14ac:dyDescent="0.2">
      <c r="Y517886" s="5"/>
      <c r="AB517886" s="5"/>
      <c r="AE517886" s="5"/>
      <c r="AH517886" s="5"/>
      <c r="AK517886" s="5"/>
    </row>
    <row r="517896" spans="25:37" x14ac:dyDescent="0.2">
      <c r="Y517896" s="251"/>
      <c r="AB517896" s="251"/>
      <c r="AE517896" s="251"/>
      <c r="AH517896" s="251"/>
      <c r="AK517896" s="251"/>
    </row>
    <row r="518011" spans="25:37" x14ac:dyDescent="0.2">
      <c r="Y518011" s="5"/>
      <c r="AB518011" s="5"/>
      <c r="AE518011" s="5"/>
      <c r="AH518011" s="5"/>
      <c r="AK518011" s="5"/>
    </row>
    <row r="518021" spans="25:37" x14ac:dyDescent="0.2">
      <c r="Y518021" s="251"/>
      <c r="AB518021" s="251"/>
      <c r="AE518021" s="251"/>
      <c r="AH518021" s="251"/>
      <c r="AK518021" s="251"/>
    </row>
    <row r="518136" spans="25:37" x14ac:dyDescent="0.2">
      <c r="Y518136" s="5"/>
      <c r="AB518136" s="5"/>
      <c r="AE518136" s="5"/>
      <c r="AH518136" s="5"/>
      <c r="AK518136" s="5"/>
    </row>
    <row r="518146" spans="25:37" x14ac:dyDescent="0.2">
      <c r="Y518146" s="251"/>
      <c r="AB518146" s="251"/>
      <c r="AE518146" s="251"/>
      <c r="AH518146" s="251"/>
      <c r="AK518146" s="251"/>
    </row>
    <row r="518261" spans="25:37" x14ac:dyDescent="0.2">
      <c r="Y518261" s="5"/>
      <c r="AB518261" s="5"/>
      <c r="AE518261" s="5"/>
      <c r="AH518261" s="5"/>
      <c r="AK518261" s="5"/>
    </row>
    <row r="518271" spans="25:37" x14ac:dyDescent="0.2">
      <c r="Y518271" s="251"/>
      <c r="AB518271" s="251"/>
      <c r="AE518271" s="251"/>
      <c r="AH518271" s="251"/>
      <c r="AK518271" s="251"/>
    </row>
    <row r="518386" spans="25:37" x14ac:dyDescent="0.2">
      <c r="Y518386" s="5"/>
      <c r="AB518386" s="5"/>
      <c r="AE518386" s="5"/>
      <c r="AH518386" s="5"/>
      <c r="AK518386" s="5"/>
    </row>
    <row r="518396" spans="25:37" x14ac:dyDescent="0.2">
      <c r="Y518396" s="251"/>
      <c r="AB518396" s="251"/>
      <c r="AE518396" s="251"/>
      <c r="AH518396" s="251"/>
      <c r="AK518396" s="251"/>
    </row>
    <row r="518511" spans="25:37" x14ac:dyDescent="0.2">
      <c r="Y518511" s="5"/>
      <c r="AB518511" s="5"/>
      <c r="AE518511" s="5"/>
      <c r="AH518511" s="5"/>
      <c r="AK518511" s="5"/>
    </row>
    <row r="518521" spans="25:37" x14ac:dyDescent="0.2">
      <c r="Y518521" s="251"/>
      <c r="AB518521" s="251"/>
      <c r="AE518521" s="251"/>
      <c r="AH518521" s="251"/>
      <c r="AK518521" s="251"/>
    </row>
    <row r="518636" spans="25:37" x14ac:dyDescent="0.2">
      <c r="Y518636" s="5"/>
      <c r="AB518636" s="5"/>
      <c r="AE518636" s="5"/>
      <c r="AH518636" s="5"/>
      <c r="AK518636" s="5"/>
    </row>
    <row r="518646" spans="25:37" x14ac:dyDescent="0.2">
      <c r="Y518646" s="251"/>
      <c r="AB518646" s="251"/>
      <c r="AE518646" s="251"/>
      <c r="AH518646" s="251"/>
      <c r="AK518646" s="251"/>
    </row>
    <row r="518761" spans="25:37" x14ac:dyDescent="0.2">
      <c r="Y518761" s="5"/>
      <c r="AB518761" s="5"/>
      <c r="AE518761" s="5"/>
      <c r="AH518761" s="5"/>
      <c r="AK518761" s="5"/>
    </row>
    <row r="518771" spans="25:37" x14ac:dyDescent="0.2">
      <c r="Y518771" s="251"/>
      <c r="AB518771" s="251"/>
      <c r="AE518771" s="251"/>
      <c r="AH518771" s="251"/>
      <c r="AK518771" s="251"/>
    </row>
    <row r="518886" spans="25:37" x14ac:dyDescent="0.2">
      <c r="Y518886" s="5"/>
      <c r="AB518886" s="5"/>
      <c r="AE518886" s="5"/>
      <c r="AH518886" s="5"/>
      <c r="AK518886" s="5"/>
    </row>
    <row r="518896" spans="25:37" x14ac:dyDescent="0.2">
      <c r="Y518896" s="251"/>
      <c r="AB518896" s="251"/>
      <c r="AE518896" s="251"/>
      <c r="AH518896" s="251"/>
      <c r="AK518896" s="251"/>
    </row>
    <row r="519011" spans="25:37" x14ac:dyDescent="0.2">
      <c r="Y519011" s="5"/>
      <c r="AB519011" s="5"/>
      <c r="AE519011" s="5"/>
      <c r="AH519011" s="5"/>
      <c r="AK519011" s="5"/>
    </row>
    <row r="519021" spans="25:37" x14ac:dyDescent="0.2">
      <c r="Y519021" s="251"/>
      <c r="AB519021" s="251"/>
      <c r="AE519021" s="251"/>
      <c r="AH519021" s="251"/>
      <c r="AK519021" s="251"/>
    </row>
    <row r="519136" spans="25:37" x14ac:dyDescent="0.2">
      <c r="Y519136" s="5"/>
      <c r="AB519136" s="5"/>
      <c r="AE519136" s="5"/>
      <c r="AH519136" s="5"/>
      <c r="AK519136" s="5"/>
    </row>
    <row r="519146" spans="25:37" x14ac:dyDescent="0.2">
      <c r="Y519146" s="251"/>
      <c r="AB519146" s="251"/>
      <c r="AE519146" s="251"/>
      <c r="AH519146" s="251"/>
      <c r="AK519146" s="251"/>
    </row>
    <row r="519261" spans="25:37" x14ac:dyDescent="0.2">
      <c r="Y519261" s="5"/>
      <c r="AB519261" s="5"/>
      <c r="AE519261" s="5"/>
      <c r="AH519261" s="5"/>
      <c r="AK519261" s="5"/>
    </row>
    <row r="519271" spans="25:37" x14ac:dyDescent="0.2">
      <c r="Y519271" s="251"/>
      <c r="AB519271" s="251"/>
      <c r="AE519271" s="251"/>
      <c r="AH519271" s="251"/>
      <c r="AK519271" s="251"/>
    </row>
    <row r="519386" spans="25:37" x14ac:dyDescent="0.2">
      <c r="Y519386" s="5"/>
      <c r="AB519386" s="5"/>
      <c r="AE519386" s="5"/>
      <c r="AH519386" s="5"/>
      <c r="AK519386" s="5"/>
    </row>
    <row r="519396" spans="25:37" x14ac:dyDescent="0.2">
      <c r="Y519396" s="251"/>
      <c r="AB519396" s="251"/>
      <c r="AE519396" s="251"/>
      <c r="AH519396" s="251"/>
      <c r="AK519396" s="251"/>
    </row>
    <row r="519511" spans="25:37" x14ac:dyDescent="0.2">
      <c r="Y519511" s="5"/>
      <c r="AB519511" s="5"/>
      <c r="AE519511" s="5"/>
      <c r="AH519511" s="5"/>
      <c r="AK519511" s="5"/>
    </row>
    <row r="519521" spans="25:37" x14ac:dyDescent="0.2">
      <c r="Y519521" s="251"/>
      <c r="AB519521" s="251"/>
      <c r="AE519521" s="251"/>
      <c r="AH519521" s="251"/>
      <c r="AK519521" s="251"/>
    </row>
    <row r="519636" spans="25:37" x14ac:dyDescent="0.2">
      <c r="Y519636" s="5"/>
      <c r="AB519636" s="5"/>
      <c r="AE519636" s="5"/>
      <c r="AH519636" s="5"/>
      <c r="AK519636" s="5"/>
    </row>
    <row r="519646" spans="25:37" x14ac:dyDescent="0.2">
      <c r="Y519646" s="251"/>
      <c r="AB519646" s="251"/>
      <c r="AE519646" s="251"/>
      <c r="AH519646" s="251"/>
      <c r="AK519646" s="251"/>
    </row>
    <row r="519761" spans="25:37" x14ac:dyDescent="0.2">
      <c r="Y519761" s="5"/>
      <c r="AB519761" s="5"/>
      <c r="AE519761" s="5"/>
      <c r="AH519761" s="5"/>
      <c r="AK519761" s="5"/>
    </row>
    <row r="519771" spans="25:37" x14ac:dyDescent="0.2">
      <c r="Y519771" s="251"/>
      <c r="AB519771" s="251"/>
      <c r="AE519771" s="251"/>
      <c r="AH519771" s="251"/>
      <c r="AK519771" s="251"/>
    </row>
    <row r="519886" spans="25:37" x14ac:dyDescent="0.2">
      <c r="Y519886" s="5"/>
      <c r="AB519886" s="5"/>
      <c r="AE519886" s="5"/>
      <c r="AH519886" s="5"/>
      <c r="AK519886" s="5"/>
    </row>
    <row r="519896" spans="25:37" x14ac:dyDescent="0.2">
      <c r="Y519896" s="251"/>
      <c r="AB519896" s="251"/>
      <c r="AE519896" s="251"/>
      <c r="AH519896" s="251"/>
      <c r="AK519896" s="251"/>
    </row>
    <row r="520011" spans="25:37" x14ac:dyDescent="0.2">
      <c r="Y520011" s="5"/>
      <c r="AB520011" s="5"/>
      <c r="AE520011" s="5"/>
      <c r="AH520011" s="5"/>
      <c r="AK520011" s="5"/>
    </row>
    <row r="520021" spans="25:37" x14ac:dyDescent="0.2">
      <c r="Y520021" s="251"/>
      <c r="AB520021" s="251"/>
      <c r="AE520021" s="251"/>
      <c r="AH520021" s="251"/>
      <c r="AK520021" s="251"/>
    </row>
    <row r="520136" spans="25:37" x14ac:dyDescent="0.2">
      <c r="Y520136" s="5"/>
      <c r="AB520136" s="5"/>
      <c r="AE520136" s="5"/>
      <c r="AH520136" s="5"/>
      <c r="AK520136" s="5"/>
    </row>
    <row r="520146" spans="25:37" x14ac:dyDescent="0.2">
      <c r="Y520146" s="251"/>
      <c r="AB520146" s="251"/>
      <c r="AE520146" s="251"/>
      <c r="AH520146" s="251"/>
      <c r="AK520146" s="251"/>
    </row>
    <row r="520261" spans="25:37" x14ac:dyDescent="0.2">
      <c r="Y520261" s="5"/>
      <c r="AB520261" s="5"/>
      <c r="AE520261" s="5"/>
      <c r="AH520261" s="5"/>
      <c r="AK520261" s="5"/>
    </row>
    <row r="520271" spans="25:37" x14ac:dyDescent="0.2">
      <c r="Y520271" s="251"/>
      <c r="AB520271" s="251"/>
      <c r="AE520271" s="251"/>
      <c r="AH520271" s="251"/>
      <c r="AK520271" s="251"/>
    </row>
    <row r="520386" spans="25:37" x14ac:dyDescent="0.2">
      <c r="Y520386" s="5"/>
      <c r="AB520386" s="5"/>
      <c r="AE520386" s="5"/>
      <c r="AH520386" s="5"/>
      <c r="AK520386" s="5"/>
    </row>
    <row r="520396" spans="25:37" x14ac:dyDescent="0.2">
      <c r="Y520396" s="251"/>
      <c r="AB520396" s="251"/>
      <c r="AE520396" s="251"/>
      <c r="AH520396" s="251"/>
      <c r="AK520396" s="251"/>
    </row>
    <row r="520511" spans="25:37" x14ac:dyDescent="0.2">
      <c r="Y520511" s="5"/>
      <c r="AB520511" s="5"/>
      <c r="AE520511" s="5"/>
      <c r="AH520511" s="5"/>
      <c r="AK520511" s="5"/>
    </row>
    <row r="520521" spans="25:37" x14ac:dyDescent="0.2">
      <c r="Y520521" s="251"/>
      <c r="AB520521" s="251"/>
      <c r="AE520521" s="251"/>
      <c r="AH520521" s="251"/>
      <c r="AK520521" s="251"/>
    </row>
    <row r="520636" spans="25:37" x14ac:dyDescent="0.2">
      <c r="Y520636" s="5"/>
      <c r="AB520636" s="5"/>
      <c r="AE520636" s="5"/>
      <c r="AH520636" s="5"/>
      <c r="AK520636" s="5"/>
    </row>
    <row r="520646" spans="25:37" x14ac:dyDescent="0.2">
      <c r="Y520646" s="251"/>
      <c r="AB520646" s="251"/>
      <c r="AE520646" s="251"/>
      <c r="AH520646" s="251"/>
      <c r="AK520646" s="251"/>
    </row>
    <row r="520761" spans="25:37" x14ac:dyDescent="0.2">
      <c r="Y520761" s="5"/>
      <c r="AB520761" s="5"/>
      <c r="AE520761" s="5"/>
      <c r="AH520761" s="5"/>
      <c r="AK520761" s="5"/>
    </row>
    <row r="520771" spans="25:37" x14ac:dyDescent="0.2">
      <c r="Y520771" s="251"/>
      <c r="AB520771" s="251"/>
      <c r="AE520771" s="251"/>
      <c r="AH520771" s="251"/>
      <c r="AK520771" s="251"/>
    </row>
    <row r="520886" spans="25:37" x14ac:dyDescent="0.2">
      <c r="Y520886" s="5"/>
      <c r="AB520886" s="5"/>
      <c r="AE520886" s="5"/>
      <c r="AH520886" s="5"/>
      <c r="AK520886" s="5"/>
    </row>
    <row r="520896" spans="25:37" x14ac:dyDescent="0.2">
      <c r="Y520896" s="251"/>
      <c r="AB520896" s="251"/>
      <c r="AE520896" s="251"/>
      <c r="AH520896" s="251"/>
      <c r="AK520896" s="251"/>
    </row>
    <row r="521011" spans="25:37" x14ac:dyDescent="0.2">
      <c r="Y521011" s="5"/>
      <c r="AB521011" s="5"/>
      <c r="AE521011" s="5"/>
      <c r="AH521011" s="5"/>
      <c r="AK521011" s="5"/>
    </row>
    <row r="521021" spans="25:37" x14ac:dyDescent="0.2">
      <c r="Y521021" s="251"/>
      <c r="AB521021" s="251"/>
      <c r="AE521021" s="251"/>
      <c r="AH521021" s="251"/>
      <c r="AK521021" s="251"/>
    </row>
    <row r="521136" spans="25:37" x14ac:dyDescent="0.2">
      <c r="Y521136" s="5"/>
      <c r="AB521136" s="5"/>
      <c r="AE521136" s="5"/>
      <c r="AH521136" s="5"/>
      <c r="AK521136" s="5"/>
    </row>
    <row r="521146" spans="25:37" x14ac:dyDescent="0.2">
      <c r="Y521146" s="251"/>
      <c r="AB521146" s="251"/>
      <c r="AE521146" s="251"/>
      <c r="AH521146" s="251"/>
      <c r="AK521146" s="251"/>
    </row>
    <row r="521261" spans="25:37" x14ac:dyDescent="0.2">
      <c r="Y521261" s="5"/>
      <c r="AB521261" s="5"/>
      <c r="AE521261" s="5"/>
      <c r="AH521261" s="5"/>
      <c r="AK521261" s="5"/>
    </row>
    <row r="521271" spans="25:37" x14ac:dyDescent="0.2">
      <c r="Y521271" s="251"/>
      <c r="AB521271" s="251"/>
      <c r="AE521271" s="251"/>
      <c r="AH521271" s="251"/>
      <c r="AK521271" s="251"/>
    </row>
    <row r="521386" spans="25:37" x14ac:dyDescent="0.2">
      <c r="Y521386" s="5"/>
      <c r="AB521386" s="5"/>
      <c r="AE521386" s="5"/>
      <c r="AH521386" s="5"/>
      <c r="AK521386" s="5"/>
    </row>
    <row r="521396" spans="25:37" x14ac:dyDescent="0.2">
      <c r="Y521396" s="251"/>
      <c r="AB521396" s="251"/>
      <c r="AE521396" s="251"/>
      <c r="AH521396" s="251"/>
      <c r="AK521396" s="251"/>
    </row>
    <row r="521511" spans="25:37" x14ac:dyDescent="0.2">
      <c r="Y521511" s="5"/>
      <c r="AB521511" s="5"/>
      <c r="AE521511" s="5"/>
      <c r="AH521511" s="5"/>
      <c r="AK521511" s="5"/>
    </row>
    <row r="521521" spans="25:37" x14ac:dyDescent="0.2">
      <c r="Y521521" s="251"/>
      <c r="AB521521" s="251"/>
      <c r="AE521521" s="251"/>
      <c r="AH521521" s="251"/>
      <c r="AK521521" s="251"/>
    </row>
    <row r="521636" spans="25:37" x14ac:dyDescent="0.2">
      <c r="Y521636" s="5"/>
      <c r="AB521636" s="5"/>
      <c r="AE521636" s="5"/>
      <c r="AH521636" s="5"/>
      <c r="AK521636" s="5"/>
    </row>
    <row r="521646" spans="25:37" x14ac:dyDescent="0.2">
      <c r="Y521646" s="251"/>
      <c r="AB521646" s="251"/>
      <c r="AE521646" s="251"/>
      <c r="AH521646" s="251"/>
      <c r="AK521646" s="251"/>
    </row>
    <row r="521761" spans="25:37" x14ac:dyDescent="0.2">
      <c r="Y521761" s="5"/>
      <c r="AB521761" s="5"/>
      <c r="AE521761" s="5"/>
      <c r="AH521761" s="5"/>
      <c r="AK521761" s="5"/>
    </row>
    <row r="521771" spans="25:37" x14ac:dyDescent="0.2">
      <c r="Y521771" s="251"/>
      <c r="AB521771" s="251"/>
      <c r="AE521771" s="251"/>
      <c r="AH521771" s="251"/>
      <c r="AK521771" s="251"/>
    </row>
    <row r="521886" spans="25:37" x14ac:dyDescent="0.2">
      <c r="Y521886" s="5"/>
      <c r="AB521886" s="5"/>
      <c r="AE521886" s="5"/>
      <c r="AH521886" s="5"/>
      <c r="AK521886" s="5"/>
    </row>
    <row r="521896" spans="25:37" x14ac:dyDescent="0.2">
      <c r="Y521896" s="251"/>
      <c r="AB521896" s="251"/>
      <c r="AE521896" s="251"/>
      <c r="AH521896" s="251"/>
      <c r="AK521896" s="251"/>
    </row>
    <row r="522011" spans="25:37" x14ac:dyDescent="0.2">
      <c r="Y522011" s="5"/>
      <c r="AB522011" s="5"/>
      <c r="AE522011" s="5"/>
      <c r="AH522011" s="5"/>
      <c r="AK522011" s="5"/>
    </row>
    <row r="522021" spans="25:37" x14ac:dyDescent="0.2">
      <c r="Y522021" s="251"/>
      <c r="AB522021" s="251"/>
      <c r="AE522021" s="251"/>
      <c r="AH522021" s="251"/>
      <c r="AK522021" s="251"/>
    </row>
    <row r="522136" spans="25:37" x14ac:dyDescent="0.2">
      <c r="Y522136" s="5"/>
      <c r="AB522136" s="5"/>
      <c r="AE522136" s="5"/>
      <c r="AH522136" s="5"/>
      <c r="AK522136" s="5"/>
    </row>
    <row r="522146" spans="25:37" x14ac:dyDescent="0.2">
      <c r="Y522146" s="251"/>
      <c r="AB522146" s="251"/>
      <c r="AE522146" s="251"/>
      <c r="AH522146" s="251"/>
      <c r="AK522146" s="251"/>
    </row>
    <row r="522261" spans="25:37" x14ac:dyDescent="0.2">
      <c r="Y522261" s="5"/>
      <c r="AB522261" s="5"/>
      <c r="AE522261" s="5"/>
      <c r="AH522261" s="5"/>
      <c r="AK522261" s="5"/>
    </row>
    <row r="522271" spans="25:37" x14ac:dyDescent="0.2">
      <c r="Y522271" s="251"/>
      <c r="AB522271" s="251"/>
      <c r="AE522271" s="251"/>
      <c r="AH522271" s="251"/>
      <c r="AK522271" s="251"/>
    </row>
    <row r="522386" spans="25:37" x14ac:dyDescent="0.2">
      <c r="Y522386" s="5"/>
      <c r="AB522386" s="5"/>
      <c r="AE522386" s="5"/>
      <c r="AH522386" s="5"/>
      <c r="AK522386" s="5"/>
    </row>
    <row r="522396" spans="25:37" x14ac:dyDescent="0.2">
      <c r="Y522396" s="251"/>
      <c r="AB522396" s="251"/>
      <c r="AE522396" s="251"/>
      <c r="AH522396" s="251"/>
      <c r="AK522396" s="251"/>
    </row>
    <row r="522511" spans="25:37" x14ac:dyDescent="0.2">
      <c r="Y522511" s="5"/>
      <c r="AB522511" s="5"/>
      <c r="AE522511" s="5"/>
      <c r="AH522511" s="5"/>
      <c r="AK522511" s="5"/>
    </row>
    <row r="522521" spans="25:37" x14ac:dyDescent="0.2">
      <c r="Y522521" s="251"/>
      <c r="AB522521" s="251"/>
      <c r="AE522521" s="251"/>
      <c r="AH522521" s="251"/>
      <c r="AK522521" s="251"/>
    </row>
    <row r="522636" spans="25:37" x14ac:dyDescent="0.2">
      <c r="Y522636" s="5"/>
      <c r="AB522636" s="5"/>
      <c r="AE522636" s="5"/>
      <c r="AH522636" s="5"/>
      <c r="AK522636" s="5"/>
    </row>
    <row r="522646" spans="25:37" x14ac:dyDescent="0.2">
      <c r="Y522646" s="251"/>
      <c r="AB522646" s="251"/>
      <c r="AE522646" s="251"/>
      <c r="AH522646" s="251"/>
      <c r="AK522646" s="251"/>
    </row>
    <row r="522761" spans="25:37" x14ac:dyDescent="0.2">
      <c r="Y522761" s="5"/>
      <c r="AB522761" s="5"/>
      <c r="AE522761" s="5"/>
      <c r="AH522761" s="5"/>
      <c r="AK522761" s="5"/>
    </row>
    <row r="522771" spans="25:37" x14ac:dyDescent="0.2">
      <c r="Y522771" s="251"/>
      <c r="AB522771" s="251"/>
      <c r="AE522771" s="251"/>
      <c r="AH522771" s="251"/>
      <c r="AK522771" s="251"/>
    </row>
    <row r="522886" spans="25:37" x14ac:dyDescent="0.2">
      <c r="Y522886" s="5"/>
      <c r="AB522886" s="5"/>
      <c r="AE522886" s="5"/>
      <c r="AH522886" s="5"/>
      <c r="AK522886" s="5"/>
    </row>
    <row r="522896" spans="25:37" x14ac:dyDescent="0.2">
      <c r="Y522896" s="251"/>
      <c r="AB522896" s="251"/>
      <c r="AE522896" s="251"/>
      <c r="AH522896" s="251"/>
      <c r="AK522896" s="251"/>
    </row>
    <row r="523011" spans="25:37" x14ac:dyDescent="0.2">
      <c r="Y523011" s="5"/>
      <c r="AB523011" s="5"/>
      <c r="AE523011" s="5"/>
      <c r="AH523011" s="5"/>
      <c r="AK523011" s="5"/>
    </row>
    <row r="523021" spans="25:37" x14ac:dyDescent="0.2">
      <c r="Y523021" s="251"/>
      <c r="AB523021" s="251"/>
      <c r="AE523021" s="251"/>
      <c r="AH523021" s="251"/>
      <c r="AK523021" s="251"/>
    </row>
    <row r="523136" spans="25:37" x14ac:dyDescent="0.2">
      <c r="Y523136" s="5"/>
      <c r="AB523136" s="5"/>
      <c r="AE523136" s="5"/>
      <c r="AH523136" s="5"/>
      <c r="AK523136" s="5"/>
    </row>
    <row r="523146" spans="25:37" x14ac:dyDescent="0.2">
      <c r="Y523146" s="251"/>
      <c r="AB523146" s="251"/>
      <c r="AE523146" s="251"/>
      <c r="AH523146" s="251"/>
      <c r="AK523146" s="251"/>
    </row>
    <row r="523261" spans="25:37" x14ac:dyDescent="0.2">
      <c r="Y523261" s="5"/>
      <c r="AB523261" s="5"/>
      <c r="AE523261" s="5"/>
      <c r="AH523261" s="5"/>
      <c r="AK523261" s="5"/>
    </row>
    <row r="523271" spans="25:37" x14ac:dyDescent="0.2">
      <c r="Y523271" s="251"/>
      <c r="AB523271" s="251"/>
      <c r="AE523271" s="251"/>
      <c r="AH523271" s="251"/>
      <c r="AK523271" s="251"/>
    </row>
    <row r="523386" spans="25:37" x14ac:dyDescent="0.2">
      <c r="Y523386" s="5"/>
      <c r="AB523386" s="5"/>
      <c r="AE523386" s="5"/>
      <c r="AH523386" s="5"/>
      <c r="AK523386" s="5"/>
    </row>
    <row r="523396" spans="25:37" x14ac:dyDescent="0.2">
      <c r="Y523396" s="251"/>
      <c r="AB523396" s="251"/>
      <c r="AE523396" s="251"/>
      <c r="AH523396" s="251"/>
      <c r="AK523396" s="251"/>
    </row>
    <row r="523511" spans="25:37" x14ac:dyDescent="0.2">
      <c r="Y523511" s="5"/>
      <c r="AB523511" s="5"/>
      <c r="AE523511" s="5"/>
      <c r="AH523511" s="5"/>
      <c r="AK523511" s="5"/>
    </row>
    <row r="523521" spans="25:37" x14ac:dyDescent="0.2">
      <c r="Y523521" s="251"/>
      <c r="AB523521" s="251"/>
      <c r="AE523521" s="251"/>
      <c r="AH523521" s="251"/>
      <c r="AK523521" s="251"/>
    </row>
    <row r="523636" spans="25:37" x14ac:dyDescent="0.2">
      <c r="Y523636" s="5"/>
      <c r="AB523636" s="5"/>
      <c r="AE523636" s="5"/>
      <c r="AH523636" s="5"/>
      <c r="AK523636" s="5"/>
    </row>
    <row r="523646" spans="25:37" x14ac:dyDescent="0.2">
      <c r="Y523646" s="251"/>
      <c r="AB523646" s="251"/>
      <c r="AE523646" s="251"/>
      <c r="AH523646" s="251"/>
      <c r="AK523646" s="251"/>
    </row>
    <row r="523761" spans="25:37" x14ac:dyDescent="0.2">
      <c r="Y523761" s="5"/>
      <c r="AB523761" s="5"/>
      <c r="AE523761" s="5"/>
      <c r="AH523761" s="5"/>
      <c r="AK523761" s="5"/>
    </row>
    <row r="523771" spans="25:37" x14ac:dyDescent="0.2">
      <c r="Y523771" s="251"/>
      <c r="AB523771" s="251"/>
      <c r="AE523771" s="251"/>
      <c r="AH523771" s="251"/>
      <c r="AK523771" s="251"/>
    </row>
    <row r="523886" spans="25:37" x14ac:dyDescent="0.2">
      <c r="Y523886" s="5"/>
      <c r="AB523886" s="5"/>
      <c r="AE523886" s="5"/>
      <c r="AH523886" s="5"/>
      <c r="AK523886" s="5"/>
    </row>
    <row r="523896" spans="25:37" x14ac:dyDescent="0.2">
      <c r="Y523896" s="251"/>
      <c r="AB523896" s="251"/>
      <c r="AE523896" s="251"/>
      <c r="AH523896" s="251"/>
      <c r="AK523896" s="251"/>
    </row>
    <row r="524011" spans="25:37" x14ac:dyDescent="0.2">
      <c r="Y524011" s="5"/>
      <c r="AB524011" s="5"/>
      <c r="AE524011" s="5"/>
      <c r="AH524011" s="5"/>
      <c r="AK524011" s="5"/>
    </row>
    <row r="524021" spans="25:37" x14ac:dyDescent="0.2">
      <c r="Y524021" s="251"/>
      <c r="AB524021" s="251"/>
      <c r="AE524021" s="251"/>
      <c r="AH524021" s="251"/>
      <c r="AK524021" s="251"/>
    </row>
    <row r="524136" spans="25:37" x14ac:dyDescent="0.2">
      <c r="Y524136" s="5"/>
      <c r="AB524136" s="5"/>
      <c r="AE524136" s="5"/>
      <c r="AH524136" s="5"/>
      <c r="AK524136" s="5"/>
    </row>
    <row r="524146" spans="25:37" x14ac:dyDescent="0.2">
      <c r="Y524146" s="251"/>
      <c r="AB524146" s="251"/>
      <c r="AE524146" s="251"/>
      <c r="AH524146" s="251"/>
      <c r="AK524146" s="251"/>
    </row>
    <row r="524261" spans="25:37" x14ac:dyDescent="0.2">
      <c r="Y524261" s="5"/>
      <c r="AB524261" s="5"/>
      <c r="AE524261" s="5"/>
      <c r="AH524261" s="5"/>
      <c r="AK524261" s="5"/>
    </row>
    <row r="524271" spans="25:37" x14ac:dyDescent="0.2">
      <c r="Y524271" s="251"/>
      <c r="AB524271" s="251"/>
      <c r="AE524271" s="251"/>
      <c r="AH524271" s="251"/>
      <c r="AK524271" s="251"/>
    </row>
    <row r="524386" spans="25:37" x14ac:dyDescent="0.2">
      <c r="Y524386" s="5"/>
      <c r="AB524386" s="5"/>
      <c r="AE524386" s="5"/>
      <c r="AH524386" s="5"/>
      <c r="AK524386" s="5"/>
    </row>
    <row r="524396" spans="25:37" x14ac:dyDescent="0.2">
      <c r="Y524396" s="251"/>
      <c r="AB524396" s="251"/>
      <c r="AE524396" s="251"/>
      <c r="AH524396" s="251"/>
      <c r="AK524396" s="251"/>
    </row>
    <row r="524511" spans="25:37" x14ac:dyDescent="0.2">
      <c r="Y524511" s="5"/>
      <c r="AB524511" s="5"/>
      <c r="AE524511" s="5"/>
      <c r="AH524511" s="5"/>
      <c r="AK524511" s="5"/>
    </row>
    <row r="524521" spans="25:37" x14ac:dyDescent="0.2">
      <c r="Y524521" s="251"/>
      <c r="AB524521" s="251"/>
      <c r="AE524521" s="251"/>
      <c r="AH524521" s="251"/>
      <c r="AK524521" s="251"/>
    </row>
    <row r="524636" spans="25:37" x14ac:dyDescent="0.2">
      <c r="Y524636" s="5"/>
      <c r="AB524636" s="5"/>
      <c r="AE524636" s="5"/>
      <c r="AH524636" s="5"/>
      <c r="AK524636" s="5"/>
    </row>
    <row r="524646" spans="25:37" x14ac:dyDescent="0.2">
      <c r="Y524646" s="251"/>
      <c r="AB524646" s="251"/>
      <c r="AE524646" s="251"/>
      <c r="AH524646" s="251"/>
      <c r="AK524646" s="251"/>
    </row>
    <row r="524761" spans="25:37" x14ac:dyDescent="0.2">
      <c r="Y524761" s="5"/>
      <c r="AB524761" s="5"/>
      <c r="AE524761" s="5"/>
      <c r="AH524761" s="5"/>
      <c r="AK524761" s="5"/>
    </row>
    <row r="524771" spans="25:37" x14ac:dyDescent="0.2">
      <c r="Y524771" s="251"/>
      <c r="AB524771" s="251"/>
      <c r="AE524771" s="251"/>
      <c r="AH524771" s="251"/>
      <c r="AK524771" s="251"/>
    </row>
    <row r="524886" spans="25:37" x14ac:dyDescent="0.2">
      <c r="Y524886" s="5"/>
      <c r="AB524886" s="5"/>
      <c r="AE524886" s="5"/>
      <c r="AH524886" s="5"/>
      <c r="AK524886" s="5"/>
    </row>
    <row r="524896" spans="25:37" x14ac:dyDescent="0.2">
      <c r="Y524896" s="251"/>
      <c r="AB524896" s="251"/>
      <c r="AE524896" s="251"/>
      <c r="AH524896" s="251"/>
      <c r="AK524896" s="251"/>
    </row>
    <row r="525011" spans="25:37" x14ac:dyDescent="0.2">
      <c r="Y525011" s="5"/>
      <c r="AB525011" s="5"/>
      <c r="AE525011" s="5"/>
      <c r="AH525011" s="5"/>
      <c r="AK525011" s="5"/>
    </row>
    <row r="525021" spans="25:37" x14ac:dyDescent="0.2">
      <c r="Y525021" s="251"/>
      <c r="AB525021" s="251"/>
      <c r="AE525021" s="251"/>
      <c r="AH525021" s="251"/>
      <c r="AK525021" s="251"/>
    </row>
    <row r="525136" spans="25:37" x14ac:dyDescent="0.2">
      <c r="Y525136" s="5"/>
      <c r="AB525136" s="5"/>
      <c r="AE525136" s="5"/>
      <c r="AH525136" s="5"/>
      <c r="AK525136" s="5"/>
    </row>
    <row r="525146" spans="25:37" x14ac:dyDescent="0.2">
      <c r="Y525146" s="251"/>
      <c r="AB525146" s="251"/>
      <c r="AE525146" s="251"/>
      <c r="AH525146" s="251"/>
      <c r="AK525146" s="251"/>
    </row>
    <row r="525261" spans="25:37" x14ac:dyDescent="0.2">
      <c r="Y525261" s="5"/>
      <c r="AB525261" s="5"/>
      <c r="AE525261" s="5"/>
      <c r="AH525261" s="5"/>
      <c r="AK525261" s="5"/>
    </row>
    <row r="525271" spans="25:37" x14ac:dyDescent="0.2">
      <c r="Y525271" s="251"/>
      <c r="AB525271" s="251"/>
      <c r="AE525271" s="251"/>
      <c r="AH525271" s="251"/>
      <c r="AK525271" s="251"/>
    </row>
    <row r="525386" spans="25:37" x14ac:dyDescent="0.2">
      <c r="Y525386" s="5"/>
      <c r="AB525386" s="5"/>
      <c r="AE525386" s="5"/>
      <c r="AH525386" s="5"/>
      <c r="AK525386" s="5"/>
    </row>
    <row r="525396" spans="25:37" x14ac:dyDescent="0.2">
      <c r="Y525396" s="251"/>
      <c r="AB525396" s="251"/>
      <c r="AE525396" s="251"/>
      <c r="AH525396" s="251"/>
      <c r="AK525396" s="251"/>
    </row>
    <row r="525511" spans="25:37" x14ac:dyDescent="0.2">
      <c r="Y525511" s="5"/>
      <c r="AB525511" s="5"/>
      <c r="AE525511" s="5"/>
      <c r="AH525511" s="5"/>
      <c r="AK525511" s="5"/>
    </row>
    <row r="525521" spans="25:37" x14ac:dyDescent="0.2">
      <c r="Y525521" s="251"/>
      <c r="AB525521" s="251"/>
      <c r="AE525521" s="251"/>
      <c r="AH525521" s="251"/>
      <c r="AK525521" s="251"/>
    </row>
    <row r="525636" spans="25:37" x14ac:dyDescent="0.2">
      <c r="Y525636" s="5"/>
      <c r="AB525636" s="5"/>
      <c r="AE525636" s="5"/>
      <c r="AH525636" s="5"/>
      <c r="AK525636" s="5"/>
    </row>
    <row r="525646" spans="25:37" x14ac:dyDescent="0.2">
      <c r="Y525646" s="251"/>
      <c r="AB525646" s="251"/>
      <c r="AE525646" s="251"/>
      <c r="AH525646" s="251"/>
      <c r="AK525646" s="251"/>
    </row>
    <row r="525761" spans="25:37" x14ac:dyDescent="0.2">
      <c r="Y525761" s="5"/>
      <c r="AB525761" s="5"/>
      <c r="AE525761" s="5"/>
      <c r="AH525761" s="5"/>
      <c r="AK525761" s="5"/>
    </row>
    <row r="525771" spans="25:37" x14ac:dyDescent="0.2">
      <c r="Y525771" s="251"/>
      <c r="AB525771" s="251"/>
      <c r="AE525771" s="251"/>
      <c r="AH525771" s="251"/>
      <c r="AK525771" s="251"/>
    </row>
    <row r="525886" spans="25:37" x14ac:dyDescent="0.2">
      <c r="Y525886" s="5"/>
      <c r="AB525886" s="5"/>
      <c r="AE525886" s="5"/>
      <c r="AH525886" s="5"/>
      <c r="AK525886" s="5"/>
    </row>
    <row r="525896" spans="25:37" x14ac:dyDescent="0.2">
      <c r="Y525896" s="251"/>
      <c r="AB525896" s="251"/>
      <c r="AE525896" s="251"/>
      <c r="AH525896" s="251"/>
      <c r="AK525896" s="251"/>
    </row>
    <row r="526011" spans="25:37" x14ac:dyDescent="0.2">
      <c r="Y526011" s="5"/>
      <c r="AB526011" s="5"/>
      <c r="AE526011" s="5"/>
      <c r="AH526011" s="5"/>
      <c r="AK526011" s="5"/>
    </row>
    <row r="526021" spans="25:37" x14ac:dyDescent="0.2">
      <c r="Y526021" s="251"/>
      <c r="AB526021" s="251"/>
      <c r="AE526021" s="251"/>
      <c r="AH526021" s="251"/>
      <c r="AK526021" s="251"/>
    </row>
    <row r="526136" spans="25:37" x14ac:dyDescent="0.2">
      <c r="Y526136" s="5"/>
      <c r="AB526136" s="5"/>
      <c r="AE526136" s="5"/>
      <c r="AH526136" s="5"/>
      <c r="AK526136" s="5"/>
    </row>
    <row r="526146" spans="25:37" x14ac:dyDescent="0.2">
      <c r="Y526146" s="251"/>
      <c r="AB526146" s="251"/>
      <c r="AE526146" s="251"/>
      <c r="AH526146" s="251"/>
      <c r="AK526146" s="251"/>
    </row>
    <row r="526261" spans="25:37" x14ac:dyDescent="0.2">
      <c r="Y526261" s="5"/>
      <c r="AB526261" s="5"/>
      <c r="AE526261" s="5"/>
      <c r="AH526261" s="5"/>
      <c r="AK526261" s="5"/>
    </row>
    <row r="526271" spans="25:37" x14ac:dyDescent="0.2">
      <c r="Y526271" s="251"/>
      <c r="AB526271" s="251"/>
      <c r="AE526271" s="251"/>
      <c r="AH526271" s="251"/>
      <c r="AK526271" s="251"/>
    </row>
    <row r="526386" spans="25:37" x14ac:dyDescent="0.2">
      <c r="Y526386" s="5"/>
      <c r="AB526386" s="5"/>
      <c r="AE526386" s="5"/>
      <c r="AH526386" s="5"/>
      <c r="AK526386" s="5"/>
    </row>
    <row r="526396" spans="25:37" x14ac:dyDescent="0.2">
      <c r="Y526396" s="251"/>
      <c r="AB526396" s="251"/>
      <c r="AE526396" s="251"/>
      <c r="AH526396" s="251"/>
      <c r="AK526396" s="251"/>
    </row>
    <row r="526511" spans="25:37" x14ac:dyDescent="0.2">
      <c r="Y526511" s="5"/>
      <c r="AB526511" s="5"/>
      <c r="AE526511" s="5"/>
      <c r="AH526511" s="5"/>
      <c r="AK526511" s="5"/>
    </row>
    <row r="526521" spans="25:37" x14ac:dyDescent="0.2">
      <c r="Y526521" s="251"/>
      <c r="AB526521" s="251"/>
      <c r="AE526521" s="251"/>
      <c r="AH526521" s="251"/>
      <c r="AK526521" s="251"/>
    </row>
    <row r="526636" spans="25:37" x14ac:dyDescent="0.2">
      <c r="Y526636" s="5"/>
      <c r="AB526636" s="5"/>
      <c r="AE526636" s="5"/>
      <c r="AH526636" s="5"/>
      <c r="AK526636" s="5"/>
    </row>
    <row r="526646" spans="25:37" x14ac:dyDescent="0.2">
      <c r="Y526646" s="251"/>
      <c r="AB526646" s="251"/>
      <c r="AE526646" s="251"/>
      <c r="AH526646" s="251"/>
      <c r="AK526646" s="251"/>
    </row>
    <row r="526761" spans="25:37" x14ac:dyDescent="0.2">
      <c r="Y526761" s="5"/>
      <c r="AB526761" s="5"/>
      <c r="AE526761" s="5"/>
      <c r="AH526761" s="5"/>
      <c r="AK526761" s="5"/>
    </row>
    <row r="526771" spans="25:37" x14ac:dyDescent="0.2">
      <c r="Y526771" s="251"/>
      <c r="AB526771" s="251"/>
      <c r="AE526771" s="251"/>
      <c r="AH526771" s="251"/>
      <c r="AK526771" s="251"/>
    </row>
    <row r="526886" spans="25:37" x14ac:dyDescent="0.2">
      <c r="Y526886" s="5"/>
      <c r="AB526886" s="5"/>
      <c r="AE526886" s="5"/>
      <c r="AH526886" s="5"/>
      <c r="AK526886" s="5"/>
    </row>
    <row r="526896" spans="25:37" x14ac:dyDescent="0.2">
      <c r="Y526896" s="251"/>
      <c r="AB526896" s="251"/>
      <c r="AE526896" s="251"/>
      <c r="AH526896" s="251"/>
      <c r="AK526896" s="251"/>
    </row>
    <row r="527011" spans="25:37" x14ac:dyDescent="0.2">
      <c r="Y527011" s="5"/>
      <c r="AB527011" s="5"/>
      <c r="AE527011" s="5"/>
      <c r="AH527011" s="5"/>
      <c r="AK527011" s="5"/>
    </row>
    <row r="527021" spans="25:37" x14ac:dyDescent="0.2">
      <c r="Y527021" s="251"/>
      <c r="AB527021" s="251"/>
      <c r="AE527021" s="251"/>
      <c r="AH527021" s="251"/>
      <c r="AK527021" s="251"/>
    </row>
    <row r="527136" spans="25:37" x14ac:dyDescent="0.2">
      <c r="Y527136" s="5"/>
      <c r="AB527136" s="5"/>
      <c r="AE527136" s="5"/>
      <c r="AH527136" s="5"/>
      <c r="AK527136" s="5"/>
    </row>
    <row r="527146" spans="25:37" x14ac:dyDescent="0.2">
      <c r="Y527146" s="251"/>
      <c r="AB527146" s="251"/>
      <c r="AE527146" s="251"/>
      <c r="AH527146" s="251"/>
      <c r="AK527146" s="251"/>
    </row>
    <row r="527261" spans="25:37" x14ac:dyDescent="0.2">
      <c r="Y527261" s="5"/>
      <c r="AB527261" s="5"/>
      <c r="AE527261" s="5"/>
      <c r="AH527261" s="5"/>
      <c r="AK527261" s="5"/>
    </row>
    <row r="527271" spans="25:37" x14ac:dyDescent="0.2">
      <c r="Y527271" s="251"/>
      <c r="AB527271" s="251"/>
      <c r="AE527271" s="251"/>
      <c r="AH527271" s="251"/>
      <c r="AK527271" s="251"/>
    </row>
    <row r="527386" spans="25:37" x14ac:dyDescent="0.2">
      <c r="Y527386" s="5"/>
      <c r="AB527386" s="5"/>
      <c r="AE527386" s="5"/>
      <c r="AH527386" s="5"/>
      <c r="AK527386" s="5"/>
    </row>
    <row r="527396" spans="25:37" x14ac:dyDescent="0.2">
      <c r="Y527396" s="251"/>
      <c r="AB527396" s="251"/>
      <c r="AE527396" s="251"/>
      <c r="AH527396" s="251"/>
      <c r="AK527396" s="251"/>
    </row>
    <row r="527511" spans="25:37" x14ac:dyDescent="0.2">
      <c r="Y527511" s="5"/>
      <c r="AB527511" s="5"/>
      <c r="AE527511" s="5"/>
      <c r="AH527511" s="5"/>
      <c r="AK527511" s="5"/>
    </row>
    <row r="527521" spans="25:37" x14ac:dyDescent="0.2">
      <c r="Y527521" s="251"/>
      <c r="AB527521" s="251"/>
      <c r="AE527521" s="251"/>
      <c r="AH527521" s="251"/>
      <c r="AK527521" s="251"/>
    </row>
    <row r="527636" spans="25:37" x14ac:dyDescent="0.2">
      <c r="Y527636" s="5"/>
      <c r="AB527636" s="5"/>
      <c r="AE527636" s="5"/>
      <c r="AH527636" s="5"/>
      <c r="AK527636" s="5"/>
    </row>
    <row r="527646" spans="25:37" x14ac:dyDescent="0.2">
      <c r="Y527646" s="251"/>
      <c r="AB527646" s="251"/>
      <c r="AE527646" s="251"/>
      <c r="AH527646" s="251"/>
      <c r="AK527646" s="251"/>
    </row>
    <row r="527761" spans="25:37" x14ac:dyDescent="0.2">
      <c r="Y527761" s="5"/>
      <c r="AB527761" s="5"/>
      <c r="AE527761" s="5"/>
      <c r="AH527761" s="5"/>
      <c r="AK527761" s="5"/>
    </row>
    <row r="527771" spans="25:37" x14ac:dyDescent="0.2">
      <c r="Y527771" s="251"/>
      <c r="AB527771" s="251"/>
      <c r="AE527771" s="251"/>
      <c r="AH527771" s="251"/>
      <c r="AK527771" s="251"/>
    </row>
    <row r="527886" spans="25:37" x14ac:dyDescent="0.2">
      <c r="Y527886" s="5"/>
      <c r="AB527886" s="5"/>
      <c r="AE527886" s="5"/>
      <c r="AH527886" s="5"/>
      <c r="AK527886" s="5"/>
    </row>
    <row r="527896" spans="25:37" x14ac:dyDescent="0.2">
      <c r="Y527896" s="251"/>
      <c r="AB527896" s="251"/>
      <c r="AE527896" s="251"/>
      <c r="AH527896" s="251"/>
      <c r="AK527896" s="251"/>
    </row>
    <row r="528011" spans="25:37" x14ac:dyDescent="0.2">
      <c r="Y528011" s="5"/>
      <c r="AB528011" s="5"/>
      <c r="AE528011" s="5"/>
      <c r="AH528011" s="5"/>
      <c r="AK528011" s="5"/>
    </row>
    <row r="528021" spans="25:37" x14ac:dyDescent="0.2">
      <c r="Y528021" s="251"/>
      <c r="AB528021" s="251"/>
      <c r="AE528021" s="251"/>
      <c r="AH528021" s="251"/>
      <c r="AK528021" s="251"/>
    </row>
    <row r="528136" spans="25:37" x14ac:dyDescent="0.2">
      <c r="Y528136" s="5"/>
      <c r="AB528136" s="5"/>
      <c r="AE528136" s="5"/>
      <c r="AH528136" s="5"/>
      <c r="AK528136" s="5"/>
    </row>
    <row r="528146" spans="25:37" x14ac:dyDescent="0.2">
      <c r="Y528146" s="251"/>
      <c r="AB528146" s="251"/>
      <c r="AE528146" s="251"/>
      <c r="AH528146" s="251"/>
      <c r="AK528146" s="251"/>
    </row>
    <row r="528261" spans="25:37" x14ac:dyDescent="0.2">
      <c r="Y528261" s="5"/>
      <c r="AB528261" s="5"/>
      <c r="AE528261" s="5"/>
      <c r="AH528261" s="5"/>
      <c r="AK528261" s="5"/>
    </row>
    <row r="528271" spans="25:37" x14ac:dyDescent="0.2">
      <c r="Y528271" s="251"/>
      <c r="AB528271" s="251"/>
      <c r="AE528271" s="251"/>
      <c r="AH528271" s="251"/>
      <c r="AK528271" s="251"/>
    </row>
    <row r="528386" spans="25:37" x14ac:dyDescent="0.2">
      <c r="Y528386" s="5"/>
      <c r="AB528386" s="5"/>
      <c r="AE528386" s="5"/>
      <c r="AH528386" s="5"/>
      <c r="AK528386" s="5"/>
    </row>
    <row r="528396" spans="25:37" x14ac:dyDescent="0.2">
      <c r="Y528396" s="251"/>
      <c r="AB528396" s="251"/>
      <c r="AE528396" s="251"/>
      <c r="AH528396" s="251"/>
      <c r="AK528396" s="251"/>
    </row>
    <row r="528511" spans="25:37" x14ac:dyDescent="0.2">
      <c r="Y528511" s="5"/>
      <c r="AB528511" s="5"/>
      <c r="AE528511" s="5"/>
      <c r="AH528511" s="5"/>
      <c r="AK528511" s="5"/>
    </row>
    <row r="528521" spans="25:37" x14ac:dyDescent="0.2">
      <c r="Y528521" s="251"/>
      <c r="AB528521" s="251"/>
      <c r="AE528521" s="251"/>
      <c r="AH528521" s="251"/>
      <c r="AK528521" s="251"/>
    </row>
    <row r="528636" spans="25:37" x14ac:dyDescent="0.2">
      <c r="Y528636" s="5"/>
      <c r="AB528636" s="5"/>
      <c r="AE528636" s="5"/>
      <c r="AH528636" s="5"/>
      <c r="AK528636" s="5"/>
    </row>
    <row r="528646" spans="25:37" x14ac:dyDescent="0.2">
      <c r="Y528646" s="251"/>
      <c r="AB528646" s="251"/>
      <c r="AE528646" s="251"/>
      <c r="AH528646" s="251"/>
      <c r="AK528646" s="251"/>
    </row>
    <row r="528761" spans="25:37" x14ac:dyDescent="0.2">
      <c r="Y528761" s="5"/>
      <c r="AB528761" s="5"/>
      <c r="AE528761" s="5"/>
      <c r="AH528761" s="5"/>
      <c r="AK528761" s="5"/>
    </row>
    <row r="528771" spans="25:37" x14ac:dyDescent="0.2">
      <c r="Y528771" s="251"/>
      <c r="AB528771" s="251"/>
      <c r="AE528771" s="251"/>
      <c r="AH528771" s="251"/>
      <c r="AK528771" s="251"/>
    </row>
    <row r="528886" spans="25:37" x14ac:dyDescent="0.2">
      <c r="Y528886" s="5"/>
      <c r="AB528886" s="5"/>
      <c r="AE528886" s="5"/>
      <c r="AH528886" s="5"/>
      <c r="AK528886" s="5"/>
    </row>
    <row r="528896" spans="25:37" x14ac:dyDescent="0.2">
      <c r="Y528896" s="251"/>
      <c r="AB528896" s="251"/>
      <c r="AE528896" s="251"/>
      <c r="AH528896" s="251"/>
      <c r="AK528896" s="251"/>
    </row>
    <row r="529011" spans="25:37" x14ac:dyDescent="0.2">
      <c r="Y529011" s="5"/>
      <c r="AB529011" s="5"/>
      <c r="AE529011" s="5"/>
      <c r="AH529011" s="5"/>
      <c r="AK529011" s="5"/>
    </row>
    <row r="529021" spans="25:37" x14ac:dyDescent="0.2">
      <c r="Y529021" s="251"/>
      <c r="AB529021" s="251"/>
      <c r="AE529021" s="251"/>
      <c r="AH529021" s="251"/>
      <c r="AK529021" s="251"/>
    </row>
    <row r="529136" spans="25:37" x14ac:dyDescent="0.2">
      <c r="Y529136" s="5"/>
      <c r="AB529136" s="5"/>
      <c r="AE529136" s="5"/>
      <c r="AH529136" s="5"/>
      <c r="AK529136" s="5"/>
    </row>
    <row r="529146" spans="25:37" x14ac:dyDescent="0.2">
      <c r="Y529146" s="251"/>
      <c r="AB529146" s="251"/>
      <c r="AE529146" s="251"/>
      <c r="AH529146" s="251"/>
      <c r="AK529146" s="251"/>
    </row>
    <row r="529261" spans="25:37" x14ac:dyDescent="0.2">
      <c r="Y529261" s="5"/>
      <c r="AB529261" s="5"/>
      <c r="AE529261" s="5"/>
      <c r="AH529261" s="5"/>
      <c r="AK529261" s="5"/>
    </row>
    <row r="529271" spans="25:37" x14ac:dyDescent="0.2">
      <c r="Y529271" s="251"/>
      <c r="AB529271" s="251"/>
      <c r="AE529271" s="251"/>
      <c r="AH529271" s="251"/>
      <c r="AK529271" s="251"/>
    </row>
    <row r="529386" spans="25:37" x14ac:dyDescent="0.2">
      <c r="Y529386" s="5"/>
      <c r="AB529386" s="5"/>
      <c r="AE529386" s="5"/>
      <c r="AH529386" s="5"/>
      <c r="AK529386" s="5"/>
    </row>
    <row r="529396" spans="25:37" x14ac:dyDescent="0.2">
      <c r="Y529396" s="251"/>
      <c r="AB529396" s="251"/>
      <c r="AE529396" s="251"/>
      <c r="AH529396" s="251"/>
      <c r="AK529396" s="251"/>
    </row>
    <row r="529511" spans="25:37" x14ac:dyDescent="0.2">
      <c r="Y529511" s="5"/>
      <c r="AB529511" s="5"/>
      <c r="AE529511" s="5"/>
      <c r="AH529511" s="5"/>
      <c r="AK529511" s="5"/>
    </row>
    <row r="529521" spans="25:37" x14ac:dyDescent="0.2">
      <c r="Y529521" s="251"/>
      <c r="AB529521" s="251"/>
      <c r="AE529521" s="251"/>
      <c r="AH529521" s="251"/>
      <c r="AK529521" s="251"/>
    </row>
    <row r="529636" spans="25:37" x14ac:dyDescent="0.2">
      <c r="Y529636" s="5"/>
      <c r="AB529636" s="5"/>
      <c r="AE529636" s="5"/>
      <c r="AH529636" s="5"/>
      <c r="AK529636" s="5"/>
    </row>
    <row r="529646" spans="25:37" x14ac:dyDescent="0.2">
      <c r="Y529646" s="251"/>
      <c r="AB529646" s="251"/>
      <c r="AE529646" s="251"/>
      <c r="AH529646" s="251"/>
      <c r="AK529646" s="251"/>
    </row>
    <row r="529761" spans="25:37" x14ac:dyDescent="0.2">
      <c r="Y529761" s="5"/>
      <c r="AB529761" s="5"/>
      <c r="AE529761" s="5"/>
      <c r="AH529761" s="5"/>
      <c r="AK529761" s="5"/>
    </row>
    <row r="529771" spans="25:37" x14ac:dyDescent="0.2">
      <c r="Y529771" s="251"/>
      <c r="AB529771" s="251"/>
      <c r="AE529771" s="251"/>
      <c r="AH529771" s="251"/>
      <c r="AK529771" s="251"/>
    </row>
    <row r="529886" spans="25:37" x14ac:dyDescent="0.2">
      <c r="Y529886" s="5"/>
      <c r="AB529886" s="5"/>
      <c r="AE529886" s="5"/>
      <c r="AH529886" s="5"/>
      <c r="AK529886" s="5"/>
    </row>
    <row r="529896" spans="25:37" x14ac:dyDescent="0.2">
      <c r="Y529896" s="251"/>
      <c r="AB529896" s="251"/>
      <c r="AE529896" s="251"/>
      <c r="AH529896" s="251"/>
      <c r="AK529896" s="251"/>
    </row>
    <row r="530011" spans="25:37" x14ac:dyDescent="0.2">
      <c r="Y530011" s="5"/>
      <c r="AB530011" s="5"/>
      <c r="AE530011" s="5"/>
      <c r="AH530011" s="5"/>
      <c r="AK530011" s="5"/>
    </row>
    <row r="530021" spans="25:37" x14ac:dyDescent="0.2">
      <c r="Y530021" s="251"/>
      <c r="AB530021" s="251"/>
      <c r="AE530021" s="251"/>
      <c r="AH530021" s="251"/>
      <c r="AK530021" s="251"/>
    </row>
    <row r="530136" spans="25:37" x14ac:dyDescent="0.2">
      <c r="Y530136" s="5"/>
      <c r="AB530136" s="5"/>
      <c r="AE530136" s="5"/>
      <c r="AH530136" s="5"/>
      <c r="AK530136" s="5"/>
    </row>
    <row r="530146" spans="25:37" x14ac:dyDescent="0.2">
      <c r="Y530146" s="251"/>
      <c r="AB530146" s="251"/>
      <c r="AE530146" s="251"/>
      <c r="AH530146" s="251"/>
      <c r="AK530146" s="251"/>
    </row>
    <row r="530261" spans="25:37" x14ac:dyDescent="0.2">
      <c r="Y530261" s="5"/>
      <c r="AB530261" s="5"/>
      <c r="AE530261" s="5"/>
      <c r="AH530261" s="5"/>
      <c r="AK530261" s="5"/>
    </row>
    <row r="530271" spans="25:37" x14ac:dyDescent="0.2">
      <c r="Y530271" s="251"/>
      <c r="AB530271" s="251"/>
      <c r="AE530271" s="251"/>
      <c r="AH530271" s="251"/>
      <c r="AK530271" s="251"/>
    </row>
    <row r="530386" spans="25:37" x14ac:dyDescent="0.2">
      <c r="Y530386" s="5"/>
      <c r="AB530386" s="5"/>
      <c r="AE530386" s="5"/>
      <c r="AH530386" s="5"/>
      <c r="AK530386" s="5"/>
    </row>
    <row r="530396" spans="25:37" x14ac:dyDescent="0.2">
      <c r="Y530396" s="251"/>
      <c r="AB530396" s="251"/>
      <c r="AE530396" s="251"/>
      <c r="AH530396" s="251"/>
      <c r="AK530396" s="251"/>
    </row>
    <row r="530511" spans="25:37" x14ac:dyDescent="0.2">
      <c r="Y530511" s="5"/>
      <c r="AB530511" s="5"/>
      <c r="AE530511" s="5"/>
      <c r="AH530511" s="5"/>
      <c r="AK530511" s="5"/>
    </row>
    <row r="530521" spans="25:37" x14ac:dyDescent="0.2">
      <c r="Y530521" s="251"/>
      <c r="AB530521" s="251"/>
      <c r="AE530521" s="251"/>
      <c r="AH530521" s="251"/>
      <c r="AK530521" s="251"/>
    </row>
    <row r="530636" spans="25:37" x14ac:dyDescent="0.2">
      <c r="Y530636" s="5"/>
      <c r="AB530636" s="5"/>
      <c r="AE530636" s="5"/>
      <c r="AH530636" s="5"/>
      <c r="AK530636" s="5"/>
    </row>
    <row r="530646" spans="25:37" x14ac:dyDescent="0.2">
      <c r="Y530646" s="251"/>
      <c r="AB530646" s="251"/>
      <c r="AE530646" s="251"/>
      <c r="AH530646" s="251"/>
      <c r="AK530646" s="251"/>
    </row>
    <row r="530761" spans="25:37" x14ac:dyDescent="0.2">
      <c r="Y530761" s="5"/>
      <c r="AB530761" s="5"/>
      <c r="AE530761" s="5"/>
      <c r="AH530761" s="5"/>
      <c r="AK530761" s="5"/>
    </row>
    <row r="530771" spans="25:37" x14ac:dyDescent="0.2">
      <c r="Y530771" s="251"/>
      <c r="AB530771" s="251"/>
      <c r="AE530771" s="251"/>
      <c r="AH530771" s="251"/>
      <c r="AK530771" s="251"/>
    </row>
    <row r="530886" spans="25:37" x14ac:dyDescent="0.2">
      <c r="Y530886" s="5"/>
      <c r="AB530886" s="5"/>
      <c r="AE530886" s="5"/>
      <c r="AH530886" s="5"/>
      <c r="AK530886" s="5"/>
    </row>
    <row r="530896" spans="25:37" x14ac:dyDescent="0.2">
      <c r="Y530896" s="251"/>
      <c r="AB530896" s="251"/>
      <c r="AE530896" s="251"/>
      <c r="AH530896" s="251"/>
      <c r="AK530896" s="251"/>
    </row>
    <row r="531011" spans="25:37" x14ac:dyDescent="0.2">
      <c r="Y531011" s="5"/>
      <c r="AB531011" s="5"/>
      <c r="AE531011" s="5"/>
      <c r="AH531011" s="5"/>
      <c r="AK531011" s="5"/>
    </row>
    <row r="531021" spans="25:37" x14ac:dyDescent="0.2">
      <c r="Y531021" s="251"/>
      <c r="AB531021" s="251"/>
      <c r="AE531021" s="251"/>
      <c r="AH531021" s="251"/>
      <c r="AK531021" s="251"/>
    </row>
    <row r="531136" spans="25:37" x14ac:dyDescent="0.2">
      <c r="Y531136" s="5"/>
      <c r="AB531136" s="5"/>
      <c r="AE531136" s="5"/>
      <c r="AH531136" s="5"/>
      <c r="AK531136" s="5"/>
    </row>
    <row r="531146" spans="25:37" x14ac:dyDescent="0.2">
      <c r="Y531146" s="251"/>
      <c r="AB531146" s="251"/>
      <c r="AE531146" s="251"/>
      <c r="AH531146" s="251"/>
      <c r="AK531146" s="251"/>
    </row>
    <row r="531261" spans="25:37" x14ac:dyDescent="0.2">
      <c r="Y531261" s="5"/>
      <c r="AB531261" s="5"/>
      <c r="AE531261" s="5"/>
      <c r="AH531261" s="5"/>
      <c r="AK531261" s="5"/>
    </row>
    <row r="531271" spans="25:37" x14ac:dyDescent="0.2">
      <c r="Y531271" s="251"/>
      <c r="AB531271" s="251"/>
      <c r="AE531271" s="251"/>
      <c r="AH531271" s="251"/>
      <c r="AK531271" s="251"/>
    </row>
    <row r="531386" spans="25:37" x14ac:dyDescent="0.2">
      <c r="Y531386" s="5"/>
      <c r="AB531386" s="5"/>
      <c r="AE531386" s="5"/>
      <c r="AH531386" s="5"/>
      <c r="AK531386" s="5"/>
    </row>
    <row r="531396" spans="25:37" x14ac:dyDescent="0.2">
      <c r="Y531396" s="251"/>
      <c r="AB531396" s="251"/>
      <c r="AE531396" s="251"/>
      <c r="AH531396" s="251"/>
      <c r="AK531396" s="251"/>
    </row>
    <row r="531511" spans="25:37" x14ac:dyDescent="0.2">
      <c r="Y531511" s="5"/>
      <c r="AB531511" s="5"/>
      <c r="AE531511" s="5"/>
      <c r="AH531511" s="5"/>
      <c r="AK531511" s="5"/>
    </row>
    <row r="531521" spans="25:37" x14ac:dyDescent="0.2">
      <c r="Y531521" s="251"/>
      <c r="AB531521" s="251"/>
      <c r="AE531521" s="251"/>
      <c r="AH531521" s="251"/>
      <c r="AK531521" s="251"/>
    </row>
    <row r="531636" spans="25:37" x14ac:dyDescent="0.2">
      <c r="Y531636" s="5"/>
      <c r="AB531636" s="5"/>
      <c r="AE531636" s="5"/>
      <c r="AH531636" s="5"/>
      <c r="AK531636" s="5"/>
    </row>
    <row r="531646" spans="25:37" x14ac:dyDescent="0.2">
      <c r="Y531646" s="251"/>
      <c r="AB531646" s="251"/>
      <c r="AE531646" s="251"/>
      <c r="AH531646" s="251"/>
      <c r="AK531646" s="251"/>
    </row>
    <row r="531761" spans="25:37" x14ac:dyDescent="0.2">
      <c r="Y531761" s="5"/>
      <c r="AB531761" s="5"/>
      <c r="AE531761" s="5"/>
      <c r="AH531761" s="5"/>
      <c r="AK531761" s="5"/>
    </row>
    <row r="531771" spans="25:37" x14ac:dyDescent="0.2">
      <c r="Y531771" s="251"/>
      <c r="AB531771" s="251"/>
      <c r="AE531771" s="251"/>
      <c r="AH531771" s="251"/>
      <c r="AK531771" s="251"/>
    </row>
    <row r="531886" spans="25:37" x14ac:dyDescent="0.2">
      <c r="Y531886" s="5"/>
      <c r="AB531886" s="5"/>
      <c r="AE531886" s="5"/>
      <c r="AH531886" s="5"/>
      <c r="AK531886" s="5"/>
    </row>
    <row r="531896" spans="25:37" x14ac:dyDescent="0.2">
      <c r="Y531896" s="251"/>
      <c r="AB531896" s="251"/>
      <c r="AE531896" s="251"/>
      <c r="AH531896" s="251"/>
      <c r="AK531896" s="251"/>
    </row>
    <row r="532011" spans="25:37" x14ac:dyDescent="0.2">
      <c r="Y532011" s="5"/>
      <c r="AB532011" s="5"/>
      <c r="AE532011" s="5"/>
      <c r="AH532011" s="5"/>
      <c r="AK532011" s="5"/>
    </row>
    <row r="532021" spans="25:37" x14ac:dyDescent="0.2">
      <c r="Y532021" s="251"/>
      <c r="AB532021" s="251"/>
      <c r="AE532021" s="251"/>
      <c r="AH532021" s="251"/>
      <c r="AK532021" s="251"/>
    </row>
    <row r="532136" spans="25:37" x14ac:dyDescent="0.2">
      <c r="Y532136" s="5"/>
      <c r="AB532136" s="5"/>
      <c r="AE532136" s="5"/>
      <c r="AH532136" s="5"/>
      <c r="AK532136" s="5"/>
    </row>
    <row r="532146" spans="25:37" x14ac:dyDescent="0.2">
      <c r="Y532146" s="251"/>
      <c r="AB532146" s="251"/>
      <c r="AE532146" s="251"/>
      <c r="AH532146" s="251"/>
      <c r="AK532146" s="251"/>
    </row>
    <row r="532261" spans="25:37" x14ac:dyDescent="0.2">
      <c r="Y532261" s="5"/>
      <c r="AB532261" s="5"/>
      <c r="AE532261" s="5"/>
      <c r="AH532261" s="5"/>
      <c r="AK532261" s="5"/>
    </row>
    <row r="532271" spans="25:37" x14ac:dyDescent="0.2">
      <c r="Y532271" s="251"/>
      <c r="AB532271" s="251"/>
      <c r="AE532271" s="251"/>
      <c r="AH532271" s="251"/>
      <c r="AK532271" s="251"/>
    </row>
    <row r="532386" spans="25:37" x14ac:dyDescent="0.2">
      <c r="Y532386" s="5"/>
      <c r="AB532386" s="5"/>
      <c r="AE532386" s="5"/>
      <c r="AH532386" s="5"/>
      <c r="AK532386" s="5"/>
    </row>
    <row r="532396" spans="25:37" x14ac:dyDescent="0.2">
      <c r="Y532396" s="251"/>
      <c r="AB532396" s="251"/>
      <c r="AE532396" s="251"/>
      <c r="AH532396" s="251"/>
      <c r="AK532396" s="251"/>
    </row>
    <row r="532511" spans="25:37" x14ac:dyDescent="0.2">
      <c r="Y532511" s="5"/>
      <c r="AB532511" s="5"/>
      <c r="AE532511" s="5"/>
      <c r="AH532511" s="5"/>
      <c r="AK532511" s="5"/>
    </row>
    <row r="532521" spans="25:37" x14ac:dyDescent="0.2">
      <c r="Y532521" s="251"/>
      <c r="AB532521" s="251"/>
      <c r="AE532521" s="251"/>
      <c r="AH532521" s="251"/>
      <c r="AK532521" s="251"/>
    </row>
    <row r="532636" spans="25:37" x14ac:dyDescent="0.2">
      <c r="Y532636" s="5"/>
      <c r="AB532636" s="5"/>
      <c r="AE532636" s="5"/>
      <c r="AH532636" s="5"/>
      <c r="AK532636" s="5"/>
    </row>
    <row r="532646" spans="25:37" x14ac:dyDescent="0.2">
      <c r="Y532646" s="251"/>
      <c r="AB532646" s="251"/>
      <c r="AE532646" s="251"/>
      <c r="AH532646" s="251"/>
      <c r="AK532646" s="251"/>
    </row>
    <row r="532761" spans="25:37" x14ac:dyDescent="0.2">
      <c r="Y532761" s="5"/>
      <c r="AB532761" s="5"/>
      <c r="AE532761" s="5"/>
      <c r="AH532761" s="5"/>
      <c r="AK532761" s="5"/>
    </row>
    <row r="532771" spans="25:37" x14ac:dyDescent="0.2">
      <c r="Y532771" s="251"/>
      <c r="AB532771" s="251"/>
      <c r="AE532771" s="251"/>
      <c r="AH532771" s="251"/>
      <c r="AK532771" s="251"/>
    </row>
    <row r="532886" spans="25:37" x14ac:dyDescent="0.2">
      <c r="Y532886" s="5"/>
      <c r="AB532886" s="5"/>
      <c r="AE532886" s="5"/>
      <c r="AH532886" s="5"/>
      <c r="AK532886" s="5"/>
    </row>
    <row r="532896" spans="25:37" x14ac:dyDescent="0.2">
      <c r="Y532896" s="251"/>
      <c r="AB532896" s="251"/>
      <c r="AE532896" s="251"/>
      <c r="AH532896" s="251"/>
      <c r="AK532896" s="251"/>
    </row>
    <row r="533011" spans="25:37" x14ac:dyDescent="0.2">
      <c r="Y533011" s="5"/>
      <c r="AB533011" s="5"/>
      <c r="AE533011" s="5"/>
      <c r="AH533011" s="5"/>
      <c r="AK533011" s="5"/>
    </row>
    <row r="533021" spans="25:37" x14ac:dyDescent="0.2">
      <c r="Y533021" s="251"/>
      <c r="AB533021" s="251"/>
      <c r="AE533021" s="251"/>
      <c r="AH533021" s="251"/>
      <c r="AK533021" s="251"/>
    </row>
    <row r="533136" spans="25:37" x14ac:dyDescent="0.2">
      <c r="Y533136" s="5"/>
      <c r="AB533136" s="5"/>
      <c r="AE533136" s="5"/>
      <c r="AH533136" s="5"/>
      <c r="AK533136" s="5"/>
    </row>
    <row r="533146" spans="25:37" x14ac:dyDescent="0.2">
      <c r="Y533146" s="251"/>
      <c r="AB533146" s="251"/>
      <c r="AE533146" s="251"/>
      <c r="AH533146" s="251"/>
      <c r="AK533146" s="251"/>
    </row>
    <row r="533261" spans="25:37" x14ac:dyDescent="0.2">
      <c r="Y533261" s="5"/>
      <c r="AB533261" s="5"/>
      <c r="AE533261" s="5"/>
      <c r="AH533261" s="5"/>
      <c r="AK533261" s="5"/>
    </row>
    <row r="533271" spans="25:37" x14ac:dyDescent="0.2">
      <c r="Y533271" s="251"/>
      <c r="AB533271" s="251"/>
      <c r="AE533271" s="251"/>
      <c r="AH533271" s="251"/>
      <c r="AK533271" s="251"/>
    </row>
    <row r="533386" spans="25:37" x14ac:dyDescent="0.2">
      <c r="Y533386" s="5"/>
      <c r="AB533386" s="5"/>
      <c r="AE533386" s="5"/>
      <c r="AH533386" s="5"/>
      <c r="AK533386" s="5"/>
    </row>
    <row r="533396" spans="25:37" x14ac:dyDescent="0.2">
      <c r="Y533396" s="251"/>
      <c r="AB533396" s="251"/>
      <c r="AE533396" s="251"/>
      <c r="AH533396" s="251"/>
      <c r="AK533396" s="251"/>
    </row>
    <row r="533511" spans="25:37" x14ac:dyDescent="0.2">
      <c r="Y533511" s="5"/>
      <c r="AB533511" s="5"/>
      <c r="AE533511" s="5"/>
      <c r="AH533511" s="5"/>
      <c r="AK533511" s="5"/>
    </row>
    <row r="533521" spans="25:37" x14ac:dyDescent="0.2">
      <c r="Y533521" s="251"/>
      <c r="AB533521" s="251"/>
      <c r="AE533521" s="251"/>
      <c r="AH533521" s="251"/>
      <c r="AK533521" s="251"/>
    </row>
    <row r="533636" spans="25:37" x14ac:dyDescent="0.2">
      <c r="Y533636" s="5"/>
      <c r="AB533636" s="5"/>
      <c r="AE533636" s="5"/>
      <c r="AH533636" s="5"/>
      <c r="AK533636" s="5"/>
    </row>
    <row r="533646" spans="25:37" x14ac:dyDescent="0.2">
      <c r="Y533646" s="251"/>
      <c r="AB533646" s="251"/>
      <c r="AE533646" s="251"/>
      <c r="AH533646" s="251"/>
      <c r="AK533646" s="251"/>
    </row>
    <row r="533761" spans="25:37" x14ac:dyDescent="0.2">
      <c r="Y533761" s="5"/>
      <c r="AB533761" s="5"/>
      <c r="AE533761" s="5"/>
      <c r="AH533761" s="5"/>
      <c r="AK533761" s="5"/>
    </row>
    <row r="533771" spans="25:37" x14ac:dyDescent="0.2">
      <c r="Y533771" s="251"/>
      <c r="AB533771" s="251"/>
      <c r="AE533771" s="251"/>
      <c r="AH533771" s="251"/>
      <c r="AK533771" s="251"/>
    </row>
    <row r="533886" spans="25:37" x14ac:dyDescent="0.2">
      <c r="Y533886" s="5"/>
      <c r="AB533886" s="5"/>
      <c r="AE533886" s="5"/>
      <c r="AH533886" s="5"/>
      <c r="AK533886" s="5"/>
    </row>
    <row r="533896" spans="25:37" x14ac:dyDescent="0.2">
      <c r="Y533896" s="251"/>
      <c r="AB533896" s="251"/>
      <c r="AE533896" s="251"/>
      <c r="AH533896" s="251"/>
      <c r="AK533896" s="251"/>
    </row>
    <row r="534011" spans="25:37" x14ac:dyDescent="0.2">
      <c r="Y534011" s="5"/>
      <c r="AB534011" s="5"/>
      <c r="AE534011" s="5"/>
      <c r="AH534011" s="5"/>
      <c r="AK534011" s="5"/>
    </row>
    <row r="534021" spans="25:37" x14ac:dyDescent="0.2">
      <c r="Y534021" s="251"/>
      <c r="AB534021" s="251"/>
      <c r="AE534021" s="251"/>
      <c r="AH534021" s="251"/>
      <c r="AK534021" s="251"/>
    </row>
    <row r="534136" spans="25:37" x14ac:dyDescent="0.2">
      <c r="Y534136" s="5"/>
      <c r="AB534136" s="5"/>
      <c r="AE534136" s="5"/>
      <c r="AH534136" s="5"/>
      <c r="AK534136" s="5"/>
    </row>
    <row r="534146" spans="25:37" x14ac:dyDescent="0.2">
      <c r="Y534146" s="251"/>
      <c r="AB534146" s="251"/>
      <c r="AE534146" s="251"/>
      <c r="AH534146" s="251"/>
      <c r="AK534146" s="251"/>
    </row>
    <row r="534261" spans="25:37" x14ac:dyDescent="0.2">
      <c r="Y534261" s="5"/>
      <c r="AB534261" s="5"/>
      <c r="AE534261" s="5"/>
      <c r="AH534261" s="5"/>
      <c r="AK534261" s="5"/>
    </row>
    <row r="534271" spans="25:37" x14ac:dyDescent="0.2">
      <c r="Y534271" s="251"/>
      <c r="AB534271" s="251"/>
      <c r="AE534271" s="251"/>
      <c r="AH534271" s="251"/>
      <c r="AK534271" s="251"/>
    </row>
    <row r="534386" spans="25:37" x14ac:dyDescent="0.2">
      <c r="Y534386" s="5"/>
      <c r="AB534386" s="5"/>
      <c r="AE534386" s="5"/>
      <c r="AH534386" s="5"/>
      <c r="AK534386" s="5"/>
    </row>
    <row r="534396" spans="25:37" x14ac:dyDescent="0.2">
      <c r="Y534396" s="251"/>
      <c r="AB534396" s="251"/>
      <c r="AE534396" s="251"/>
      <c r="AH534396" s="251"/>
      <c r="AK534396" s="251"/>
    </row>
    <row r="534511" spans="25:37" x14ac:dyDescent="0.2">
      <c r="Y534511" s="5"/>
      <c r="AB534511" s="5"/>
      <c r="AE534511" s="5"/>
      <c r="AH534511" s="5"/>
      <c r="AK534511" s="5"/>
    </row>
    <row r="534521" spans="25:37" x14ac:dyDescent="0.2">
      <c r="Y534521" s="251"/>
      <c r="AB534521" s="251"/>
      <c r="AE534521" s="251"/>
      <c r="AH534521" s="251"/>
      <c r="AK534521" s="251"/>
    </row>
    <row r="534636" spans="25:37" x14ac:dyDescent="0.2">
      <c r="Y534636" s="5"/>
      <c r="AB534636" s="5"/>
      <c r="AE534636" s="5"/>
      <c r="AH534636" s="5"/>
      <c r="AK534636" s="5"/>
    </row>
    <row r="534646" spans="25:37" x14ac:dyDescent="0.2">
      <c r="Y534646" s="251"/>
      <c r="AB534646" s="251"/>
      <c r="AE534646" s="251"/>
      <c r="AH534646" s="251"/>
      <c r="AK534646" s="251"/>
    </row>
    <row r="534761" spans="25:37" x14ac:dyDescent="0.2">
      <c r="Y534761" s="5"/>
      <c r="AB534761" s="5"/>
      <c r="AE534761" s="5"/>
      <c r="AH534761" s="5"/>
      <c r="AK534761" s="5"/>
    </row>
    <row r="534771" spans="25:37" x14ac:dyDescent="0.2">
      <c r="Y534771" s="251"/>
      <c r="AB534771" s="251"/>
      <c r="AE534771" s="251"/>
      <c r="AH534771" s="251"/>
      <c r="AK534771" s="251"/>
    </row>
    <row r="534886" spans="25:37" x14ac:dyDescent="0.2">
      <c r="Y534886" s="5"/>
      <c r="AB534886" s="5"/>
      <c r="AE534886" s="5"/>
      <c r="AH534886" s="5"/>
      <c r="AK534886" s="5"/>
    </row>
    <row r="534896" spans="25:37" x14ac:dyDescent="0.2">
      <c r="Y534896" s="251"/>
      <c r="AB534896" s="251"/>
      <c r="AE534896" s="251"/>
      <c r="AH534896" s="251"/>
      <c r="AK534896" s="251"/>
    </row>
    <row r="535011" spans="25:37" x14ac:dyDescent="0.2">
      <c r="Y535011" s="5"/>
      <c r="AB535011" s="5"/>
      <c r="AE535011" s="5"/>
      <c r="AH535011" s="5"/>
      <c r="AK535011" s="5"/>
    </row>
    <row r="535021" spans="25:37" x14ac:dyDescent="0.2">
      <c r="Y535021" s="251"/>
      <c r="AB535021" s="251"/>
      <c r="AE535021" s="251"/>
      <c r="AH535021" s="251"/>
      <c r="AK535021" s="251"/>
    </row>
    <row r="535136" spans="25:37" x14ac:dyDescent="0.2">
      <c r="Y535136" s="5"/>
      <c r="AB535136" s="5"/>
      <c r="AE535136" s="5"/>
      <c r="AH535136" s="5"/>
      <c r="AK535136" s="5"/>
    </row>
    <row r="535146" spans="25:37" x14ac:dyDescent="0.2">
      <c r="Y535146" s="251"/>
      <c r="AB535146" s="251"/>
      <c r="AE535146" s="251"/>
      <c r="AH535146" s="251"/>
      <c r="AK535146" s="251"/>
    </row>
    <row r="535261" spans="25:37" x14ac:dyDescent="0.2">
      <c r="Y535261" s="5"/>
      <c r="AB535261" s="5"/>
      <c r="AE535261" s="5"/>
      <c r="AH535261" s="5"/>
      <c r="AK535261" s="5"/>
    </row>
    <row r="535271" spans="25:37" x14ac:dyDescent="0.2">
      <c r="Y535271" s="251"/>
      <c r="AB535271" s="251"/>
      <c r="AE535271" s="251"/>
      <c r="AH535271" s="251"/>
      <c r="AK535271" s="251"/>
    </row>
    <row r="535386" spans="25:37" x14ac:dyDescent="0.2">
      <c r="Y535386" s="5"/>
      <c r="AB535386" s="5"/>
      <c r="AE535386" s="5"/>
      <c r="AH535386" s="5"/>
      <c r="AK535386" s="5"/>
    </row>
    <row r="535396" spans="25:37" x14ac:dyDescent="0.2">
      <c r="Y535396" s="251"/>
      <c r="AB535396" s="251"/>
      <c r="AE535396" s="251"/>
      <c r="AH535396" s="251"/>
      <c r="AK535396" s="251"/>
    </row>
    <row r="535511" spans="25:37" x14ac:dyDescent="0.2">
      <c r="Y535511" s="5"/>
      <c r="AB535511" s="5"/>
      <c r="AE535511" s="5"/>
      <c r="AH535511" s="5"/>
      <c r="AK535511" s="5"/>
    </row>
    <row r="535521" spans="25:37" x14ac:dyDescent="0.2">
      <c r="Y535521" s="251"/>
      <c r="AB535521" s="251"/>
      <c r="AE535521" s="251"/>
      <c r="AH535521" s="251"/>
      <c r="AK535521" s="251"/>
    </row>
    <row r="535636" spans="25:37" x14ac:dyDescent="0.2">
      <c r="Y535636" s="5"/>
      <c r="AB535636" s="5"/>
      <c r="AE535636" s="5"/>
      <c r="AH535636" s="5"/>
      <c r="AK535636" s="5"/>
    </row>
    <row r="535646" spans="25:37" x14ac:dyDescent="0.2">
      <c r="Y535646" s="251"/>
      <c r="AB535646" s="251"/>
      <c r="AE535646" s="251"/>
      <c r="AH535646" s="251"/>
      <c r="AK535646" s="251"/>
    </row>
    <row r="535761" spans="25:37" x14ac:dyDescent="0.2">
      <c r="Y535761" s="5"/>
      <c r="AB535761" s="5"/>
      <c r="AE535761" s="5"/>
      <c r="AH535761" s="5"/>
      <c r="AK535761" s="5"/>
    </row>
    <row r="535771" spans="25:37" x14ac:dyDescent="0.2">
      <c r="Y535771" s="251"/>
      <c r="AB535771" s="251"/>
      <c r="AE535771" s="251"/>
      <c r="AH535771" s="251"/>
      <c r="AK535771" s="251"/>
    </row>
    <row r="535886" spans="25:37" x14ac:dyDescent="0.2">
      <c r="Y535886" s="5"/>
      <c r="AB535886" s="5"/>
      <c r="AE535886" s="5"/>
      <c r="AH535886" s="5"/>
      <c r="AK535886" s="5"/>
    </row>
    <row r="535896" spans="25:37" x14ac:dyDescent="0.2">
      <c r="Y535896" s="251"/>
      <c r="AB535896" s="251"/>
      <c r="AE535896" s="251"/>
      <c r="AH535896" s="251"/>
      <c r="AK535896" s="251"/>
    </row>
    <row r="536011" spans="25:37" x14ac:dyDescent="0.2">
      <c r="Y536011" s="5"/>
      <c r="AB536011" s="5"/>
      <c r="AE536011" s="5"/>
      <c r="AH536011" s="5"/>
      <c r="AK536011" s="5"/>
    </row>
    <row r="536021" spans="25:37" x14ac:dyDescent="0.2">
      <c r="Y536021" s="251"/>
      <c r="AB536021" s="251"/>
      <c r="AE536021" s="251"/>
      <c r="AH536021" s="251"/>
      <c r="AK536021" s="251"/>
    </row>
    <row r="536136" spans="25:37" x14ac:dyDescent="0.2">
      <c r="Y536136" s="5"/>
      <c r="AB536136" s="5"/>
      <c r="AE536136" s="5"/>
      <c r="AH536136" s="5"/>
      <c r="AK536136" s="5"/>
    </row>
    <row r="536146" spans="25:37" x14ac:dyDescent="0.2">
      <c r="Y536146" s="251"/>
      <c r="AB536146" s="251"/>
      <c r="AE536146" s="251"/>
      <c r="AH536146" s="251"/>
      <c r="AK536146" s="251"/>
    </row>
    <row r="536261" spans="25:37" x14ac:dyDescent="0.2">
      <c r="Y536261" s="5"/>
      <c r="AB536261" s="5"/>
      <c r="AE536261" s="5"/>
      <c r="AH536261" s="5"/>
      <c r="AK536261" s="5"/>
    </row>
    <row r="536271" spans="25:37" x14ac:dyDescent="0.2">
      <c r="Y536271" s="251"/>
      <c r="AB536271" s="251"/>
      <c r="AE536271" s="251"/>
      <c r="AH536271" s="251"/>
      <c r="AK536271" s="251"/>
    </row>
    <row r="536386" spans="25:37" x14ac:dyDescent="0.2">
      <c r="Y536386" s="5"/>
      <c r="AB536386" s="5"/>
      <c r="AE536386" s="5"/>
      <c r="AH536386" s="5"/>
      <c r="AK536386" s="5"/>
    </row>
    <row r="536396" spans="25:37" x14ac:dyDescent="0.2">
      <c r="Y536396" s="251"/>
      <c r="AB536396" s="251"/>
      <c r="AE536396" s="251"/>
      <c r="AH536396" s="251"/>
      <c r="AK536396" s="251"/>
    </row>
    <row r="536511" spans="25:37" x14ac:dyDescent="0.2">
      <c r="Y536511" s="5"/>
      <c r="AB536511" s="5"/>
      <c r="AE536511" s="5"/>
      <c r="AH536511" s="5"/>
      <c r="AK536511" s="5"/>
    </row>
    <row r="536521" spans="25:37" x14ac:dyDescent="0.2">
      <c r="Y536521" s="251"/>
      <c r="AB536521" s="251"/>
      <c r="AE536521" s="251"/>
      <c r="AH536521" s="251"/>
      <c r="AK536521" s="251"/>
    </row>
    <row r="536636" spans="25:37" x14ac:dyDescent="0.2">
      <c r="Y536636" s="5"/>
      <c r="AB536636" s="5"/>
      <c r="AE536636" s="5"/>
      <c r="AH536636" s="5"/>
      <c r="AK536636" s="5"/>
    </row>
    <row r="536646" spans="25:37" x14ac:dyDescent="0.2">
      <c r="Y536646" s="251"/>
      <c r="AB536646" s="251"/>
      <c r="AE536646" s="251"/>
      <c r="AH536646" s="251"/>
      <c r="AK536646" s="251"/>
    </row>
    <row r="536761" spans="25:37" x14ac:dyDescent="0.2">
      <c r="Y536761" s="5"/>
      <c r="AB536761" s="5"/>
      <c r="AE536761" s="5"/>
      <c r="AH536761" s="5"/>
      <c r="AK536761" s="5"/>
    </row>
    <row r="536771" spans="25:37" x14ac:dyDescent="0.2">
      <c r="Y536771" s="251"/>
      <c r="AB536771" s="251"/>
      <c r="AE536771" s="251"/>
      <c r="AH536771" s="251"/>
      <c r="AK536771" s="251"/>
    </row>
    <row r="536886" spans="25:37" x14ac:dyDescent="0.2">
      <c r="Y536886" s="5"/>
      <c r="AB536886" s="5"/>
      <c r="AE536886" s="5"/>
      <c r="AH536886" s="5"/>
      <c r="AK536886" s="5"/>
    </row>
    <row r="536896" spans="25:37" x14ac:dyDescent="0.2">
      <c r="Y536896" s="251"/>
      <c r="AB536896" s="251"/>
      <c r="AE536896" s="251"/>
      <c r="AH536896" s="251"/>
      <c r="AK536896" s="251"/>
    </row>
    <row r="537011" spans="25:37" x14ac:dyDescent="0.2">
      <c r="Y537011" s="5"/>
      <c r="AB537011" s="5"/>
      <c r="AE537011" s="5"/>
      <c r="AH537011" s="5"/>
      <c r="AK537011" s="5"/>
    </row>
    <row r="537021" spans="25:37" x14ac:dyDescent="0.2">
      <c r="Y537021" s="251"/>
      <c r="AB537021" s="251"/>
      <c r="AE537021" s="251"/>
      <c r="AH537021" s="251"/>
      <c r="AK537021" s="251"/>
    </row>
    <row r="537136" spans="25:37" x14ac:dyDescent="0.2">
      <c r="Y537136" s="5"/>
      <c r="AB537136" s="5"/>
      <c r="AE537136" s="5"/>
      <c r="AH537136" s="5"/>
      <c r="AK537136" s="5"/>
    </row>
    <row r="537146" spans="25:37" x14ac:dyDescent="0.2">
      <c r="Y537146" s="251"/>
      <c r="AB537146" s="251"/>
      <c r="AE537146" s="251"/>
      <c r="AH537146" s="251"/>
      <c r="AK537146" s="251"/>
    </row>
    <row r="537261" spans="25:37" x14ac:dyDescent="0.2">
      <c r="Y537261" s="5"/>
      <c r="AB537261" s="5"/>
      <c r="AE537261" s="5"/>
      <c r="AH537261" s="5"/>
      <c r="AK537261" s="5"/>
    </row>
    <row r="537271" spans="25:37" x14ac:dyDescent="0.2">
      <c r="Y537271" s="251"/>
      <c r="AB537271" s="251"/>
      <c r="AE537271" s="251"/>
      <c r="AH537271" s="251"/>
      <c r="AK537271" s="251"/>
    </row>
    <row r="537386" spans="25:37" x14ac:dyDescent="0.2">
      <c r="Y537386" s="5"/>
      <c r="AB537386" s="5"/>
      <c r="AE537386" s="5"/>
      <c r="AH537386" s="5"/>
      <c r="AK537386" s="5"/>
    </row>
    <row r="537396" spans="25:37" x14ac:dyDescent="0.2">
      <c r="Y537396" s="251"/>
      <c r="AB537396" s="251"/>
      <c r="AE537396" s="251"/>
      <c r="AH537396" s="251"/>
      <c r="AK537396" s="251"/>
    </row>
    <row r="537511" spans="25:37" x14ac:dyDescent="0.2">
      <c r="Y537511" s="5"/>
      <c r="AB537511" s="5"/>
      <c r="AE537511" s="5"/>
      <c r="AH537511" s="5"/>
      <c r="AK537511" s="5"/>
    </row>
    <row r="537521" spans="25:37" x14ac:dyDescent="0.2">
      <c r="Y537521" s="251"/>
      <c r="AB537521" s="251"/>
      <c r="AE537521" s="251"/>
      <c r="AH537521" s="251"/>
      <c r="AK537521" s="251"/>
    </row>
    <row r="537636" spans="25:37" x14ac:dyDescent="0.2">
      <c r="Y537636" s="5"/>
      <c r="AB537636" s="5"/>
      <c r="AE537636" s="5"/>
      <c r="AH537636" s="5"/>
      <c r="AK537636" s="5"/>
    </row>
    <row r="537646" spans="25:37" x14ac:dyDescent="0.2">
      <c r="Y537646" s="251"/>
      <c r="AB537646" s="251"/>
      <c r="AE537646" s="251"/>
      <c r="AH537646" s="251"/>
      <c r="AK537646" s="251"/>
    </row>
    <row r="537761" spans="25:37" x14ac:dyDescent="0.2">
      <c r="Y537761" s="5"/>
      <c r="AB537761" s="5"/>
      <c r="AE537761" s="5"/>
      <c r="AH537761" s="5"/>
      <c r="AK537761" s="5"/>
    </row>
    <row r="537771" spans="25:37" x14ac:dyDescent="0.2">
      <c r="Y537771" s="251"/>
      <c r="AB537771" s="251"/>
      <c r="AE537771" s="251"/>
      <c r="AH537771" s="251"/>
      <c r="AK537771" s="251"/>
    </row>
    <row r="537886" spans="25:37" x14ac:dyDescent="0.2">
      <c r="Y537886" s="5"/>
      <c r="AB537886" s="5"/>
      <c r="AE537886" s="5"/>
      <c r="AH537886" s="5"/>
      <c r="AK537886" s="5"/>
    </row>
    <row r="537896" spans="25:37" x14ac:dyDescent="0.2">
      <c r="Y537896" s="251"/>
      <c r="AB537896" s="251"/>
      <c r="AE537896" s="251"/>
      <c r="AH537896" s="251"/>
      <c r="AK537896" s="251"/>
    </row>
    <row r="538011" spans="25:37" x14ac:dyDescent="0.2">
      <c r="Y538011" s="5"/>
      <c r="AB538011" s="5"/>
      <c r="AE538011" s="5"/>
      <c r="AH538011" s="5"/>
      <c r="AK538011" s="5"/>
    </row>
    <row r="538021" spans="25:37" x14ac:dyDescent="0.2">
      <c r="Y538021" s="251"/>
      <c r="AB538021" s="251"/>
      <c r="AE538021" s="251"/>
      <c r="AH538021" s="251"/>
      <c r="AK538021" s="251"/>
    </row>
    <row r="538136" spans="25:37" x14ac:dyDescent="0.2">
      <c r="Y538136" s="5"/>
      <c r="AB538136" s="5"/>
      <c r="AE538136" s="5"/>
      <c r="AH538136" s="5"/>
      <c r="AK538136" s="5"/>
    </row>
    <row r="538146" spans="25:37" x14ac:dyDescent="0.2">
      <c r="Y538146" s="251"/>
      <c r="AB538146" s="251"/>
      <c r="AE538146" s="251"/>
      <c r="AH538146" s="251"/>
      <c r="AK538146" s="251"/>
    </row>
    <row r="538261" spans="25:37" x14ac:dyDescent="0.2">
      <c r="Y538261" s="5"/>
      <c r="AB538261" s="5"/>
      <c r="AE538261" s="5"/>
      <c r="AH538261" s="5"/>
      <c r="AK538261" s="5"/>
    </row>
    <row r="538271" spans="25:37" x14ac:dyDescent="0.2">
      <c r="Y538271" s="251"/>
      <c r="AB538271" s="251"/>
      <c r="AE538271" s="251"/>
      <c r="AH538271" s="251"/>
      <c r="AK538271" s="251"/>
    </row>
    <row r="538386" spans="25:37" x14ac:dyDescent="0.2">
      <c r="Y538386" s="5"/>
      <c r="AB538386" s="5"/>
      <c r="AE538386" s="5"/>
      <c r="AH538386" s="5"/>
      <c r="AK538386" s="5"/>
    </row>
    <row r="538396" spans="25:37" x14ac:dyDescent="0.2">
      <c r="Y538396" s="251"/>
      <c r="AB538396" s="251"/>
      <c r="AE538396" s="251"/>
      <c r="AH538396" s="251"/>
      <c r="AK538396" s="251"/>
    </row>
    <row r="538511" spans="25:37" x14ac:dyDescent="0.2">
      <c r="Y538511" s="5"/>
      <c r="AB538511" s="5"/>
      <c r="AE538511" s="5"/>
      <c r="AH538511" s="5"/>
      <c r="AK538511" s="5"/>
    </row>
    <row r="538521" spans="25:37" x14ac:dyDescent="0.2">
      <c r="Y538521" s="251"/>
      <c r="AB538521" s="251"/>
      <c r="AE538521" s="251"/>
      <c r="AH538521" s="251"/>
      <c r="AK538521" s="251"/>
    </row>
    <row r="538636" spans="25:37" x14ac:dyDescent="0.2">
      <c r="Y538636" s="5"/>
      <c r="AB538636" s="5"/>
      <c r="AE538636" s="5"/>
      <c r="AH538636" s="5"/>
      <c r="AK538636" s="5"/>
    </row>
    <row r="538646" spans="25:37" x14ac:dyDescent="0.2">
      <c r="Y538646" s="251"/>
      <c r="AB538646" s="251"/>
      <c r="AE538646" s="251"/>
      <c r="AH538646" s="251"/>
      <c r="AK538646" s="251"/>
    </row>
    <row r="538761" spans="25:37" x14ac:dyDescent="0.2">
      <c r="Y538761" s="5"/>
      <c r="AB538761" s="5"/>
      <c r="AE538761" s="5"/>
      <c r="AH538761" s="5"/>
      <c r="AK538761" s="5"/>
    </row>
    <row r="538771" spans="25:37" x14ac:dyDescent="0.2">
      <c r="Y538771" s="251"/>
      <c r="AB538771" s="251"/>
      <c r="AE538771" s="251"/>
      <c r="AH538771" s="251"/>
      <c r="AK538771" s="251"/>
    </row>
    <row r="538886" spans="25:37" x14ac:dyDescent="0.2">
      <c r="Y538886" s="5"/>
      <c r="AB538886" s="5"/>
      <c r="AE538886" s="5"/>
      <c r="AH538886" s="5"/>
      <c r="AK538886" s="5"/>
    </row>
    <row r="538896" spans="25:37" x14ac:dyDescent="0.2">
      <c r="Y538896" s="251"/>
      <c r="AB538896" s="251"/>
      <c r="AE538896" s="251"/>
      <c r="AH538896" s="251"/>
      <c r="AK538896" s="251"/>
    </row>
    <row r="539011" spans="25:37" x14ac:dyDescent="0.2">
      <c r="Y539011" s="5"/>
      <c r="AB539011" s="5"/>
      <c r="AE539011" s="5"/>
      <c r="AH539011" s="5"/>
      <c r="AK539011" s="5"/>
    </row>
    <row r="539021" spans="25:37" x14ac:dyDescent="0.2">
      <c r="Y539021" s="251"/>
      <c r="AB539021" s="251"/>
      <c r="AE539021" s="251"/>
      <c r="AH539021" s="251"/>
      <c r="AK539021" s="251"/>
    </row>
    <row r="539136" spans="25:37" x14ac:dyDescent="0.2">
      <c r="Y539136" s="5"/>
      <c r="AB539136" s="5"/>
      <c r="AE539136" s="5"/>
      <c r="AH539136" s="5"/>
      <c r="AK539136" s="5"/>
    </row>
    <row r="539146" spans="25:37" x14ac:dyDescent="0.2">
      <c r="Y539146" s="251"/>
      <c r="AB539146" s="251"/>
      <c r="AE539146" s="251"/>
      <c r="AH539146" s="251"/>
      <c r="AK539146" s="251"/>
    </row>
    <row r="539261" spans="25:37" x14ac:dyDescent="0.2">
      <c r="Y539261" s="5"/>
      <c r="AB539261" s="5"/>
      <c r="AE539261" s="5"/>
      <c r="AH539261" s="5"/>
      <c r="AK539261" s="5"/>
    </row>
    <row r="539271" spans="25:37" x14ac:dyDescent="0.2">
      <c r="Y539271" s="251"/>
      <c r="AB539271" s="251"/>
      <c r="AE539271" s="251"/>
      <c r="AH539271" s="251"/>
      <c r="AK539271" s="251"/>
    </row>
    <row r="539386" spans="25:37" x14ac:dyDescent="0.2">
      <c r="Y539386" s="5"/>
      <c r="AB539386" s="5"/>
      <c r="AE539386" s="5"/>
      <c r="AH539386" s="5"/>
      <c r="AK539386" s="5"/>
    </row>
    <row r="539396" spans="25:37" x14ac:dyDescent="0.2">
      <c r="Y539396" s="251"/>
      <c r="AB539396" s="251"/>
      <c r="AE539396" s="251"/>
      <c r="AH539396" s="251"/>
      <c r="AK539396" s="251"/>
    </row>
    <row r="539511" spans="25:37" x14ac:dyDescent="0.2">
      <c r="Y539511" s="5"/>
      <c r="AB539511" s="5"/>
      <c r="AE539511" s="5"/>
      <c r="AH539511" s="5"/>
      <c r="AK539511" s="5"/>
    </row>
    <row r="539521" spans="25:37" x14ac:dyDescent="0.2">
      <c r="Y539521" s="251"/>
      <c r="AB539521" s="251"/>
      <c r="AE539521" s="251"/>
      <c r="AH539521" s="251"/>
      <c r="AK539521" s="251"/>
    </row>
    <row r="539636" spans="25:37" x14ac:dyDescent="0.2">
      <c r="Y539636" s="5"/>
      <c r="AB539636" s="5"/>
      <c r="AE539636" s="5"/>
      <c r="AH539636" s="5"/>
      <c r="AK539636" s="5"/>
    </row>
    <row r="539646" spans="25:37" x14ac:dyDescent="0.2">
      <c r="Y539646" s="251"/>
      <c r="AB539646" s="251"/>
      <c r="AE539646" s="251"/>
      <c r="AH539646" s="251"/>
      <c r="AK539646" s="251"/>
    </row>
    <row r="539761" spans="25:37" x14ac:dyDescent="0.2">
      <c r="Y539761" s="5"/>
      <c r="AB539761" s="5"/>
      <c r="AE539761" s="5"/>
      <c r="AH539761" s="5"/>
      <c r="AK539761" s="5"/>
    </row>
    <row r="539771" spans="25:37" x14ac:dyDescent="0.2">
      <c r="Y539771" s="251"/>
      <c r="AB539771" s="251"/>
      <c r="AE539771" s="251"/>
      <c r="AH539771" s="251"/>
      <c r="AK539771" s="251"/>
    </row>
    <row r="539886" spans="25:37" x14ac:dyDescent="0.2">
      <c r="Y539886" s="5"/>
      <c r="AB539886" s="5"/>
      <c r="AE539886" s="5"/>
      <c r="AH539886" s="5"/>
      <c r="AK539886" s="5"/>
    </row>
    <row r="539896" spans="25:37" x14ac:dyDescent="0.2">
      <c r="Y539896" s="251"/>
      <c r="AB539896" s="251"/>
      <c r="AE539896" s="251"/>
      <c r="AH539896" s="251"/>
      <c r="AK539896" s="251"/>
    </row>
    <row r="540011" spans="25:37" x14ac:dyDescent="0.2">
      <c r="Y540011" s="5"/>
      <c r="AB540011" s="5"/>
      <c r="AE540011" s="5"/>
      <c r="AH540011" s="5"/>
      <c r="AK540011" s="5"/>
    </row>
    <row r="540021" spans="25:37" x14ac:dyDescent="0.2">
      <c r="Y540021" s="251"/>
      <c r="AB540021" s="251"/>
      <c r="AE540021" s="251"/>
      <c r="AH540021" s="251"/>
      <c r="AK540021" s="251"/>
    </row>
    <row r="540136" spans="25:37" x14ac:dyDescent="0.2">
      <c r="Y540136" s="5"/>
      <c r="AB540136" s="5"/>
      <c r="AE540136" s="5"/>
      <c r="AH540136" s="5"/>
      <c r="AK540136" s="5"/>
    </row>
    <row r="540146" spans="25:37" x14ac:dyDescent="0.2">
      <c r="Y540146" s="251"/>
      <c r="AB540146" s="251"/>
      <c r="AE540146" s="251"/>
      <c r="AH540146" s="251"/>
      <c r="AK540146" s="251"/>
    </row>
    <row r="540261" spans="25:37" x14ac:dyDescent="0.2">
      <c r="Y540261" s="5"/>
      <c r="AB540261" s="5"/>
      <c r="AE540261" s="5"/>
      <c r="AH540261" s="5"/>
      <c r="AK540261" s="5"/>
    </row>
    <row r="540271" spans="25:37" x14ac:dyDescent="0.2">
      <c r="Y540271" s="251"/>
      <c r="AB540271" s="251"/>
      <c r="AE540271" s="251"/>
      <c r="AH540271" s="251"/>
      <c r="AK540271" s="251"/>
    </row>
    <row r="540386" spans="25:37" x14ac:dyDescent="0.2">
      <c r="Y540386" s="5"/>
      <c r="AB540386" s="5"/>
      <c r="AE540386" s="5"/>
      <c r="AH540386" s="5"/>
      <c r="AK540386" s="5"/>
    </row>
    <row r="540396" spans="25:37" x14ac:dyDescent="0.2">
      <c r="Y540396" s="251"/>
      <c r="AB540396" s="251"/>
      <c r="AE540396" s="251"/>
      <c r="AH540396" s="251"/>
      <c r="AK540396" s="251"/>
    </row>
    <row r="540511" spans="25:37" x14ac:dyDescent="0.2">
      <c r="Y540511" s="5"/>
      <c r="AB540511" s="5"/>
      <c r="AE540511" s="5"/>
      <c r="AH540511" s="5"/>
      <c r="AK540511" s="5"/>
    </row>
    <row r="540521" spans="25:37" x14ac:dyDescent="0.2">
      <c r="Y540521" s="251"/>
      <c r="AB540521" s="251"/>
      <c r="AE540521" s="251"/>
      <c r="AH540521" s="251"/>
      <c r="AK540521" s="251"/>
    </row>
    <row r="540636" spans="25:37" x14ac:dyDescent="0.2">
      <c r="Y540636" s="5"/>
      <c r="AB540636" s="5"/>
      <c r="AE540636" s="5"/>
      <c r="AH540636" s="5"/>
      <c r="AK540636" s="5"/>
    </row>
    <row r="540646" spans="25:37" x14ac:dyDescent="0.2">
      <c r="Y540646" s="251"/>
      <c r="AB540646" s="251"/>
      <c r="AE540646" s="251"/>
      <c r="AH540646" s="251"/>
      <c r="AK540646" s="251"/>
    </row>
    <row r="540761" spans="25:37" x14ac:dyDescent="0.2">
      <c r="Y540761" s="5"/>
      <c r="AB540761" s="5"/>
      <c r="AE540761" s="5"/>
      <c r="AH540761" s="5"/>
      <c r="AK540761" s="5"/>
    </row>
    <row r="540771" spans="25:37" x14ac:dyDescent="0.2">
      <c r="Y540771" s="251"/>
      <c r="AB540771" s="251"/>
      <c r="AE540771" s="251"/>
      <c r="AH540771" s="251"/>
      <c r="AK540771" s="251"/>
    </row>
    <row r="540886" spans="25:37" x14ac:dyDescent="0.2">
      <c r="Y540886" s="5"/>
      <c r="AB540886" s="5"/>
      <c r="AE540886" s="5"/>
      <c r="AH540886" s="5"/>
      <c r="AK540886" s="5"/>
    </row>
    <row r="540896" spans="25:37" x14ac:dyDescent="0.2">
      <c r="Y540896" s="251"/>
      <c r="AB540896" s="251"/>
      <c r="AE540896" s="251"/>
      <c r="AH540896" s="251"/>
      <c r="AK540896" s="251"/>
    </row>
    <row r="541011" spans="25:37" x14ac:dyDescent="0.2">
      <c r="Y541011" s="5"/>
      <c r="AB541011" s="5"/>
      <c r="AE541011" s="5"/>
      <c r="AH541011" s="5"/>
      <c r="AK541011" s="5"/>
    </row>
    <row r="541021" spans="25:37" x14ac:dyDescent="0.2">
      <c r="Y541021" s="251"/>
      <c r="AB541021" s="251"/>
      <c r="AE541021" s="251"/>
      <c r="AH541021" s="251"/>
      <c r="AK541021" s="251"/>
    </row>
    <row r="541136" spans="25:37" x14ac:dyDescent="0.2">
      <c r="Y541136" s="5"/>
      <c r="AB541136" s="5"/>
      <c r="AE541136" s="5"/>
      <c r="AH541136" s="5"/>
      <c r="AK541136" s="5"/>
    </row>
    <row r="541146" spans="25:37" x14ac:dyDescent="0.2">
      <c r="Y541146" s="251"/>
      <c r="AB541146" s="251"/>
      <c r="AE541146" s="251"/>
      <c r="AH541146" s="251"/>
      <c r="AK541146" s="251"/>
    </row>
    <row r="541261" spans="25:37" x14ac:dyDescent="0.2">
      <c r="Y541261" s="5"/>
      <c r="AB541261" s="5"/>
      <c r="AE541261" s="5"/>
      <c r="AH541261" s="5"/>
      <c r="AK541261" s="5"/>
    </row>
    <row r="541271" spans="25:37" x14ac:dyDescent="0.2">
      <c r="Y541271" s="251"/>
      <c r="AB541271" s="251"/>
      <c r="AE541271" s="251"/>
      <c r="AH541271" s="251"/>
      <c r="AK541271" s="251"/>
    </row>
    <row r="541386" spans="25:37" x14ac:dyDescent="0.2">
      <c r="Y541386" s="5"/>
      <c r="AB541386" s="5"/>
      <c r="AE541386" s="5"/>
      <c r="AH541386" s="5"/>
      <c r="AK541386" s="5"/>
    </row>
    <row r="541396" spans="25:37" x14ac:dyDescent="0.2">
      <c r="Y541396" s="251"/>
      <c r="AB541396" s="251"/>
      <c r="AE541396" s="251"/>
      <c r="AH541396" s="251"/>
      <c r="AK541396" s="251"/>
    </row>
    <row r="541511" spans="25:37" x14ac:dyDescent="0.2">
      <c r="Y541511" s="5"/>
      <c r="AB541511" s="5"/>
      <c r="AE541511" s="5"/>
      <c r="AH541511" s="5"/>
      <c r="AK541511" s="5"/>
    </row>
    <row r="541521" spans="25:37" x14ac:dyDescent="0.2">
      <c r="Y541521" s="251"/>
      <c r="AB541521" s="251"/>
      <c r="AE541521" s="251"/>
      <c r="AH541521" s="251"/>
      <c r="AK541521" s="251"/>
    </row>
    <row r="541636" spans="25:37" x14ac:dyDescent="0.2">
      <c r="Y541636" s="5"/>
      <c r="AB541636" s="5"/>
      <c r="AE541636" s="5"/>
      <c r="AH541636" s="5"/>
      <c r="AK541636" s="5"/>
    </row>
    <row r="541646" spans="25:37" x14ac:dyDescent="0.2">
      <c r="Y541646" s="251"/>
      <c r="AB541646" s="251"/>
      <c r="AE541646" s="251"/>
      <c r="AH541646" s="251"/>
      <c r="AK541646" s="251"/>
    </row>
    <row r="541761" spans="25:37" x14ac:dyDescent="0.2">
      <c r="Y541761" s="5"/>
      <c r="AB541761" s="5"/>
      <c r="AE541761" s="5"/>
      <c r="AH541761" s="5"/>
      <c r="AK541761" s="5"/>
    </row>
    <row r="541771" spans="25:37" x14ac:dyDescent="0.2">
      <c r="Y541771" s="251"/>
      <c r="AB541771" s="251"/>
      <c r="AE541771" s="251"/>
      <c r="AH541771" s="251"/>
      <c r="AK541771" s="251"/>
    </row>
    <row r="541886" spans="25:37" x14ac:dyDescent="0.2">
      <c r="Y541886" s="5"/>
      <c r="AB541886" s="5"/>
      <c r="AE541886" s="5"/>
      <c r="AH541886" s="5"/>
      <c r="AK541886" s="5"/>
    </row>
    <row r="541896" spans="25:37" x14ac:dyDescent="0.2">
      <c r="Y541896" s="251"/>
      <c r="AB541896" s="251"/>
      <c r="AE541896" s="251"/>
      <c r="AH541896" s="251"/>
      <c r="AK541896" s="251"/>
    </row>
    <row r="542011" spans="25:37" x14ac:dyDescent="0.2">
      <c r="Y542011" s="5"/>
      <c r="AB542011" s="5"/>
      <c r="AE542011" s="5"/>
      <c r="AH542011" s="5"/>
      <c r="AK542011" s="5"/>
    </row>
    <row r="542021" spans="25:37" x14ac:dyDescent="0.2">
      <c r="Y542021" s="251"/>
      <c r="AB542021" s="251"/>
      <c r="AE542021" s="251"/>
      <c r="AH542021" s="251"/>
      <c r="AK542021" s="251"/>
    </row>
    <row r="542136" spans="25:37" x14ac:dyDescent="0.2">
      <c r="Y542136" s="5"/>
      <c r="AB542136" s="5"/>
      <c r="AE542136" s="5"/>
      <c r="AH542136" s="5"/>
      <c r="AK542136" s="5"/>
    </row>
    <row r="542146" spans="25:37" x14ac:dyDescent="0.2">
      <c r="Y542146" s="251"/>
      <c r="AB542146" s="251"/>
      <c r="AE542146" s="251"/>
      <c r="AH542146" s="251"/>
      <c r="AK542146" s="251"/>
    </row>
    <row r="542261" spans="25:37" x14ac:dyDescent="0.2">
      <c r="Y542261" s="5"/>
      <c r="AB542261" s="5"/>
      <c r="AE542261" s="5"/>
      <c r="AH542261" s="5"/>
      <c r="AK542261" s="5"/>
    </row>
    <row r="542271" spans="25:37" x14ac:dyDescent="0.2">
      <c r="Y542271" s="251"/>
      <c r="AB542271" s="251"/>
      <c r="AE542271" s="251"/>
      <c r="AH542271" s="251"/>
      <c r="AK542271" s="251"/>
    </row>
    <row r="542386" spans="25:37" x14ac:dyDescent="0.2">
      <c r="Y542386" s="5"/>
      <c r="AB542386" s="5"/>
      <c r="AE542386" s="5"/>
      <c r="AH542386" s="5"/>
      <c r="AK542386" s="5"/>
    </row>
    <row r="542396" spans="25:37" x14ac:dyDescent="0.2">
      <c r="Y542396" s="251"/>
      <c r="AB542396" s="251"/>
      <c r="AE542396" s="251"/>
      <c r="AH542396" s="251"/>
      <c r="AK542396" s="251"/>
    </row>
    <row r="542511" spans="25:37" x14ac:dyDescent="0.2">
      <c r="Y542511" s="5"/>
      <c r="AB542511" s="5"/>
      <c r="AE542511" s="5"/>
      <c r="AH542511" s="5"/>
      <c r="AK542511" s="5"/>
    </row>
    <row r="542521" spans="25:37" x14ac:dyDescent="0.2">
      <c r="Y542521" s="251"/>
      <c r="AB542521" s="251"/>
      <c r="AE542521" s="251"/>
      <c r="AH542521" s="251"/>
      <c r="AK542521" s="251"/>
    </row>
    <row r="542636" spans="25:37" x14ac:dyDescent="0.2">
      <c r="Y542636" s="5"/>
      <c r="AB542636" s="5"/>
      <c r="AE542636" s="5"/>
      <c r="AH542636" s="5"/>
      <c r="AK542636" s="5"/>
    </row>
    <row r="542646" spans="25:37" x14ac:dyDescent="0.2">
      <c r="Y542646" s="251"/>
      <c r="AB542646" s="251"/>
      <c r="AE542646" s="251"/>
      <c r="AH542646" s="251"/>
      <c r="AK542646" s="251"/>
    </row>
    <row r="542761" spans="25:37" x14ac:dyDescent="0.2">
      <c r="Y542761" s="5"/>
      <c r="AB542761" s="5"/>
      <c r="AE542761" s="5"/>
      <c r="AH542761" s="5"/>
      <c r="AK542761" s="5"/>
    </row>
    <row r="542771" spans="25:37" x14ac:dyDescent="0.2">
      <c r="Y542771" s="251"/>
      <c r="AB542771" s="251"/>
      <c r="AE542771" s="251"/>
      <c r="AH542771" s="251"/>
      <c r="AK542771" s="251"/>
    </row>
    <row r="542886" spans="25:37" x14ac:dyDescent="0.2">
      <c r="Y542886" s="5"/>
      <c r="AB542886" s="5"/>
      <c r="AE542886" s="5"/>
      <c r="AH542886" s="5"/>
      <c r="AK542886" s="5"/>
    </row>
    <row r="542896" spans="25:37" x14ac:dyDescent="0.2">
      <c r="Y542896" s="251"/>
      <c r="AB542896" s="251"/>
      <c r="AE542896" s="251"/>
      <c r="AH542896" s="251"/>
      <c r="AK542896" s="251"/>
    </row>
    <row r="543011" spans="25:37" x14ac:dyDescent="0.2">
      <c r="Y543011" s="5"/>
      <c r="AB543011" s="5"/>
      <c r="AE543011" s="5"/>
      <c r="AH543011" s="5"/>
      <c r="AK543011" s="5"/>
    </row>
    <row r="543021" spans="25:37" x14ac:dyDescent="0.2">
      <c r="Y543021" s="251"/>
      <c r="AB543021" s="251"/>
      <c r="AE543021" s="251"/>
      <c r="AH543021" s="251"/>
      <c r="AK543021" s="251"/>
    </row>
    <row r="543136" spans="25:37" x14ac:dyDescent="0.2">
      <c r="Y543136" s="5"/>
      <c r="AB543136" s="5"/>
      <c r="AE543136" s="5"/>
      <c r="AH543136" s="5"/>
      <c r="AK543136" s="5"/>
    </row>
    <row r="543146" spans="25:37" x14ac:dyDescent="0.2">
      <c r="Y543146" s="251"/>
      <c r="AB543146" s="251"/>
      <c r="AE543146" s="251"/>
      <c r="AH543146" s="251"/>
      <c r="AK543146" s="251"/>
    </row>
    <row r="543261" spans="25:37" x14ac:dyDescent="0.2">
      <c r="Y543261" s="5"/>
      <c r="AB543261" s="5"/>
      <c r="AE543261" s="5"/>
      <c r="AH543261" s="5"/>
      <c r="AK543261" s="5"/>
    </row>
    <row r="543271" spans="25:37" x14ac:dyDescent="0.2">
      <c r="Y543271" s="251"/>
      <c r="AB543271" s="251"/>
      <c r="AE543271" s="251"/>
      <c r="AH543271" s="251"/>
      <c r="AK543271" s="251"/>
    </row>
    <row r="543386" spans="25:37" x14ac:dyDescent="0.2">
      <c r="Y543386" s="5"/>
      <c r="AB543386" s="5"/>
      <c r="AE543386" s="5"/>
      <c r="AH543386" s="5"/>
      <c r="AK543386" s="5"/>
    </row>
    <row r="543396" spans="25:37" x14ac:dyDescent="0.2">
      <c r="Y543396" s="251"/>
      <c r="AB543396" s="251"/>
      <c r="AE543396" s="251"/>
      <c r="AH543396" s="251"/>
      <c r="AK543396" s="251"/>
    </row>
    <row r="543511" spans="25:37" x14ac:dyDescent="0.2">
      <c r="Y543511" s="5"/>
      <c r="AB543511" s="5"/>
      <c r="AE543511" s="5"/>
      <c r="AH543511" s="5"/>
      <c r="AK543511" s="5"/>
    </row>
    <row r="543521" spans="25:37" x14ac:dyDescent="0.2">
      <c r="Y543521" s="251"/>
      <c r="AB543521" s="251"/>
      <c r="AE543521" s="251"/>
      <c r="AH543521" s="251"/>
      <c r="AK543521" s="251"/>
    </row>
    <row r="543636" spans="25:37" x14ac:dyDescent="0.2">
      <c r="Y543636" s="5"/>
      <c r="AB543636" s="5"/>
      <c r="AE543636" s="5"/>
      <c r="AH543636" s="5"/>
      <c r="AK543636" s="5"/>
    </row>
    <row r="543646" spans="25:37" x14ac:dyDescent="0.2">
      <c r="Y543646" s="251"/>
      <c r="AB543646" s="251"/>
      <c r="AE543646" s="251"/>
      <c r="AH543646" s="251"/>
      <c r="AK543646" s="251"/>
    </row>
    <row r="543761" spans="25:37" x14ac:dyDescent="0.2">
      <c r="Y543761" s="5"/>
      <c r="AB543761" s="5"/>
      <c r="AE543761" s="5"/>
      <c r="AH543761" s="5"/>
      <c r="AK543761" s="5"/>
    </row>
    <row r="543771" spans="25:37" x14ac:dyDescent="0.2">
      <c r="Y543771" s="251"/>
      <c r="AB543771" s="251"/>
      <c r="AE543771" s="251"/>
      <c r="AH543771" s="251"/>
      <c r="AK543771" s="251"/>
    </row>
    <row r="543886" spans="25:37" x14ac:dyDescent="0.2">
      <c r="Y543886" s="5"/>
      <c r="AB543886" s="5"/>
      <c r="AE543886" s="5"/>
      <c r="AH543886" s="5"/>
      <c r="AK543886" s="5"/>
    </row>
    <row r="543896" spans="25:37" x14ac:dyDescent="0.2">
      <c r="Y543896" s="251"/>
      <c r="AB543896" s="251"/>
      <c r="AE543896" s="251"/>
      <c r="AH543896" s="251"/>
      <c r="AK543896" s="251"/>
    </row>
    <row r="544011" spans="25:37" x14ac:dyDescent="0.2">
      <c r="Y544011" s="5"/>
      <c r="AB544011" s="5"/>
      <c r="AE544011" s="5"/>
      <c r="AH544011" s="5"/>
      <c r="AK544011" s="5"/>
    </row>
    <row r="544021" spans="25:37" x14ac:dyDescent="0.2">
      <c r="Y544021" s="251"/>
      <c r="AB544021" s="251"/>
      <c r="AE544021" s="251"/>
      <c r="AH544021" s="251"/>
      <c r="AK544021" s="251"/>
    </row>
    <row r="544136" spans="25:37" x14ac:dyDescent="0.2">
      <c r="Y544136" s="5"/>
      <c r="AB544136" s="5"/>
      <c r="AE544136" s="5"/>
      <c r="AH544136" s="5"/>
      <c r="AK544136" s="5"/>
    </row>
    <row r="544146" spans="25:37" x14ac:dyDescent="0.2">
      <c r="Y544146" s="251"/>
      <c r="AB544146" s="251"/>
      <c r="AE544146" s="251"/>
      <c r="AH544146" s="251"/>
      <c r="AK544146" s="251"/>
    </row>
    <row r="544261" spans="25:37" x14ac:dyDescent="0.2">
      <c r="Y544261" s="5"/>
      <c r="AB544261" s="5"/>
      <c r="AE544261" s="5"/>
      <c r="AH544261" s="5"/>
      <c r="AK544261" s="5"/>
    </row>
    <row r="544271" spans="25:37" x14ac:dyDescent="0.2">
      <c r="Y544271" s="251"/>
      <c r="AB544271" s="251"/>
      <c r="AE544271" s="251"/>
      <c r="AH544271" s="251"/>
      <c r="AK544271" s="251"/>
    </row>
    <row r="544386" spans="25:37" x14ac:dyDescent="0.2">
      <c r="Y544386" s="5"/>
      <c r="AB544386" s="5"/>
      <c r="AE544386" s="5"/>
      <c r="AH544386" s="5"/>
      <c r="AK544386" s="5"/>
    </row>
    <row r="544396" spans="25:37" x14ac:dyDescent="0.2">
      <c r="Y544396" s="251"/>
      <c r="AB544396" s="251"/>
      <c r="AE544396" s="251"/>
      <c r="AH544396" s="251"/>
      <c r="AK544396" s="251"/>
    </row>
    <row r="544511" spans="25:37" x14ac:dyDescent="0.2">
      <c r="Y544511" s="5"/>
      <c r="AB544511" s="5"/>
      <c r="AE544511" s="5"/>
      <c r="AH544511" s="5"/>
      <c r="AK544511" s="5"/>
    </row>
    <row r="544521" spans="25:37" x14ac:dyDescent="0.2">
      <c r="Y544521" s="251"/>
      <c r="AB544521" s="251"/>
      <c r="AE544521" s="251"/>
      <c r="AH544521" s="251"/>
      <c r="AK544521" s="251"/>
    </row>
    <row r="544636" spans="25:37" x14ac:dyDescent="0.2">
      <c r="Y544636" s="5"/>
      <c r="AB544636" s="5"/>
      <c r="AE544636" s="5"/>
      <c r="AH544636" s="5"/>
      <c r="AK544636" s="5"/>
    </row>
    <row r="544646" spans="25:37" x14ac:dyDescent="0.2">
      <c r="Y544646" s="251"/>
      <c r="AB544646" s="251"/>
      <c r="AE544646" s="251"/>
      <c r="AH544646" s="251"/>
      <c r="AK544646" s="251"/>
    </row>
    <row r="544761" spans="25:37" x14ac:dyDescent="0.2">
      <c r="Y544761" s="5"/>
      <c r="AB544761" s="5"/>
      <c r="AE544761" s="5"/>
      <c r="AH544761" s="5"/>
      <c r="AK544761" s="5"/>
    </row>
    <row r="544771" spans="25:37" x14ac:dyDescent="0.2">
      <c r="Y544771" s="251"/>
      <c r="AB544771" s="251"/>
      <c r="AE544771" s="251"/>
      <c r="AH544771" s="251"/>
      <c r="AK544771" s="251"/>
    </row>
    <row r="544886" spans="25:37" x14ac:dyDescent="0.2">
      <c r="Y544886" s="5"/>
      <c r="AB544886" s="5"/>
      <c r="AE544886" s="5"/>
      <c r="AH544886" s="5"/>
      <c r="AK544886" s="5"/>
    </row>
    <row r="544896" spans="25:37" x14ac:dyDescent="0.2">
      <c r="Y544896" s="251"/>
      <c r="AB544896" s="251"/>
      <c r="AE544896" s="251"/>
      <c r="AH544896" s="251"/>
      <c r="AK544896" s="251"/>
    </row>
    <row r="545011" spans="25:37" x14ac:dyDescent="0.2">
      <c r="Y545011" s="5"/>
      <c r="AB545011" s="5"/>
      <c r="AE545011" s="5"/>
      <c r="AH545011" s="5"/>
      <c r="AK545011" s="5"/>
    </row>
    <row r="545021" spans="25:37" x14ac:dyDescent="0.2">
      <c r="Y545021" s="251"/>
      <c r="AB545021" s="251"/>
      <c r="AE545021" s="251"/>
      <c r="AH545021" s="251"/>
      <c r="AK545021" s="251"/>
    </row>
    <row r="545136" spans="25:37" x14ac:dyDescent="0.2">
      <c r="Y545136" s="5"/>
      <c r="AB545136" s="5"/>
      <c r="AE545136" s="5"/>
      <c r="AH545136" s="5"/>
      <c r="AK545136" s="5"/>
    </row>
    <row r="545146" spans="25:37" x14ac:dyDescent="0.2">
      <c r="Y545146" s="251"/>
      <c r="AB545146" s="251"/>
      <c r="AE545146" s="251"/>
      <c r="AH545146" s="251"/>
      <c r="AK545146" s="251"/>
    </row>
    <row r="545261" spans="25:37" x14ac:dyDescent="0.2">
      <c r="Y545261" s="5"/>
      <c r="AB545261" s="5"/>
      <c r="AE545261" s="5"/>
      <c r="AH545261" s="5"/>
      <c r="AK545261" s="5"/>
    </row>
    <row r="545271" spans="25:37" x14ac:dyDescent="0.2">
      <c r="Y545271" s="251"/>
      <c r="AB545271" s="251"/>
      <c r="AE545271" s="251"/>
      <c r="AH545271" s="251"/>
      <c r="AK545271" s="251"/>
    </row>
    <row r="545386" spans="25:37" x14ac:dyDescent="0.2">
      <c r="Y545386" s="5"/>
      <c r="AB545386" s="5"/>
      <c r="AE545386" s="5"/>
      <c r="AH545386" s="5"/>
      <c r="AK545386" s="5"/>
    </row>
    <row r="545396" spans="25:37" x14ac:dyDescent="0.2">
      <c r="Y545396" s="251"/>
      <c r="AB545396" s="251"/>
      <c r="AE545396" s="251"/>
      <c r="AH545396" s="251"/>
      <c r="AK545396" s="251"/>
    </row>
    <row r="545511" spans="25:37" x14ac:dyDescent="0.2">
      <c r="Y545511" s="5"/>
      <c r="AB545511" s="5"/>
      <c r="AE545511" s="5"/>
      <c r="AH545511" s="5"/>
      <c r="AK545511" s="5"/>
    </row>
    <row r="545521" spans="25:37" x14ac:dyDescent="0.2">
      <c r="Y545521" s="251"/>
      <c r="AB545521" s="251"/>
      <c r="AE545521" s="251"/>
      <c r="AH545521" s="251"/>
      <c r="AK545521" s="251"/>
    </row>
    <row r="545636" spans="25:37" x14ac:dyDescent="0.2">
      <c r="Y545636" s="5"/>
      <c r="AB545636" s="5"/>
      <c r="AE545636" s="5"/>
      <c r="AH545636" s="5"/>
      <c r="AK545636" s="5"/>
    </row>
    <row r="545646" spans="25:37" x14ac:dyDescent="0.2">
      <c r="Y545646" s="251"/>
      <c r="AB545646" s="251"/>
      <c r="AE545646" s="251"/>
      <c r="AH545646" s="251"/>
      <c r="AK545646" s="251"/>
    </row>
    <row r="545761" spans="25:37" x14ac:dyDescent="0.2">
      <c r="Y545761" s="5"/>
      <c r="AB545761" s="5"/>
      <c r="AE545761" s="5"/>
      <c r="AH545761" s="5"/>
      <c r="AK545761" s="5"/>
    </row>
    <row r="545771" spans="25:37" x14ac:dyDescent="0.2">
      <c r="Y545771" s="251"/>
      <c r="AB545771" s="251"/>
      <c r="AE545771" s="251"/>
      <c r="AH545771" s="251"/>
      <c r="AK545771" s="251"/>
    </row>
    <row r="545886" spans="25:37" x14ac:dyDescent="0.2">
      <c r="Y545886" s="5"/>
      <c r="AB545886" s="5"/>
      <c r="AE545886" s="5"/>
      <c r="AH545886" s="5"/>
      <c r="AK545886" s="5"/>
    </row>
    <row r="545896" spans="25:37" x14ac:dyDescent="0.2">
      <c r="Y545896" s="251"/>
      <c r="AB545896" s="251"/>
      <c r="AE545896" s="251"/>
      <c r="AH545896" s="251"/>
      <c r="AK545896" s="251"/>
    </row>
    <row r="546011" spans="25:37" x14ac:dyDescent="0.2">
      <c r="Y546011" s="5"/>
      <c r="AB546011" s="5"/>
      <c r="AE546011" s="5"/>
      <c r="AH546011" s="5"/>
      <c r="AK546011" s="5"/>
    </row>
    <row r="546021" spans="25:37" x14ac:dyDescent="0.2">
      <c r="Y546021" s="251"/>
      <c r="AB546021" s="251"/>
      <c r="AE546021" s="251"/>
      <c r="AH546021" s="251"/>
      <c r="AK546021" s="251"/>
    </row>
    <row r="546136" spans="25:37" x14ac:dyDescent="0.2">
      <c r="Y546136" s="5"/>
      <c r="AB546136" s="5"/>
      <c r="AE546136" s="5"/>
      <c r="AH546136" s="5"/>
      <c r="AK546136" s="5"/>
    </row>
    <row r="546146" spans="25:37" x14ac:dyDescent="0.2">
      <c r="Y546146" s="251"/>
      <c r="AB546146" s="251"/>
      <c r="AE546146" s="251"/>
      <c r="AH546146" s="251"/>
      <c r="AK546146" s="251"/>
    </row>
    <row r="546261" spans="25:37" x14ac:dyDescent="0.2">
      <c r="Y546261" s="5"/>
      <c r="AB546261" s="5"/>
      <c r="AE546261" s="5"/>
      <c r="AH546261" s="5"/>
      <c r="AK546261" s="5"/>
    </row>
    <row r="546271" spans="25:37" x14ac:dyDescent="0.2">
      <c r="Y546271" s="251"/>
      <c r="AB546271" s="251"/>
      <c r="AE546271" s="251"/>
      <c r="AH546271" s="251"/>
      <c r="AK546271" s="251"/>
    </row>
    <row r="546386" spans="25:37" x14ac:dyDescent="0.2">
      <c r="Y546386" s="5"/>
      <c r="AB546386" s="5"/>
      <c r="AE546386" s="5"/>
      <c r="AH546386" s="5"/>
      <c r="AK546386" s="5"/>
    </row>
    <row r="546396" spans="25:37" x14ac:dyDescent="0.2">
      <c r="Y546396" s="251"/>
      <c r="AB546396" s="251"/>
      <c r="AE546396" s="251"/>
      <c r="AH546396" s="251"/>
      <c r="AK546396" s="251"/>
    </row>
    <row r="546511" spans="25:37" x14ac:dyDescent="0.2">
      <c r="Y546511" s="5"/>
      <c r="AB546511" s="5"/>
      <c r="AE546511" s="5"/>
      <c r="AH546511" s="5"/>
      <c r="AK546511" s="5"/>
    </row>
    <row r="546521" spans="25:37" x14ac:dyDescent="0.2">
      <c r="Y546521" s="251"/>
      <c r="AB546521" s="251"/>
      <c r="AE546521" s="251"/>
      <c r="AH546521" s="251"/>
      <c r="AK546521" s="251"/>
    </row>
    <row r="546636" spans="25:37" x14ac:dyDescent="0.2">
      <c r="Y546636" s="5"/>
      <c r="AB546636" s="5"/>
      <c r="AE546636" s="5"/>
      <c r="AH546636" s="5"/>
      <c r="AK546636" s="5"/>
    </row>
    <row r="546646" spans="25:37" x14ac:dyDescent="0.2">
      <c r="Y546646" s="251"/>
      <c r="AB546646" s="251"/>
      <c r="AE546646" s="251"/>
      <c r="AH546646" s="251"/>
      <c r="AK546646" s="251"/>
    </row>
    <row r="546761" spans="25:37" x14ac:dyDescent="0.2">
      <c r="Y546761" s="5"/>
      <c r="AB546761" s="5"/>
      <c r="AE546761" s="5"/>
      <c r="AH546761" s="5"/>
      <c r="AK546761" s="5"/>
    </row>
    <row r="546771" spans="25:37" x14ac:dyDescent="0.2">
      <c r="Y546771" s="251"/>
      <c r="AB546771" s="251"/>
      <c r="AE546771" s="251"/>
      <c r="AH546771" s="251"/>
      <c r="AK546771" s="251"/>
    </row>
    <row r="546886" spans="25:37" x14ac:dyDescent="0.2">
      <c r="Y546886" s="5"/>
      <c r="AB546886" s="5"/>
      <c r="AE546886" s="5"/>
      <c r="AH546886" s="5"/>
      <c r="AK546886" s="5"/>
    </row>
    <row r="546896" spans="25:37" x14ac:dyDescent="0.2">
      <c r="Y546896" s="251"/>
      <c r="AB546896" s="251"/>
      <c r="AE546896" s="251"/>
      <c r="AH546896" s="251"/>
      <c r="AK546896" s="251"/>
    </row>
    <row r="547011" spans="25:37" x14ac:dyDescent="0.2">
      <c r="Y547011" s="5"/>
      <c r="AB547011" s="5"/>
      <c r="AE547011" s="5"/>
      <c r="AH547011" s="5"/>
      <c r="AK547011" s="5"/>
    </row>
    <row r="547021" spans="25:37" x14ac:dyDescent="0.2">
      <c r="Y547021" s="251"/>
      <c r="AB547021" s="251"/>
      <c r="AE547021" s="251"/>
      <c r="AH547021" s="251"/>
      <c r="AK547021" s="251"/>
    </row>
    <row r="547136" spans="25:37" x14ac:dyDescent="0.2">
      <c r="Y547136" s="5"/>
      <c r="AB547136" s="5"/>
      <c r="AE547136" s="5"/>
      <c r="AH547136" s="5"/>
      <c r="AK547136" s="5"/>
    </row>
    <row r="547146" spans="25:37" x14ac:dyDescent="0.2">
      <c r="Y547146" s="251"/>
      <c r="AB547146" s="251"/>
      <c r="AE547146" s="251"/>
      <c r="AH547146" s="251"/>
      <c r="AK547146" s="251"/>
    </row>
    <row r="547261" spans="25:37" x14ac:dyDescent="0.2">
      <c r="Y547261" s="5"/>
      <c r="AB547261" s="5"/>
      <c r="AE547261" s="5"/>
      <c r="AH547261" s="5"/>
      <c r="AK547261" s="5"/>
    </row>
    <row r="547271" spans="25:37" x14ac:dyDescent="0.2">
      <c r="Y547271" s="251"/>
      <c r="AB547271" s="251"/>
      <c r="AE547271" s="251"/>
      <c r="AH547271" s="251"/>
      <c r="AK547271" s="251"/>
    </row>
    <row r="547386" spans="25:37" x14ac:dyDescent="0.2">
      <c r="Y547386" s="5"/>
      <c r="AB547386" s="5"/>
      <c r="AE547386" s="5"/>
      <c r="AH547386" s="5"/>
      <c r="AK547386" s="5"/>
    </row>
    <row r="547396" spans="25:37" x14ac:dyDescent="0.2">
      <c r="Y547396" s="251"/>
      <c r="AB547396" s="251"/>
      <c r="AE547396" s="251"/>
      <c r="AH547396" s="251"/>
      <c r="AK547396" s="251"/>
    </row>
    <row r="547511" spans="25:37" x14ac:dyDescent="0.2">
      <c r="Y547511" s="5"/>
      <c r="AB547511" s="5"/>
      <c r="AE547511" s="5"/>
      <c r="AH547511" s="5"/>
      <c r="AK547511" s="5"/>
    </row>
    <row r="547521" spans="25:37" x14ac:dyDescent="0.2">
      <c r="Y547521" s="251"/>
      <c r="AB547521" s="251"/>
      <c r="AE547521" s="251"/>
      <c r="AH547521" s="251"/>
      <c r="AK547521" s="251"/>
    </row>
    <row r="547636" spans="25:37" x14ac:dyDescent="0.2">
      <c r="Y547636" s="5"/>
      <c r="AB547636" s="5"/>
      <c r="AE547636" s="5"/>
      <c r="AH547636" s="5"/>
      <c r="AK547636" s="5"/>
    </row>
    <row r="547646" spans="25:37" x14ac:dyDescent="0.2">
      <c r="Y547646" s="251"/>
      <c r="AB547646" s="251"/>
      <c r="AE547646" s="251"/>
      <c r="AH547646" s="251"/>
      <c r="AK547646" s="251"/>
    </row>
    <row r="547761" spans="25:37" x14ac:dyDescent="0.2">
      <c r="Y547761" s="5"/>
      <c r="AB547761" s="5"/>
      <c r="AE547761" s="5"/>
      <c r="AH547761" s="5"/>
      <c r="AK547761" s="5"/>
    </row>
    <row r="547771" spans="25:37" x14ac:dyDescent="0.2">
      <c r="Y547771" s="251"/>
      <c r="AB547771" s="251"/>
      <c r="AE547771" s="251"/>
      <c r="AH547771" s="251"/>
      <c r="AK547771" s="251"/>
    </row>
    <row r="547886" spans="25:37" x14ac:dyDescent="0.2">
      <c r="Y547886" s="5"/>
      <c r="AB547886" s="5"/>
      <c r="AE547886" s="5"/>
      <c r="AH547886" s="5"/>
      <c r="AK547886" s="5"/>
    </row>
    <row r="547896" spans="25:37" x14ac:dyDescent="0.2">
      <c r="Y547896" s="251"/>
      <c r="AB547896" s="251"/>
      <c r="AE547896" s="251"/>
      <c r="AH547896" s="251"/>
      <c r="AK547896" s="251"/>
    </row>
    <row r="548011" spans="25:37" x14ac:dyDescent="0.2">
      <c r="Y548011" s="5"/>
      <c r="AB548011" s="5"/>
      <c r="AE548011" s="5"/>
      <c r="AH548011" s="5"/>
      <c r="AK548011" s="5"/>
    </row>
    <row r="548021" spans="25:37" x14ac:dyDescent="0.2">
      <c r="Y548021" s="251"/>
      <c r="AB548021" s="251"/>
      <c r="AE548021" s="251"/>
      <c r="AH548021" s="251"/>
      <c r="AK548021" s="251"/>
    </row>
    <row r="548136" spans="25:37" x14ac:dyDescent="0.2">
      <c r="Y548136" s="5"/>
      <c r="AB548136" s="5"/>
      <c r="AE548136" s="5"/>
      <c r="AH548136" s="5"/>
      <c r="AK548136" s="5"/>
    </row>
    <row r="548146" spans="25:37" x14ac:dyDescent="0.2">
      <c r="Y548146" s="251"/>
      <c r="AB548146" s="251"/>
      <c r="AE548146" s="251"/>
      <c r="AH548146" s="251"/>
      <c r="AK548146" s="251"/>
    </row>
    <row r="548261" spans="25:37" x14ac:dyDescent="0.2">
      <c r="Y548261" s="5"/>
      <c r="AB548261" s="5"/>
      <c r="AE548261" s="5"/>
      <c r="AH548261" s="5"/>
      <c r="AK548261" s="5"/>
    </row>
    <row r="548271" spans="25:37" x14ac:dyDescent="0.2">
      <c r="Y548271" s="251"/>
      <c r="AB548271" s="251"/>
      <c r="AE548271" s="251"/>
      <c r="AH548271" s="251"/>
      <c r="AK548271" s="251"/>
    </row>
    <row r="548386" spans="25:37" x14ac:dyDescent="0.2">
      <c r="Y548386" s="5"/>
      <c r="AB548386" s="5"/>
      <c r="AE548386" s="5"/>
      <c r="AH548386" s="5"/>
      <c r="AK548386" s="5"/>
    </row>
    <row r="548396" spans="25:37" x14ac:dyDescent="0.2">
      <c r="Y548396" s="251"/>
      <c r="AB548396" s="251"/>
      <c r="AE548396" s="251"/>
      <c r="AH548396" s="251"/>
      <c r="AK548396" s="251"/>
    </row>
    <row r="548511" spans="25:37" x14ac:dyDescent="0.2">
      <c r="Y548511" s="5"/>
      <c r="AB548511" s="5"/>
      <c r="AE548511" s="5"/>
      <c r="AH548511" s="5"/>
      <c r="AK548511" s="5"/>
    </row>
    <row r="548521" spans="25:37" x14ac:dyDescent="0.2">
      <c r="Y548521" s="251"/>
      <c r="AB548521" s="251"/>
      <c r="AE548521" s="251"/>
      <c r="AH548521" s="251"/>
      <c r="AK548521" s="251"/>
    </row>
    <row r="548636" spans="25:37" x14ac:dyDescent="0.2">
      <c r="Y548636" s="5"/>
      <c r="AB548636" s="5"/>
      <c r="AE548636" s="5"/>
      <c r="AH548636" s="5"/>
      <c r="AK548636" s="5"/>
    </row>
    <row r="548646" spans="25:37" x14ac:dyDescent="0.2">
      <c r="Y548646" s="251"/>
      <c r="AB548646" s="251"/>
      <c r="AE548646" s="251"/>
      <c r="AH548646" s="251"/>
      <c r="AK548646" s="251"/>
    </row>
    <row r="548761" spans="25:37" x14ac:dyDescent="0.2">
      <c r="Y548761" s="5"/>
      <c r="AB548761" s="5"/>
      <c r="AE548761" s="5"/>
      <c r="AH548761" s="5"/>
      <c r="AK548761" s="5"/>
    </row>
    <row r="548771" spans="25:37" x14ac:dyDescent="0.2">
      <c r="Y548771" s="251"/>
      <c r="AB548771" s="251"/>
      <c r="AE548771" s="251"/>
      <c r="AH548771" s="251"/>
      <c r="AK548771" s="251"/>
    </row>
    <row r="548886" spans="25:37" x14ac:dyDescent="0.2">
      <c r="Y548886" s="5"/>
      <c r="AB548886" s="5"/>
      <c r="AE548886" s="5"/>
      <c r="AH548886" s="5"/>
      <c r="AK548886" s="5"/>
    </row>
    <row r="548896" spans="25:37" x14ac:dyDescent="0.2">
      <c r="Y548896" s="251"/>
      <c r="AB548896" s="251"/>
      <c r="AE548896" s="251"/>
      <c r="AH548896" s="251"/>
      <c r="AK548896" s="251"/>
    </row>
    <row r="549011" spans="25:37" x14ac:dyDescent="0.2">
      <c r="Y549011" s="5"/>
      <c r="AB549011" s="5"/>
      <c r="AE549011" s="5"/>
      <c r="AH549011" s="5"/>
      <c r="AK549011" s="5"/>
    </row>
    <row r="549021" spans="25:37" x14ac:dyDescent="0.2">
      <c r="Y549021" s="251"/>
      <c r="AB549021" s="251"/>
      <c r="AE549021" s="251"/>
      <c r="AH549021" s="251"/>
      <c r="AK549021" s="251"/>
    </row>
    <row r="549136" spans="25:37" x14ac:dyDescent="0.2">
      <c r="Y549136" s="5"/>
      <c r="AB549136" s="5"/>
      <c r="AE549136" s="5"/>
      <c r="AH549136" s="5"/>
      <c r="AK549136" s="5"/>
    </row>
    <row r="549146" spans="25:37" x14ac:dyDescent="0.2">
      <c r="Y549146" s="251"/>
      <c r="AB549146" s="251"/>
      <c r="AE549146" s="251"/>
      <c r="AH549146" s="251"/>
      <c r="AK549146" s="251"/>
    </row>
    <row r="549261" spans="25:37" x14ac:dyDescent="0.2">
      <c r="Y549261" s="5"/>
      <c r="AB549261" s="5"/>
      <c r="AE549261" s="5"/>
      <c r="AH549261" s="5"/>
      <c r="AK549261" s="5"/>
    </row>
    <row r="549271" spans="25:37" x14ac:dyDescent="0.2">
      <c r="Y549271" s="251"/>
      <c r="AB549271" s="251"/>
      <c r="AE549271" s="251"/>
      <c r="AH549271" s="251"/>
      <c r="AK549271" s="251"/>
    </row>
    <row r="549386" spans="25:37" x14ac:dyDescent="0.2">
      <c r="Y549386" s="5"/>
      <c r="AB549386" s="5"/>
      <c r="AE549386" s="5"/>
      <c r="AH549386" s="5"/>
      <c r="AK549386" s="5"/>
    </row>
    <row r="549396" spans="25:37" x14ac:dyDescent="0.2">
      <c r="Y549396" s="251"/>
      <c r="AB549396" s="251"/>
      <c r="AE549396" s="251"/>
      <c r="AH549396" s="251"/>
      <c r="AK549396" s="251"/>
    </row>
    <row r="549511" spans="25:37" x14ac:dyDescent="0.2">
      <c r="Y549511" s="5"/>
      <c r="AB549511" s="5"/>
      <c r="AE549511" s="5"/>
      <c r="AH549511" s="5"/>
      <c r="AK549511" s="5"/>
    </row>
    <row r="549521" spans="25:37" x14ac:dyDescent="0.2">
      <c r="Y549521" s="251"/>
      <c r="AB549521" s="251"/>
      <c r="AE549521" s="251"/>
      <c r="AH549521" s="251"/>
      <c r="AK549521" s="251"/>
    </row>
    <row r="549636" spans="25:37" x14ac:dyDescent="0.2">
      <c r="Y549636" s="5"/>
      <c r="AB549636" s="5"/>
      <c r="AE549636" s="5"/>
      <c r="AH549636" s="5"/>
      <c r="AK549636" s="5"/>
    </row>
    <row r="549646" spans="25:37" x14ac:dyDescent="0.2">
      <c r="Y549646" s="251"/>
      <c r="AB549646" s="251"/>
      <c r="AE549646" s="251"/>
      <c r="AH549646" s="251"/>
      <c r="AK549646" s="251"/>
    </row>
    <row r="549761" spans="25:37" x14ac:dyDescent="0.2">
      <c r="Y549761" s="5"/>
      <c r="AB549761" s="5"/>
      <c r="AE549761" s="5"/>
      <c r="AH549761" s="5"/>
      <c r="AK549761" s="5"/>
    </row>
    <row r="549771" spans="25:37" x14ac:dyDescent="0.2">
      <c r="Y549771" s="251"/>
      <c r="AB549771" s="251"/>
      <c r="AE549771" s="251"/>
      <c r="AH549771" s="251"/>
      <c r="AK549771" s="251"/>
    </row>
    <row r="549886" spans="25:37" x14ac:dyDescent="0.2">
      <c r="Y549886" s="5"/>
      <c r="AB549886" s="5"/>
      <c r="AE549886" s="5"/>
      <c r="AH549886" s="5"/>
      <c r="AK549886" s="5"/>
    </row>
    <row r="549896" spans="25:37" x14ac:dyDescent="0.2">
      <c r="Y549896" s="251"/>
      <c r="AB549896" s="251"/>
      <c r="AE549896" s="251"/>
      <c r="AH549896" s="251"/>
      <c r="AK549896" s="251"/>
    </row>
    <row r="550011" spans="25:37" x14ac:dyDescent="0.2">
      <c r="Y550011" s="5"/>
      <c r="AB550011" s="5"/>
      <c r="AE550011" s="5"/>
      <c r="AH550011" s="5"/>
      <c r="AK550011" s="5"/>
    </row>
    <row r="550021" spans="25:37" x14ac:dyDescent="0.2">
      <c r="Y550021" s="251"/>
      <c r="AB550021" s="251"/>
      <c r="AE550021" s="251"/>
      <c r="AH550021" s="251"/>
      <c r="AK550021" s="251"/>
    </row>
    <row r="550136" spans="25:37" x14ac:dyDescent="0.2">
      <c r="Y550136" s="5"/>
      <c r="AB550136" s="5"/>
      <c r="AE550136" s="5"/>
      <c r="AH550136" s="5"/>
      <c r="AK550136" s="5"/>
    </row>
    <row r="550146" spans="25:37" x14ac:dyDescent="0.2">
      <c r="Y550146" s="251"/>
      <c r="AB550146" s="251"/>
      <c r="AE550146" s="251"/>
      <c r="AH550146" s="251"/>
      <c r="AK550146" s="251"/>
    </row>
    <row r="550261" spans="25:37" x14ac:dyDescent="0.2">
      <c r="Y550261" s="5"/>
      <c r="AB550261" s="5"/>
      <c r="AE550261" s="5"/>
      <c r="AH550261" s="5"/>
      <c r="AK550261" s="5"/>
    </row>
    <row r="550271" spans="25:37" x14ac:dyDescent="0.2">
      <c r="Y550271" s="251"/>
      <c r="AB550271" s="251"/>
      <c r="AE550271" s="251"/>
      <c r="AH550271" s="251"/>
      <c r="AK550271" s="251"/>
    </row>
    <row r="550386" spans="25:37" x14ac:dyDescent="0.2">
      <c r="Y550386" s="5"/>
      <c r="AB550386" s="5"/>
      <c r="AE550386" s="5"/>
      <c r="AH550386" s="5"/>
      <c r="AK550386" s="5"/>
    </row>
    <row r="550396" spans="25:37" x14ac:dyDescent="0.2">
      <c r="Y550396" s="251"/>
      <c r="AB550396" s="251"/>
      <c r="AE550396" s="251"/>
      <c r="AH550396" s="251"/>
      <c r="AK550396" s="251"/>
    </row>
    <row r="550511" spans="25:37" x14ac:dyDescent="0.2">
      <c r="Y550511" s="5"/>
      <c r="AB550511" s="5"/>
      <c r="AE550511" s="5"/>
      <c r="AH550511" s="5"/>
      <c r="AK550511" s="5"/>
    </row>
    <row r="550521" spans="25:37" x14ac:dyDescent="0.2">
      <c r="Y550521" s="251"/>
      <c r="AB550521" s="251"/>
      <c r="AE550521" s="251"/>
      <c r="AH550521" s="251"/>
      <c r="AK550521" s="251"/>
    </row>
    <row r="550636" spans="25:37" x14ac:dyDescent="0.2">
      <c r="Y550636" s="5"/>
      <c r="AB550636" s="5"/>
      <c r="AE550636" s="5"/>
      <c r="AH550636" s="5"/>
      <c r="AK550636" s="5"/>
    </row>
    <row r="550646" spans="25:37" x14ac:dyDescent="0.2">
      <c r="Y550646" s="251"/>
      <c r="AB550646" s="251"/>
      <c r="AE550646" s="251"/>
      <c r="AH550646" s="251"/>
      <c r="AK550646" s="251"/>
    </row>
    <row r="550761" spans="25:37" x14ac:dyDescent="0.2">
      <c r="Y550761" s="5"/>
      <c r="AB550761" s="5"/>
      <c r="AE550761" s="5"/>
      <c r="AH550761" s="5"/>
      <c r="AK550761" s="5"/>
    </row>
    <row r="550771" spans="25:37" x14ac:dyDescent="0.2">
      <c r="Y550771" s="251"/>
      <c r="AB550771" s="251"/>
      <c r="AE550771" s="251"/>
      <c r="AH550771" s="251"/>
      <c r="AK550771" s="251"/>
    </row>
    <row r="550886" spans="25:37" x14ac:dyDescent="0.2">
      <c r="Y550886" s="5"/>
      <c r="AB550886" s="5"/>
      <c r="AE550886" s="5"/>
      <c r="AH550886" s="5"/>
      <c r="AK550886" s="5"/>
    </row>
    <row r="550896" spans="25:37" x14ac:dyDescent="0.2">
      <c r="Y550896" s="251"/>
      <c r="AB550896" s="251"/>
      <c r="AE550896" s="251"/>
      <c r="AH550896" s="251"/>
      <c r="AK550896" s="251"/>
    </row>
    <row r="551011" spans="25:37" x14ac:dyDescent="0.2">
      <c r="Y551011" s="5"/>
      <c r="AB551011" s="5"/>
      <c r="AE551011" s="5"/>
      <c r="AH551011" s="5"/>
      <c r="AK551011" s="5"/>
    </row>
    <row r="551021" spans="25:37" x14ac:dyDescent="0.2">
      <c r="Y551021" s="251"/>
      <c r="AB551021" s="251"/>
      <c r="AE551021" s="251"/>
      <c r="AH551021" s="251"/>
      <c r="AK551021" s="251"/>
    </row>
    <row r="551136" spans="25:37" x14ac:dyDescent="0.2">
      <c r="Y551136" s="5"/>
      <c r="AB551136" s="5"/>
      <c r="AE551136" s="5"/>
      <c r="AH551136" s="5"/>
      <c r="AK551136" s="5"/>
    </row>
    <row r="551146" spans="25:37" x14ac:dyDescent="0.2">
      <c r="Y551146" s="251"/>
      <c r="AB551146" s="251"/>
      <c r="AE551146" s="251"/>
      <c r="AH551146" s="251"/>
      <c r="AK551146" s="251"/>
    </row>
    <row r="551261" spans="25:37" x14ac:dyDescent="0.2">
      <c r="Y551261" s="5"/>
      <c r="AB551261" s="5"/>
      <c r="AE551261" s="5"/>
      <c r="AH551261" s="5"/>
      <c r="AK551261" s="5"/>
    </row>
    <row r="551271" spans="25:37" x14ac:dyDescent="0.2">
      <c r="Y551271" s="251"/>
      <c r="AB551271" s="251"/>
      <c r="AE551271" s="251"/>
      <c r="AH551271" s="251"/>
      <c r="AK551271" s="251"/>
    </row>
    <row r="551386" spans="25:37" x14ac:dyDescent="0.2">
      <c r="Y551386" s="5"/>
      <c r="AB551386" s="5"/>
      <c r="AE551386" s="5"/>
      <c r="AH551386" s="5"/>
      <c r="AK551386" s="5"/>
    </row>
    <row r="551396" spans="25:37" x14ac:dyDescent="0.2">
      <c r="Y551396" s="251"/>
      <c r="AB551396" s="251"/>
      <c r="AE551396" s="251"/>
      <c r="AH551396" s="251"/>
      <c r="AK551396" s="251"/>
    </row>
    <row r="551511" spans="25:37" x14ac:dyDescent="0.2">
      <c r="Y551511" s="5"/>
      <c r="AB551511" s="5"/>
      <c r="AE551511" s="5"/>
      <c r="AH551511" s="5"/>
      <c r="AK551511" s="5"/>
    </row>
    <row r="551521" spans="25:37" x14ac:dyDescent="0.2">
      <c r="Y551521" s="251"/>
      <c r="AB551521" s="251"/>
      <c r="AE551521" s="251"/>
      <c r="AH551521" s="251"/>
      <c r="AK551521" s="251"/>
    </row>
    <row r="551636" spans="25:37" x14ac:dyDescent="0.2">
      <c r="Y551636" s="5"/>
      <c r="AB551636" s="5"/>
      <c r="AE551636" s="5"/>
      <c r="AH551636" s="5"/>
      <c r="AK551636" s="5"/>
    </row>
    <row r="551646" spans="25:37" x14ac:dyDescent="0.2">
      <c r="Y551646" s="251"/>
      <c r="AB551646" s="251"/>
      <c r="AE551646" s="251"/>
      <c r="AH551646" s="251"/>
      <c r="AK551646" s="251"/>
    </row>
    <row r="551761" spans="25:37" x14ac:dyDescent="0.2">
      <c r="Y551761" s="5"/>
      <c r="AB551761" s="5"/>
      <c r="AE551761" s="5"/>
      <c r="AH551761" s="5"/>
      <c r="AK551761" s="5"/>
    </row>
    <row r="551771" spans="25:37" x14ac:dyDescent="0.2">
      <c r="Y551771" s="251"/>
      <c r="AB551771" s="251"/>
      <c r="AE551771" s="251"/>
      <c r="AH551771" s="251"/>
      <c r="AK551771" s="251"/>
    </row>
    <row r="551886" spans="25:37" x14ac:dyDescent="0.2">
      <c r="Y551886" s="5"/>
      <c r="AB551886" s="5"/>
      <c r="AE551886" s="5"/>
      <c r="AH551886" s="5"/>
      <c r="AK551886" s="5"/>
    </row>
    <row r="551896" spans="25:37" x14ac:dyDescent="0.2">
      <c r="Y551896" s="251"/>
      <c r="AB551896" s="251"/>
      <c r="AE551896" s="251"/>
      <c r="AH551896" s="251"/>
      <c r="AK551896" s="251"/>
    </row>
    <row r="552011" spans="25:37" x14ac:dyDescent="0.2">
      <c r="Y552011" s="5"/>
      <c r="AB552011" s="5"/>
      <c r="AE552011" s="5"/>
      <c r="AH552011" s="5"/>
      <c r="AK552011" s="5"/>
    </row>
    <row r="552021" spans="25:37" x14ac:dyDescent="0.2">
      <c r="Y552021" s="251"/>
      <c r="AB552021" s="251"/>
      <c r="AE552021" s="251"/>
      <c r="AH552021" s="251"/>
      <c r="AK552021" s="251"/>
    </row>
    <row r="552136" spans="25:37" x14ac:dyDescent="0.2">
      <c r="Y552136" s="5"/>
      <c r="AB552136" s="5"/>
      <c r="AE552136" s="5"/>
      <c r="AH552136" s="5"/>
      <c r="AK552136" s="5"/>
    </row>
    <row r="552146" spans="25:37" x14ac:dyDescent="0.2">
      <c r="Y552146" s="251"/>
      <c r="AB552146" s="251"/>
      <c r="AE552146" s="251"/>
      <c r="AH552146" s="251"/>
      <c r="AK552146" s="251"/>
    </row>
    <row r="552261" spans="25:37" x14ac:dyDescent="0.2">
      <c r="Y552261" s="5"/>
      <c r="AB552261" s="5"/>
      <c r="AE552261" s="5"/>
      <c r="AH552261" s="5"/>
      <c r="AK552261" s="5"/>
    </row>
    <row r="552271" spans="25:37" x14ac:dyDescent="0.2">
      <c r="Y552271" s="251"/>
      <c r="AB552271" s="251"/>
      <c r="AE552271" s="251"/>
      <c r="AH552271" s="251"/>
      <c r="AK552271" s="251"/>
    </row>
    <row r="552386" spans="25:37" x14ac:dyDescent="0.2">
      <c r="Y552386" s="5"/>
      <c r="AB552386" s="5"/>
      <c r="AE552386" s="5"/>
      <c r="AH552386" s="5"/>
      <c r="AK552386" s="5"/>
    </row>
    <row r="552396" spans="25:37" x14ac:dyDescent="0.2">
      <c r="Y552396" s="251"/>
      <c r="AB552396" s="251"/>
      <c r="AE552396" s="251"/>
      <c r="AH552396" s="251"/>
      <c r="AK552396" s="251"/>
    </row>
    <row r="552511" spans="25:37" x14ac:dyDescent="0.2">
      <c r="Y552511" s="5"/>
      <c r="AB552511" s="5"/>
      <c r="AE552511" s="5"/>
      <c r="AH552511" s="5"/>
      <c r="AK552511" s="5"/>
    </row>
    <row r="552521" spans="25:37" x14ac:dyDescent="0.2">
      <c r="Y552521" s="251"/>
      <c r="AB552521" s="251"/>
      <c r="AE552521" s="251"/>
      <c r="AH552521" s="251"/>
      <c r="AK552521" s="251"/>
    </row>
    <row r="552636" spans="25:37" x14ac:dyDescent="0.2">
      <c r="Y552636" s="5"/>
      <c r="AB552636" s="5"/>
      <c r="AE552636" s="5"/>
      <c r="AH552636" s="5"/>
      <c r="AK552636" s="5"/>
    </row>
    <row r="552646" spans="25:37" x14ac:dyDescent="0.2">
      <c r="Y552646" s="251"/>
      <c r="AB552646" s="251"/>
      <c r="AE552646" s="251"/>
      <c r="AH552646" s="251"/>
      <c r="AK552646" s="251"/>
    </row>
    <row r="552761" spans="25:37" x14ac:dyDescent="0.2">
      <c r="Y552761" s="5"/>
      <c r="AB552761" s="5"/>
      <c r="AE552761" s="5"/>
      <c r="AH552761" s="5"/>
      <c r="AK552761" s="5"/>
    </row>
    <row r="552771" spans="25:37" x14ac:dyDescent="0.2">
      <c r="Y552771" s="251"/>
      <c r="AB552771" s="251"/>
      <c r="AE552771" s="251"/>
      <c r="AH552771" s="251"/>
      <c r="AK552771" s="251"/>
    </row>
    <row r="552886" spans="25:37" x14ac:dyDescent="0.2">
      <c r="Y552886" s="5"/>
      <c r="AB552886" s="5"/>
      <c r="AE552886" s="5"/>
      <c r="AH552886" s="5"/>
      <c r="AK552886" s="5"/>
    </row>
    <row r="552896" spans="25:37" x14ac:dyDescent="0.2">
      <c r="Y552896" s="251"/>
      <c r="AB552896" s="251"/>
      <c r="AE552896" s="251"/>
      <c r="AH552896" s="251"/>
      <c r="AK552896" s="251"/>
    </row>
    <row r="553011" spans="25:37" x14ac:dyDescent="0.2">
      <c r="Y553011" s="5"/>
      <c r="AB553011" s="5"/>
      <c r="AE553011" s="5"/>
      <c r="AH553011" s="5"/>
      <c r="AK553011" s="5"/>
    </row>
    <row r="553021" spans="25:37" x14ac:dyDescent="0.2">
      <c r="Y553021" s="251"/>
      <c r="AB553021" s="251"/>
      <c r="AE553021" s="251"/>
      <c r="AH553021" s="251"/>
      <c r="AK553021" s="251"/>
    </row>
    <row r="553136" spans="25:37" x14ac:dyDescent="0.2">
      <c r="Y553136" s="5"/>
      <c r="AB553136" s="5"/>
      <c r="AE553136" s="5"/>
      <c r="AH553136" s="5"/>
      <c r="AK553136" s="5"/>
    </row>
    <row r="553146" spans="25:37" x14ac:dyDescent="0.2">
      <c r="Y553146" s="251"/>
      <c r="AB553146" s="251"/>
      <c r="AE553146" s="251"/>
      <c r="AH553146" s="251"/>
      <c r="AK553146" s="251"/>
    </row>
    <row r="553261" spans="25:37" x14ac:dyDescent="0.2">
      <c r="Y553261" s="5"/>
      <c r="AB553261" s="5"/>
      <c r="AE553261" s="5"/>
      <c r="AH553261" s="5"/>
      <c r="AK553261" s="5"/>
    </row>
    <row r="553271" spans="25:37" x14ac:dyDescent="0.2">
      <c r="Y553271" s="251"/>
      <c r="AB553271" s="251"/>
      <c r="AE553271" s="251"/>
      <c r="AH553271" s="251"/>
      <c r="AK553271" s="251"/>
    </row>
    <row r="553386" spans="25:37" x14ac:dyDescent="0.2">
      <c r="Y553386" s="5"/>
      <c r="AB553386" s="5"/>
      <c r="AE553386" s="5"/>
      <c r="AH553386" s="5"/>
      <c r="AK553386" s="5"/>
    </row>
    <row r="553396" spans="25:37" x14ac:dyDescent="0.2">
      <c r="Y553396" s="251"/>
      <c r="AB553396" s="251"/>
      <c r="AE553396" s="251"/>
      <c r="AH553396" s="251"/>
      <c r="AK553396" s="251"/>
    </row>
    <row r="553511" spans="25:37" x14ac:dyDescent="0.2">
      <c r="Y553511" s="5"/>
      <c r="AB553511" s="5"/>
      <c r="AE553511" s="5"/>
      <c r="AH553511" s="5"/>
      <c r="AK553511" s="5"/>
    </row>
    <row r="553521" spans="25:37" x14ac:dyDescent="0.2">
      <c r="Y553521" s="251"/>
      <c r="AB553521" s="251"/>
      <c r="AE553521" s="251"/>
      <c r="AH553521" s="251"/>
      <c r="AK553521" s="251"/>
    </row>
    <row r="553636" spans="25:37" x14ac:dyDescent="0.2">
      <c r="Y553636" s="5"/>
      <c r="AB553636" s="5"/>
      <c r="AE553636" s="5"/>
      <c r="AH553636" s="5"/>
      <c r="AK553636" s="5"/>
    </row>
    <row r="553646" spans="25:37" x14ac:dyDescent="0.2">
      <c r="Y553646" s="251"/>
      <c r="AB553646" s="251"/>
      <c r="AE553646" s="251"/>
      <c r="AH553646" s="251"/>
      <c r="AK553646" s="251"/>
    </row>
    <row r="553761" spans="25:37" x14ac:dyDescent="0.2">
      <c r="Y553761" s="5"/>
      <c r="AB553761" s="5"/>
      <c r="AE553761" s="5"/>
      <c r="AH553761" s="5"/>
      <c r="AK553761" s="5"/>
    </row>
    <row r="553771" spans="25:37" x14ac:dyDescent="0.2">
      <c r="Y553771" s="251"/>
      <c r="AB553771" s="251"/>
      <c r="AE553771" s="251"/>
      <c r="AH553771" s="251"/>
      <c r="AK553771" s="251"/>
    </row>
    <row r="553886" spans="25:37" x14ac:dyDescent="0.2">
      <c r="Y553886" s="5"/>
      <c r="AB553886" s="5"/>
      <c r="AE553886" s="5"/>
      <c r="AH553886" s="5"/>
      <c r="AK553886" s="5"/>
    </row>
    <row r="553896" spans="25:37" x14ac:dyDescent="0.2">
      <c r="Y553896" s="251"/>
      <c r="AB553896" s="251"/>
      <c r="AE553896" s="251"/>
      <c r="AH553896" s="251"/>
      <c r="AK553896" s="251"/>
    </row>
    <row r="554011" spans="25:37" x14ac:dyDescent="0.2">
      <c r="Y554011" s="5"/>
      <c r="AB554011" s="5"/>
      <c r="AE554011" s="5"/>
      <c r="AH554011" s="5"/>
      <c r="AK554011" s="5"/>
    </row>
    <row r="554021" spans="25:37" x14ac:dyDescent="0.2">
      <c r="Y554021" s="251"/>
      <c r="AB554021" s="251"/>
      <c r="AE554021" s="251"/>
      <c r="AH554021" s="251"/>
      <c r="AK554021" s="251"/>
    </row>
    <row r="554136" spans="25:37" x14ac:dyDescent="0.2">
      <c r="Y554136" s="5"/>
      <c r="AB554136" s="5"/>
      <c r="AE554136" s="5"/>
      <c r="AH554136" s="5"/>
      <c r="AK554136" s="5"/>
    </row>
    <row r="554146" spans="25:37" x14ac:dyDescent="0.2">
      <c r="Y554146" s="251"/>
      <c r="AB554146" s="251"/>
      <c r="AE554146" s="251"/>
      <c r="AH554146" s="251"/>
      <c r="AK554146" s="251"/>
    </row>
    <row r="554261" spans="25:37" x14ac:dyDescent="0.2">
      <c r="Y554261" s="5"/>
      <c r="AB554261" s="5"/>
      <c r="AE554261" s="5"/>
      <c r="AH554261" s="5"/>
      <c r="AK554261" s="5"/>
    </row>
    <row r="554271" spans="25:37" x14ac:dyDescent="0.2">
      <c r="Y554271" s="251"/>
      <c r="AB554271" s="251"/>
      <c r="AE554271" s="251"/>
      <c r="AH554271" s="251"/>
      <c r="AK554271" s="251"/>
    </row>
    <row r="554386" spans="25:37" x14ac:dyDescent="0.2">
      <c r="Y554386" s="5"/>
      <c r="AB554386" s="5"/>
      <c r="AE554386" s="5"/>
      <c r="AH554386" s="5"/>
      <c r="AK554386" s="5"/>
    </row>
    <row r="554396" spans="25:37" x14ac:dyDescent="0.2">
      <c r="Y554396" s="251"/>
      <c r="AB554396" s="251"/>
      <c r="AE554396" s="251"/>
      <c r="AH554396" s="251"/>
      <c r="AK554396" s="251"/>
    </row>
    <row r="554511" spans="25:37" x14ac:dyDescent="0.2">
      <c r="Y554511" s="5"/>
      <c r="AB554511" s="5"/>
      <c r="AE554511" s="5"/>
      <c r="AH554511" s="5"/>
      <c r="AK554511" s="5"/>
    </row>
    <row r="554521" spans="25:37" x14ac:dyDescent="0.2">
      <c r="Y554521" s="251"/>
      <c r="AB554521" s="251"/>
      <c r="AE554521" s="251"/>
      <c r="AH554521" s="251"/>
      <c r="AK554521" s="251"/>
    </row>
    <row r="554636" spans="25:37" x14ac:dyDescent="0.2">
      <c r="Y554636" s="5"/>
      <c r="AB554636" s="5"/>
      <c r="AE554636" s="5"/>
      <c r="AH554636" s="5"/>
      <c r="AK554636" s="5"/>
    </row>
    <row r="554646" spans="25:37" x14ac:dyDescent="0.2">
      <c r="Y554646" s="251"/>
      <c r="AB554646" s="251"/>
      <c r="AE554646" s="251"/>
      <c r="AH554646" s="251"/>
      <c r="AK554646" s="251"/>
    </row>
    <row r="554761" spans="25:37" x14ac:dyDescent="0.2">
      <c r="Y554761" s="5"/>
      <c r="AB554761" s="5"/>
      <c r="AE554761" s="5"/>
      <c r="AH554761" s="5"/>
      <c r="AK554761" s="5"/>
    </row>
    <row r="554771" spans="25:37" x14ac:dyDescent="0.2">
      <c r="Y554771" s="251"/>
      <c r="AB554771" s="251"/>
      <c r="AE554771" s="251"/>
      <c r="AH554771" s="251"/>
      <c r="AK554771" s="251"/>
    </row>
    <row r="554886" spans="25:37" x14ac:dyDescent="0.2">
      <c r="Y554886" s="5"/>
      <c r="AB554886" s="5"/>
      <c r="AE554886" s="5"/>
      <c r="AH554886" s="5"/>
      <c r="AK554886" s="5"/>
    </row>
    <row r="554896" spans="25:37" x14ac:dyDescent="0.2">
      <c r="Y554896" s="251"/>
      <c r="AB554896" s="251"/>
      <c r="AE554896" s="251"/>
      <c r="AH554896" s="251"/>
      <c r="AK554896" s="251"/>
    </row>
    <row r="555011" spans="25:37" x14ac:dyDescent="0.2">
      <c r="Y555011" s="5"/>
      <c r="AB555011" s="5"/>
      <c r="AE555011" s="5"/>
      <c r="AH555011" s="5"/>
      <c r="AK555011" s="5"/>
    </row>
    <row r="555021" spans="25:37" x14ac:dyDescent="0.2">
      <c r="Y555021" s="251"/>
      <c r="AB555021" s="251"/>
      <c r="AE555021" s="251"/>
      <c r="AH555021" s="251"/>
      <c r="AK555021" s="251"/>
    </row>
    <row r="555136" spans="25:37" x14ac:dyDescent="0.2">
      <c r="Y555136" s="5"/>
      <c r="AB555136" s="5"/>
      <c r="AE555136" s="5"/>
      <c r="AH555136" s="5"/>
      <c r="AK555136" s="5"/>
    </row>
    <row r="555146" spans="25:37" x14ac:dyDescent="0.2">
      <c r="Y555146" s="251"/>
      <c r="AB555146" s="251"/>
      <c r="AE555146" s="251"/>
      <c r="AH555146" s="251"/>
      <c r="AK555146" s="251"/>
    </row>
    <row r="555261" spans="25:37" x14ac:dyDescent="0.2">
      <c r="Y555261" s="5"/>
      <c r="AB555261" s="5"/>
      <c r="AE555261" s="5"/>
      <c r="AH555261" s="5"/>
      <c r="AK555261" s="5"/>
    </row>
    <row r="555271" spans="25:37" x14ac:dyDescent="0.2">
      <c r="Y555271" s="251"/>
      <c r="AB555271" s="251"/>
      <c r="AE555271" s="251"/>
      <c r="AH555271" s="251"/>
      <c r="AK555271" s="251"/>
    </row>
    <row r="555386" spans="25:37" x14ac:dyDescent="0.2">
      <c r="Y555386" s="5"/>
      <c r="AB555386" s="5"/>
      <c r="AE555386" s="5"/>
      <c r="AH555386" s="5"/>
      <c r="AK555386" s="5"/>
    </row>
    <row r="555396" spans="25:37" x14ac:dyDescent="0.2">
      <c r="Y555396" s="251"/>
      <c r="AB555396" s="251"/>
      <c r="AE555396" s="251"/>
      <c r="AH555396" s="251"/>
      <c r="AK555396" s="251"/>
    </row>
    <row r="555511" spans="25:37" x14ac:dyDescent="0.2">
      <c r="Y555511" s="5"/>
      <c r="AB555511" s="5"/>
      <c r="AE555511" s="5"/>
      <c r="AH555511" s="5"/>
      <c r="AK555511" s="5"/>
    </row>
    <row r="555521" spans="25:37" x14ac:dyDescent="0.2">
      <c r="Y555521" s="251"/>
      <c r="AB555521" s="251"/>
      <c r="AE555521" s="251"/>
      <c r="AH555521" s="251"/>
      <c r="AK555521" s="251"/>
    </row>
    <row r="555636" spans="25:37" x14ac:dyDescent="0.2">
      <c r="Y555636" s="5"/>
      <c r="AB555636" s="5"/>
      <c r="AE555636" s="5"/>
      <c r="AH555636" s="5"/>
      <c r="AK555636" s="5"/>
    </row>
    <row r="555646" spans="25:37" x14ac:dyDescent="0.2">
      <c r="Y555646" s="251"/>
      <c r="AB555646" s="251"/>
      <c r="AE555646" s="251"/>
      <c r="AH555646" s="251"/>
      <c r="AK555646" s="251"/>
    </row>
    <row r="555761" spans="25:37" x14ac:dyDescent="0.2">
      <c r="Y555761" s="5"/>
      <c r="AB555761" s="5"/>
      <c r="AE555761" s="5"/>
      <c r="AH555761" s="5"/>
      <c r="AK555761" s="5"/>
    </row>
    <row r="555771" spans="25:37" x14ac:dyDescent="0.2">
      <c r="Y555771" s="251"/>
      <c r="AB555771" s="251"/>
      <c r="AE555771" s="251"/>
      <c r="AH555771" s="251"/>
      <c r="AK555771" s="251"/>
    </row>
    <row r="555886" spans="25:37" x14ac:dyDescent="0.2">
      <c r="Y555886" s="5"/>
      <c r="AB555886" s="5"/>
      <c r="AE555886" s="5"/>
      <c r="AH555886" s="5"/>
      <c r="AK555886" s="5"/>
    </row>
    <row r="555896" spans="25:37" x14ac:dyDescent="0.2">
      <c r="Y555896" s="251"/>
      <c r="AB555896" s="251"/>
      <c r="AE555896" s="251"/>
      <c r="AH555896" s="251"/>
      <c r="AK555896" s="251"/>
    </row>
    <row r="556011" spans="25:37" x14ac:dyDescent="0.2">
      <c r="Y556011" s="5"/>
      <c r="AB556011" s="5"/>
      <c r="AE556011" s="5"/>
      <c r="AH556011" s="5"/>
      <c r="AK556011" s="5"/>
    </row>
    <row r="556021" spans="25:37" x14ac:dyDescent="0.2">
      <c r="Y556021" s="251"/>
      <c r="AB556021" s="251"/>
      <c r="AE556021" s="251"/>
      <c r="AH556021" s="251"/>
      <c r="AK556021" s="251"/>
    </row>
    <row r="556136" spans="25:37" x14ac:dyDescent="0.2">
      <c r="Y556136" s="5"/>
      <c r="AB556136" s="5"/>
      <c r="AE556136" s="5"/>
      <c r="AH556136" s="5"/>
      <c r="AK556136" s="5"/>
    </row>
    <row r="556146" spans="25:37" x14ac:dyDescent="0.2">
      <c r="Y556146" s="251"/>
      <c r="AB556146" s="251"/>
      <c r="AE556146" s="251"/>
      <c r="AH556146" s="251"/>
      <c r="AK556146" s="251"/>
    </row>
    <row r="556261" spans="25:37" x14ac:dyDescent="0.2">
      <c r="Y556261" s="5"/>
      <c r="AB556261" s="5"/>
      <c r="AE556261" s="5"/>
      <c r="AH556261" s="5"/>
      <c r="AK556261" s="5"/>
    </row>
    <row r="556271" spans="25:37" x14ac:dyDescent="0.2">
      <c r="Y556271" s="251"/>
      <c r="AB556271" s="251"/>
      <c r="AE556271" s="251"/>
      <c r="AH556271" s="251"/>
      <c r="AK556271" s="251"/>
    </row>
    <row r="556386" spans="25:37" x14ac:dyDescent="0.2">
      <c r="Y556386" s="5"/>
      <c r="AB556386" s="5"/>
      <c r="AE556386" s="5"/>
      <c r="AH556386" s="5"/>
      <c r="AK556386" s="5"/>
    </row>
    <row r="556396" spans="25:37" x14ac:dyDescent="0.2">
      <c r="Y556396" s="251"/>
      <c r="AB556396" s="251"/>
      <c r="AE556396" s="251"/>
      <c r="AH556396" s="251"/>
      <c r="AK556396" s="251"/>
    </row>
    <row r="556511" spans="25:37" x14ac:dyDescent="0.2">
      <c r="Y556511" s="5"/>
      <c r="AB556511" s="5"/>
      <c r="AE556511" s="5"/>
      <c r="AH556511" s="5"/>
      <c r="AK556511" s="5"/>
    </row>
    <row r="556521" spans="25:37" x14ac:dyDescent="0.2">
      <c r="Y556521" s="251"/>
      <c r="AB556521" s="251"/>
      <c r="AE556521" s="251"/>
      <c r="AH556521" s="251"/>
      <c r="AK556521" s="251"/>
    </row>
    <row r="556636" spans="25:37" x14ac:dyDescent="0.2">
      <c r="Y556636" s="5"/>
      <c r="AB556636" s="5"/>
      <c r="AE556636" s="5"/>
      <c r="AH556636" s="5"/>
      <c r="AK556636" s="5"/>
    </row>
    <row r="556646" spans="25:37" x14ac:dyDescent="0.2">
      <c r="Y556646" s="251"/>
      <c r="AB556646" s="251"/>
      <c r="AE556646" s="251"/>
      <c r="AH556646" s="251"/>
      <c r="AK556646" s="251"/>
    </row>
    <row r="556761" spans="25:37" x14ac:dyDescent="0.2">
      <c r="Y556761" s="5"/>
      <c r="AB556761" s="5"/>
      <c r="AE556761" s="5"/>
      <c r="AH556761" s="5"/>
      <c r="AK556761" s="5"/>
    </row>
    <row r="556771" spans="25:37" x14ac:dyDescent="0.2">
      <c r="Y556771" s="251"/>
      <c r="AB556771" s="251"/>
      <c r="AE556771" s="251"/>
      <c r="AH556771" s="251"/>
      <c r="AK556771" s="251"/>
    </row>
    <row r="556886" spans="25:37" x14ac:dyDescent="0.2">
      <c r="Y556886" s="5"/>
      <c r="AB556886" s="5"/>
      <c r="AE556886" s="5"/>
      <c r="AH556886" s="5"/>
      <c r="AK556886" s="5"/>
    </row>
    <row r="556896" spans="25:37" x14ac:dyDescent="0.2">
      <c r="Y556896" s="251"/>
      <c r="AB556896" s="251"/>
      <c r="AE556896" s="251"/>
      <c r="AH556896" s="251"/>
      <c r="AK556896" s="251"/>
    </row>
    <row r="557011" spans="25:37" x14ac:dyDescent="0.2">
      <c r="Y557011" s="5"/>
      <c r="AB557011" s="5"/>
      <c r="AE557011" s="5"/>
      <c r="AH557011" s="5"/>
      <c r="AK557011" s="5"/>
    </row>
    <row r="557021" spans="25:37" x14ac:dyDescent="0.2">
      <c r="Y557021" s="251"/>
      <c r="AB557021" s="251"/>
      <c r="AE557021" s="251"/>
      <c r="AH557021" s="251"/>
      <c r="AK557021" s="251"/>
    </row>
    <row r="557136" spans="25:37" x14ac:dyDescent="0.2">
      <c r="Y557136" s="5"/>
      <c r="AB557136" s="5"/>
      <c r="AE557136" s="5"/>
      <c r="AH557136" s="5"/>
      <c r="AK557136" s="5"/>
    </row>
    <row r="557146" spans="25:37" x14ac:dyDescent="0.2">
      <c r="Y557146" s="251"/>
      <c r="AB557146" s="251"/>
      <c r="AE557146" s="251"/>
      <c r="AH557146" s="251"/>
      <c r="AK557146" s="251"/>
    </row>
    <row r="557261" spans="25:37" x14ac:dyDescent="0.2">
      <c r="Y557261" s="5"/>
      <c r="AB557261" s="5"/>
      <c r="AE557261" s="5"/>
      <c r="AH557261" s="5"/>
      <c r="AK557261" s="5"/>
    </row>
    <row r="557271" spans="25:37" x14ac:dyDescent="0.2">
      <c r="Y557271" s="251"/>
      <c r="AB557271" s="251"/>
      <c r="AE557271" s="251"/>
      <c r="AH557271" s="251"/>
      <c r="AK557271" s="251"/>
    </row>
    <row r="557386" spans="25:37" x14ac:dyDescent="0.2">
      <c r="Y557386" s="5"/>
      <c r="AB557386" s="5"/>
      <c r="AE557386" s="5"/>
      <c r="AH557386" s="5"/>
      <c r="AK557386" s="5"/>
    </row>
    <row r="557396" spans="25:37" x14ac:dyDescent="0.2">
      <c r="Y557396" s="251"/>
      <c r="AB557396" s="251"/>
      <c r="AE557396" s="251"/>
      <c r="AH557396" s="251"/>
      <c r="AK557396" s="251"/>
    </row>
    <row r="557511" spans="25:37" x14ac:dyDescent="0.2">
      <c r="Y557511" s="5"/>
      <c r="AB557511" s="5"/>
      <c r="AE557511" s="5"/>
      <c r="AH557511" s="5"/>
      <c r="AK557511" s="5"/>
    </row>
    <row r="557521" spans="25:37" x14ac:dyDescent="0.2">
      <c r="Y557521" s="251"/>
      <c r="AB557521" s="251"/>
      <c r="AE557521" s="251"/>
      <c r="AH557521" s="251"/>
      <c r="AK557521" s="251"/>
    </row>
    <row r="557636" spans="25:37" x14ac:dyDescent="0.2">
      <c r="Y557636" s="5"/>
      <c r="AB557636" s="5"/>
      <c r="AE557636" s="5"/>
      <c r="AH557636" s="5"/>
      <c r="AK557636" s="5"/>
    </row>
    <row r="557646" spans="25:37" x14ac:dyDescent="0.2">
      <c r="Y557646" s="251"/>
      <c r="AB557646" s="251"/>
      <c r="AE557646" s="251"/>
      <c r="AH557646" s="251"/>
      <c r="AK557646" s="251"/>
    </row>
    <row r="557761" spans="25:37" x14ac:dyDescent="0.2">
      <c r="Y557761" s="5"/>
      <c r="AB557761" s="5"/>
      <c r="AE557761" s="5"/>
      <c r="AH557761" s="5"/>
      <c r="AK557761" s="5"/>
    </row>
    <row r="557771" spans="25:37" x14ac:dyDescent="0.2">
      <c r="Y557771" s="251"/>
      <c r="AB557771" s="251"/>
      <c r="AE557771" s="251"/>
      <c r="AH557771" s="251"/>
      <c r="AK557771" s="251"/>
    </row>
    <row r="557886" spans="25:37" x14ac:dyDescent="0.2">
      <c r="Y557886" s="5"/>
      <c r="AB557886" s="5"/>
      <c r="AE557886" s="5"/>
      <c r="AH557886" s="5"/>
      <c r="AK557886" s="5"/>
    </row>
    <row r="557896" spans="25:37" x14ac:dyDescent="0.2">
      <c r="Y557896" s="251"/>
      <c r="AB557896" s="251"/>
      <c r="AE557896" s="251"/>
      <c r="AH557896" s="251"/>
      <c r="AK557896" s="251"/>
    </row>
    <row r="558011" spans="25:37" x14ac:dyDescent="0.2">
      <c r="Y558011" s="5"/>
      <c r="AB558011" s="5"/>
      <c r="AE558011" s="5"/>
      <c r="AH558011" s="5"/>
      <c r="AK558011" s="5"/>
    </row>
    <row r="558021" spans="25:37" x14ac:dyDescent="0.2">
      <c r="Y558021" s="251"/>
      <c r="AB558021" s="251"/>
      <c r="AE558021" s="251"/>
      <c r="AH558021" s="251"/>
      <c r="AK558021" s="251"/>
    </row>
    <row r="558136" spans="25:37" x14ac:dyDescent="0.2">
      <c r="Y558136" s="5"/>
      <c r="AB558136" s="5"/>
      <c r="AE558136" s="5"/>
      <c r="AH558136" s="5"/>
      <c r="AK558136" s="5"/>
    </row>
    <row r="558146" spans="25:37" x14ac:dyDescent="0.2">
      <c r="Y558146" s="251"/>
      <c r="AB558146" s="251"/>
      <c r="AE558146" s="251"/>
      <c r="AH558146" s="251"/>
      <c r="AK558146" s="251"/>
    </row>
    <row r="558261" spans="25:37" x14ac:dyDescent="0.2">
      <c r="Y558261" s="5"/>
      <c r="AB558261" s="5"/>
      <c r="AE558261" s="5"/>
      <c r="AH558261" s="5"/>
      <c r="AK558261" s="5"/>
    </row>
    <row r="558271" spans="25:37" x14ac:dyDescent="0.2">
      <c r="Y558271" s="251"/>
      <c r="AB558271" s="251"/>
      <c r="AE558271" s="251"/>
      <c r="AH558271" s="251"/>
      <c r="AK558271" s="251"/>
    </row>
    <row r="558386" spans="25:37" x14ac:dyDescent="0.2">
      <c r="Y558386" s="5"/>
      <c r="AB558386" s="5"/>
      <c r="AE558386" s="5"/>
      <c r="AH558386" s="5"/>
      <c r="AK558386" s="5"/>
    </row>
    <row r="558396" spans="25:37" x14ac:dyDescent="0.2">
      <c r="Y558396" s="251"/>
      <c r="AB558396" s="251"/>
      <c r="AE558396" s="251"/>
      <c r="AH558396" s="251"/>
      <c r="AK558396" s="251"/>
    </row>
    <row r="558511" spans="25:37" x14ac:dyDescent="0.2">
      <c r="Y558511" s="5"/>
      <c r="AB558511" s="5"/>
      <c r="AE558511" s="5"/>
      <c r="AH558511" s="5"/>
      <c r="AK558511" s="5"/>
    </row>
    <row r="558521" spans="25:37" x14ac:dyDescent="0.2">
      <c r="Y558521" s="251"/>
      <c r="AB558521" s="251"/>
      <c r="AE558521" s="251"/>
      <c r="AH558521" s="251"/>
      <c r="AK558521" s="251"/>
    </row>
    <row r="558636" spans="25:37" x14ac:dyDescent="0.2">
      <c r="Y558636" s="5"/>
      <c r="AB558636" s="5"/>
      <c r="AE558636" s="5"/>
      <c r="AH558636" s="5"/>
      <c r="AK558636" s="5"/>
    </row>
    <row r="558646" spans="25:37" x14ac:dyDescent="0.2">
      <c r="Y558646" s="251"/>
      <c r="AB558646" s="251"/>
      <c r="AE558646" s="251"/>
      <c r="AH558646" s="251"/>
      <c r="AK558646" s="251"/>
    </row>
    <row r="558761" spans="25:37" x14ac:dyDescent="0.2">
      <c r="Y558761" s="5"/>
      <c r="AB558761" s="5"/>
      <c r="AE558761" s="5"/>
      <c r="AH558761" s="5"/>
      <c r="AK558761" s="5"/>
    </row>
    <row r="558771" spans="25:37" x14ac:dyDescent="0.2">
      <c r="Y558771" s="251"/>
      <c r="AB558771" s="251"/>
      <c r="AE558771" s="251"/>
      <c r="AH558771" s="251"/>
      <c r="AK558771" s="251"/>
    </row>
    <row r="558886" spans="25:37" x14ac:dyDescent="0.2">
      <c r="Y558886" s="5"/>
      <c r="AB558886" s="5"/>
      <c r="AE558886" s="5"/>
      <c r="AH558886" s="5"/>
      <c r="AK558886" s="5"/>
    </row>
    <row r="558896" spans="25:37" x14ac:dyDescent="0.2">
      <c r="Y558896" s="251"/>
      <c r="AB558896" s="251"/>
      <c r="AE558896" s="251"/>
      <c r="AH558896" s="251"/>
      <c r="AK558896" s="251"/>
    </row>
    <row r="559011" spans="25:37" x14ac:dyDescent="0.2">
      <c r="Y559011" s="5"/>
      <c r="AB559011" s="5"/>
      <c r="AE559011" s="5"/>
      <c r="AH559011" s="5"/>
      <c r="AK559011" s="5"/>
    </row>
    <row r="559021" spans="25:37" x14ac:dyDescent="0.2">
      <c r="Y559021" s="251"/>
      <c r="AB559021" s="251"/>
      <c r="AE559021" s="251"/>
      <c r="AH559021" s="251"/>
      <c r="AK559021" s="251"/>
    </row>
    <row r="559136" spans="25:37" x14ac:dyDescent="0.2">
      <c r="Y559136" s="5"/>
      <c r="AB559136" s="5"/>
      <c r="AE559136" s="5"/>
      <c r="AH559136" s="5"/>
      <c r="AK559136" s="5"/>
    </row>
    <row r="559146" spans="25:37" x14ac:dyDescent="0.2">
      <c r="Y559146" s="251"/>
      <c r="AB559146" s="251"/>
      <c r="AE559146" s="251"/>
      <c r="AH559146" s="251"/>
      <c r="AK559146" s="251"/>
    </row>
    <row r="559261" spans="25:37" x14ac:dyDescent="0.2">
      <c r="Y559261" s="5"/>
      <c r="AB559261" s="5"/>
      <c r="AE559261" s="5"/>
      <c r="AH559261" s="5"/>
      <c r="AK559261" s="5"/>
    </row>
    <row r="559271" spans="25:37" x14ac:dyDescent="0.2">
      <c r="Y559271" s="251"/>
      <c r="AB559271" s="251"/>
      <c r="AE559271" s="251"/>
      <c r="AH559271" s="251"/>
      <c r="AK559271" s="251"/>
    </row>
    <row r="559386" spans="25:37" x14ac:dyDescent="0.2">
      <c r="Y559386" s="5"/>
      <c r="AB559386" s="5"/>
      <c r="AE559386" s="5"/>
      <c r="AH559386" s="5"/>
      <c r="AK559386" s="5"/>
    </row>
    <row r="559396" spans="25:37" x14ac:dyDescent="0.2">
      <c r="Y559396" s="251"/>
      <c r="AB559396" s="251"/>
      <c r="AE559396" s="251"/>
      <c r="AH559396" s="251"/>
      <c r="AK559396" s="251"/>
    </row>
    <row r="559511" spans="25:37" x14ac:dyDescent="0.2">
      <c r="Y559511" s="5"/>
      <c r="AB559511" s="5"/>
      <c r="AE559511" s="5"/>
      <c r="AH559511" s="5"/>
      <c r="AK559511" s="5"/>
    </row>
    <row r="559521" spans="25:37" x14ac:dyDescent="0.2">
      <c r="Y559521" s="251"/>
      <c r="AB559521" s="251"/>
      <c r="AE559521" s="251"/>
      <c r="AH559521" s="251"/>
      <c r="AK559521" s="251"/>
    </row>
    <row r="559636" spans="25:37" x14ac:dyDescent="0.2">
      <c r="Y559636" s="5"/>
      <c r="AB559636" s="5"/>
      <c r="AE559636" s="5"/>
      <c r="AH559636" s="5"/>
      <c r="AK559636" s="5"/>
    </row>
    <row r="559646" spans="25:37" x14ac:dyDescent="0.2">
      <c r="Y559646" s="251"/>
      <c r="AB559646" s="251"/>
      <c r="AE559646" s="251"/>
      <c r="AH559646" s="251"/>
      <c r="AK559646" s="251"/>
    </row>
    <row r="559761" spans="25:37" x14ac:dyDescent="0.2">
      <c r="Y559761" s="5"/>
      <c r="AB559761" s="5"/>
      <c r="AE559761" s="5"/>
      <c r="AH559761" s="5"/>
      <c r="AK559761" s="5"/>
    </row>
    <row r="559771" spans="25:37" x14ac:dyDescent="0.2">
      <c r="Y559771" s="251"/>
      <c r="AB559771" s="251"/>
      <c r="AE559771" s="251"/>
      <c r="AH559771" s="251"/>
      <c r="AK559771" s="251"/>
    </row>
    <row r="559886" spans="25:37" x14ac:dyDescent="0.2">
      <c r="Y559886" s="5"/>
      <c r="AB559886" s="5"/>
      <c r="AE559886" s="5"/>
      <c r="AH559886" s="5"/>
      <c r="AK559886" s="5"/>
    </row>
    <row r="559896" spans="25:37" x14ac:dyDescent="0.2">
      <c r="Y559896" s="251"/>
      <c r="AB559896" s="251"/>
      <c r="AE559896" s="251"/>
      <c r="AH559896" s="251"/>
      <c r="AK559896" s="251"/>
    </row>
    <row r="560011" spans="25:37" x14ac:dyDescent="0.2">
      <c r="Y560011" s="5"/>
      <c r="AB560011" s="5"/>
      <c r="AE560011" s="5"/>
      <c r="AH560011" s="5"/>
      <c r="AK560011" s="5"/>
    </row>
    <row r="560021" spans="25:37" x14ac:dyDescent="0.2">
      <c r="Y560021" s="251"/>
      <c r="AB560021" s="251"/>
      <c r="AE560021" s="251"/>
      <c r="AH560021" s="251"/>
      <c r="AK560021" s="251"/>
    </row>
    <row r="560136" spans="25:37" x14ac:dyDescent="0.2">
      <c r="Y560136" s="5"/>
      <c r="AB560136" s="5"/>
      <c r="AE560136" s="5"/>
      <c r="AH560136" s="5"/>
      <c r="AK560136" s="5"/>
    </row>
    <row r="560146" spans="25:37" x14ac:dyDescent="0.2">
      <c r="Y560146" s="251"/>
      <c r="AB560146" s="251"/>
      <c r="AE560146" s="251"/>
      <c r="AH560146" s="251"/>
      <c r="AK560146" s="251"/>
    </row>
    <row r="560261" spans="25:37" x14ac:dyDescent="0.2">
      <c r="Y560261" s="5"/>
      <c r="AB560261" s="5"/>
      <c r="AE560261" s="5"/>
      <c r="AH560261" s="5"/>
      <c r="AK560261" s="5"/>
    </row>
    <row r="560271" spans="25:37" x14ac:dyDescent="0.2">
      <c r="Y560271" s="251"/>
      <c r="AB560271" s="251"/>
      <c r="AE560271" s="251"/>
      <c r="AH560271" s="251"/>
      <c r="AK560271" s="251"/>
    </row>
    <row r="560386" spans="25:37" x14ac:dyDescent="0.2">
      <c r="Y560386" s="5"/>
      <c r="AB560386" s="5"/>
      <c r="AE560386" s="5"/>
      <c r="AH560386" s="5"/>
      <c r="AK560386" s="5"/>
    </row>
    <row r="560396" spans="25:37" x14ac:dyDescent="0.2">
      <c r="Y560396" s="251"/>
      <c r="AB560396" s="251"/>
      <c r="AE560396" s="251"/>
      <c r="AH560396" s="251"/>
      <c r="AK560396" s="251"/>
    </row>
    <row r="560511" spans="25:37" x14ac:dyDescent="0.2">
      <c r="Y560511" s="5"/>
      <c r="AB560511" s="5"/>
      <c r="AE560511" s="5"/>
      <c r="AH560511" s="5"/>
      <c r="AK560511" s="5"/>
    </row>
    <row r="560521" spans="25:37" x14ac:dyDescent="0.2">
      <c r="Y560521" s="251"/>
      <c r="AB560521" s="251"/>
      <c r="AE560521" s="251"/>
      <c r="AH560521" s="251"/>
      <c r="AK560521" s="251"/>
    </row>
    <row r="560636" spans="25:37" x14ac:dyDescent="0.2">
      <c r="Y560636" s="5"/>
      <c r="AB560636" s="5"/>
      <c r="AE560636" s="5"/>
      <c r="AH560636" s="5"/>
      <c r="AK560636" s="5"/>
    </row>
    <row r="560646" spans="25:37" x14ac:dyDescent="0.2">
      <c r="Y560646" s="251"/>
      <c r="AB560646" s="251"/>
      <c r="AE560646" s="251"/>
      <c r="AH560646" s="251"/>
      <c r="AK560646" s="251"/>
    </row>
    <row r="560761" spans="25:37" x14ac:dyDescent="0.2">
      <c r="Y560761" s="5"/>
      <c r="AB560761" s="5"/>
      <c r="AE560761" s="5"/>
      <c r="AH560761" s="5"/>
      <c r="AK560761" s="5"/>
    </row>
    <row r="560771" spans="25:37" x14ac:dyDescent="0.2">
      <c r="Y560771" s="251"/>
      <c r="AB560771" s="251"/>
      <c r="AE560771" s="251"/>
      <c r="AH560771" s="251"/>
      <c r="AK560771" s="251"/>
    </row>
    <row r="560886" spans="25:37" x14ac:dyDescent="0.2">
      <c r="Y560886" s="5"/>
      <c r="AB560886" s="5"/>
      <c r="AE560886" s="5"/>
      <c r="AH560886" s="5"/>
      <c r="AK560886" s="5"/>
    </row>
    <row r="560896" spans="25:37" x14ac:dyDescent="0.2">
      <c r="Y560896" s="251"/>
      <c r="AB560896" s="251"/>
      <c r="AE560896" s="251"/>
      <c r="AH560896" s="251"/>
      <c r="AK560896" s="251"/>
    </row>
    <row r="561011" spans="25:37" x14ac:dyDescent="0.2">
      <c r="Y561011" s="5"/>
      <c r="AB561011" s="5"/>
      <c r="AE561011" s="5"/>
      <c r="AH561011" s="5"/>
      <c r="AK561011" s="5"/>
    </row>
    <row r="561021" spans="25:37" x14ac:dyDescent="0.2">
      <c r="Y561021" s="251"/>
      <c r="AB561021" s="251"/>
      <c r="AE561021" s="251"/>
      <c r="AH561021" s="251"/>
      <c r="AK561021" s="251"/>
    </row>
    <row r="561136" spans="25:37" x14ac:dyDescent="0.2">
      <c r="Y561136" s="5"/>
      <c r="AB561136" s="5"/>
      <c r="AE561136" s="5"/>
      <c r="AH561136" s="5"/>
      <c r="AK561136" s="5"/>
    </row>
    <row r="561146" spans="25:37" x14ac:dyDescent="0.2">
      <c r="Y561146" s="251"/>
      <c r="AB561146" s="251"/>
      <c r="AE561146" s="251"/>
      <c r="AH561146" s="251"/>
      <c r="AK561146" s="251"/>
    </row>
    <row r="561261" spans="25:37" x14ac:dyDescent="0.2">
      <c r="Y561261" s="5"/>
      <c r="AB561261" s="5"/>
      <c r="AE561261" s="5"/>
      <c r="AH561261" s="5"/>
      <c r="AK561261" s="5"/>
    </row>
    <row r="561271" spans="25:37" x14ac:dyDescent="0.2">
      <c r="Y561271" s="251"/>
      <c r="AB561271" s="251"/>
      <c r="AE561271" s="251"/>
      <c r="AH561271" s="251"/>
      <c r="AK561271" s="251"/>
    </row>
    <row r="561386" spans="25:37" x14ac:dyDescent="0.2">
      <c r="Y561386" s="5"/>
      <c r="AB561386" s="5"/>
      <c r="AE561386" s="5"/>
      <c r="AH561386" s="5"/>
      <c r="AK561386" s="5"/>
    </row>
    <row r="561396" spans="25:37" x14ac:dyDescent="0.2">
      <c r="Y561396" s="251"/>
      <c r="AB561396" s="251"/>
      <c r="AE561396" s="251"/>
      <c r="AH561396" s="251"/>
      <c r="AK561396" s="251"/>
    </row>
    <row r="561511" spans="25:37" x14ac:dyDescent="0.2">
      <c r="Y561511" s="5"/>
      <c r="AB561511" s="5"/>
      <c r="AE561511" s="5"/>
      <c r="AH561511" s="5"/>
      <c r="AK561511" s="5"/>
    </row>
    <row r="561521" spans="25:37" x14ac:dyDescent="0.2">
      <c r="Y561521" s="251"/>
      <c r="AB561521" s="251"/>
      <c r="AE561521" s="251"/>
      <c r="AH561521" s="251"/>
      <c r="AK561521" s="251"/>
    </row>
    <row r="561636" spans="25:37" x14ac:dyDescent="0.2">
      <c r="Y561636" s="5"/>
      <c r="AB561636" s="5"/>
      <c r="AE561636" s="5"/>
      <c r="AH561636" s="5"/>
      <c r="AK561636" s="5"/>
    </row>
    <row r="561646" spans="25:37" x14ac:dyDescent="0.2">
      <c r="Y561646" s="251"/>
      <c r="AB561646" s="251"/>
      <c r="AE561646" s="251"/>
      <c r="AH561646" s="251"/>
      <c r="AK561646" s="251"/>
    </row>
    <row r="561761" spans="25:37" x14ac:dyDescent="0.2">
      <c r="Y561761" s="5"/>
      <c r="AB561761" s="5"/>
      <c r="AE561761" s="5"/>
      <c r="AH561761" s="5"/>
      <c r="AK561761" s="5"/>
    </row>
    <row r="561771" spans="25:37" x14ac:dyDescent="0.2">
      <c r="Y561771" s="251"/>
      <c r="AB561771" s="251"/>
      <c r="AE561771" s="251"/>
      <c r="AH561771" s="251"/>
      <c r="AK561771" s="251"/>
    </row>
    <row r="561886" spans="25:37" x14ac:dyDescent="0.2">
      <c r="Y561886" s="5"/>
      <c r="AB561886" s="5"/>
      <c r="AE561886" s="5"/>
      <c r="AH561886" s="5"/>
      <c r="AK561886" s="5"/>
    </row>
    <row r="561896" spans="25:37" x14ac:dyDescent="0.2">
      <c r="Y561896" s="251"/>
      <c r="AB561896" s="251"/>
      <c r="AE561896" s="251"/>
      <c r="AH561896" s="251"/>
      <c r="AK561896" s="251"/>
    </row>
    <row r="562011" spans="25:37" x14ac:dyDescent="0.2">
      <c r="Y562011" s="5"/>
      <c r="AB562011" s="5"/>
      <c r="AE562011" s="5"/>
      <c r="AH562011" s="5"/>
      <c r="AK562011" s="5"/>
    </row>
    <row r="562021" spans="25:37" x14ac:dyDescent="0.2">
      <c r="Y562021" s="251"/>
      <c r="AB562021" s="251"/>
      <c r="AE562021" s="251"/>
      <c r="AH562021" s="251"/>
      <c r="AK562021" s="251"/>
    </row>
    <row r="562136" spans="25:37" x14ac:dyDescent="0.2">
      <c r="Y562136" s="5"/>
      <c r="AB562136" s="5"/>
      <c r="AE562136" s="5"/>
      <c r="AH562136" s="5"/>
      <c r="AK562136" s="5"/>
    </row>
    <row r="562146" spans="25:37" x14ac:dyDescent="0.2">
      <c r="Y562146" s="251"/>
      <c r="AB562146" s="251"/>
      <c r="AE562146" s="251"/>
      <c r="AH562146" s="251"/>
      <c r="AK562146" s="251"/>
    </row>
    <row r="562261" spans="25:37" x14ac:dyDescent="0.2">
      <c r="Y562261" s="5"/>
      <c r="AB562261" s="5"/>
      <c r="AE562261" s="5"/>
      <c r="AH562261" s="5"/>
      <c r="AK562261" s="5"/>
    </row>
    <row r="562271" spans="25:37" x14ac:dyDescent="0.2">
      <c r="Y562271" s="251"/>
      <c r="AB562271" s="251"/>
      <c r="AE562271" s="251"/>
      <c r="AH562271" s="251"/>
      <c r="AK562271" s="251"/>
    </row>
    <row r="562386" spans="25:37" x14ac:dyDescent="0.2">
      <c r="Y562386" s="5"/>
      <c r="AB562386" s="5"/>
      <c r="AE562386" s="5"/>
      <c r="AH562386" s="5"/>
      <c r="AK562386" s="5"/>
    </row>
    <row r="562396" spans="25:37" x14ac:dyDescent="0.2">
      <c r="Y562396" s="251"/>
      <c r="AB562396" s="251"/>
      <c r="AE562396" s="251"/>
      <c r="AH562396" s="251"/>
      <c r="AK562396" s="251"/>
    </row>
    <row r="562511" spans="25:37" x14ac:dyDescent="0.2">
      <c r="Y562511" s="5"/>
      <c r="AB562511" s="5"/>
      <c r="AE562511" s="5"/>
      <c r="AH562511" s="5"/>
      <c r="AK562511" s="5"/>
    </row>
    <row r="562521" spans="25:37" x14ac:dyDescent="0.2">
      <c r="Y562521" s="251"/>
      <c r="AB562521" s="251"/>
      <c r="AE562521" s="251"/>
      <c r="AH562521" s="251"/>
      <c r="AK562521" s="251"/>
    </row>
    <row r="562636" spans="25:37" x14ac:dyDescent="0.2">
      <c r="Y562636" s="5"/>
      <c r="AB562636" s="5"/>
      <c r="AE562636" s="5"/>
      <c r="AH562636" s="5"/>
      <c r="AK562636" s="5"/>
    </row>
    <row r="562646" spans="25:37" x14ac:dyDescent="0.2">
      <c r="Y562646" s="251"/>
      <c r="AB562646" s="251"/>
      <c r="AE562646" s="251"/>
      <c r="AH562646" s="251"/>
      <c r="AK562646" s="251"/>
    </row>
    <row r="562761" spans="25:37" x14ac:dyDescent="0.2">
      <c r="Y562761" s="5"/>
      <c r="AB562761" s="5"/>
      <c r="AE562761" s="5"/>
      <c r="AH562761" s="5"/>
      <c r="AK562761" s="5"/>
    </row>
    <row r="562771" spans="25:37" x14ac:dyDescent="0.2">
      <c r="Y562771" s="251"/>
      <c r="AB562771" s="251"/>
      <c r="AE562771" s="251"/>
      <c r="AH562771" s="251"/>
      <c r="AK562771" s="251"/>
    </row>
    <row r="562886" spans="25:37" x14ac:dyDescent="0.2">
      <c r="Y562886" s="5"/>
      <c r="AB562886" s="5"/>
      <c r="AE562886" s="5"/>
      <c r="AH562886" s="5"/>
      <c r="AK562886" s="5"/>
    </row>
    <row r="562896" spans="25:37" x14ac:dyDescent="0.2">
      <c r="Y562896" s="251"/>
      <c r="AB562896" s="251"/>
      <c r="AE562896" s="251"/>
      <c r="AH562896" s="251"/>
      <c r="AK562896" s="251"/>
    </row>
    <row r="563011" spans="25:37" x14ac:dyDescent="0.2">
      <c r="Y563011" s="5"/>
      <c r="AB563011" s="5"/>
      <c r="AE563011" s="5"/>
      <c r="AH563011" s="5"/>
      <c r="AK563011" s="5"/>
    </row>
    <row r="563021" spans="25:37" x14ac:dyDescent="0.2">
      <c r="Y563021" s="251"/>
      <c r="AB563021" s="251"/>
      <c r="AE563021" s="251"/>
      <c r="AH563021" s="251"/>
      <c r="AK563021" s="251"/>
    </row>
    <row r="563136" spans="25:37" x14ac:dyDescent="0.2">
      <c r="Y563136" s="5"/>
      <c r="AB563136" s="5"/>
      <c r="AE563136" s="5"/>
      <c r="AH563136" s="5"/>
      <c r="AK563136" s="5"/>
    </row>
    <row r="563146" spans="25:37" x14ac:dyDescent="0.2">
      <c r="Y563146" s="251"/>
      <c r="AB563146" s="251"/>
      <c r="AE563146" s="251"/>
      <c r="AH563146" s="251"/>
      <c r="AK563146" s="251"/>
    </row>
    <row r="563261" spans="25:37" x14ac:dyDescent="0.2">
      <c r="Y563261" s="5"/>
      <c r="AB563261" s="5"/>
      <c r="AE563261" s="5"/>
      <c r="AH563261" s="5"/>
      <c r="AK563261" s="5"/>
    </row>
    <row r="563271" spans="25:37" x14ac:dyDescent="0.2">
      <c r="Y563271" s="251"/>
      <c r="AB563271" s="251"/>
      <c r="AE563271" s="251"/>
      <c r="AH563271" s="251"/>
      <c r="AK563271" s="251"/>
    </row>
    <row r="563386" spans="25:37" x14ac:dyDescent="0.2">
      <c r="Y563386" s="5"/>
      <c r="AB563386" s="5"/>
      <c r="AE563386" s="5"/>
      <c r="AH563386" s="5"/>
      <c r="AK563386" s="5"/>
    </row>
    <row r="563396" spans="25:37" x14ac:dyDescent="0.2">
      <c r="Y563396" s="251"/>
      <c r="AB563396" s="251"/>
      <c r="AE563396" s="251"/>
      <c r="AH563396" s="251"/>
      <c r="AK563396" s="251"/>
    </row>
    <row r="563511" spans="25:37" x14ac:dyDescent="0.2">
      <c r="Y563511" s="5"/>
      <c r="AB563511" s="5"/>
      <c r="AE563511" s="5"/>
      <c r="AH563511" s="5"/>
      <c r="AK563511" s="5"/>
    </row>
    <row r="563521" spans="25:37" x14ac:dyDescent="0.2">
      <c r="Y563521" s="251"/>
      <c r="AB563521" s="251"/>
      <c r="AE563521" s="251"/>
      <c r="AH563521" s="251"/>
      <c r="AK563521" s="251"/>
    </row>
    <row r="563636" spans="25:37" x14ac:dyDescent="0.2">
      <c r="Y563636" s="5"/>
      <c r="AB563636" s="5"/>
      <c r="AE563636" s="5"/>
      <c r="AH563636" s="5"/>
      <c r="AK563636" s="5"/>
    </row>
    <row r="563646" spans="25:37" x14ac:dyDescent="0.2">
      <c r="Y563646" s="251"/>
      <c r="AB563646" s="251"/>
      <c r="AE563646" s="251"/>
      <c r="AH563646" s="251"/>
      <c r="AK563646" s="251"/>
    </row>
    <row r="563761" spans="25:37" x14ac:dyDescent="0.2">
      <c r="Y563761" s="5"/>
      <c r="AB563761" s="5"/>
      <c r="AE563761" s="5"/>
      <c r="AH563761" s="5"/>
      <c r="AK563761" s="5"/>
    </row>
    <row r="563771" spans="25:37" x14ac:dyDescent="0.2">
      <c r="Y563771" s="251"/>
      <c r="AB563771" s="251"/>
      <c r="AE563771" s="251"/>
      <c r="AH563771" s="251"/>
      <c r="AK563771" s="251"/>
    </row>
    <row r="563886" spans="25:37" x14ac:dyDescent="0.2">
      <c r="Y563886" s="5"/>
      <c r="AB563886" s="5"/>
      <c r="AE563886" s="5"/>
      <c r="AH563886" s="5"/>
      <c r="AK563886" s="5"/>
    </row>
    <row r="563896" spans="25:37" x14ac:dyDescent="0.2">
      <c r="Y563896" s="251"/>
      <c r="AB563896" s="251"/>
      <c r="AE563896" s="251"/>
      <c r="AH563896" s="251"/>
      <c r="AK563896" s="251"/>
    </row>
    <row r="564011" spans="25:37" x14ac:dyDescent="0.2">
      <c r="Y564011" s="5"/>
      <c r="AB564011" s="5"/>
      <c r="AE564011" s="5"/>
      <c r="AH564011" s="5"/>
      <c r="AK564011" s="5"/>
    </row>
    <row r="564021" spans="25:37" x14ac:dyDescent="0.2">
      <c r="Y564021" s="251"/>
      <c r="AB564021" s="251"/>
      <c r="AE564021" s="251"/>
      <c r="AH564021" s="251"/>
      <c r="AK564021" s="251"/>
    </row>
    <row r="564136" spans="25:37" x14ac:dyDescent="0.2">
      <c r="Y564136" s="5"/>
      <c r="AB564136" s="5"/>
      <c r="AE564136" s="5"/>
      <c r="AH564136" s="5"/>
      <c r="AK564136" s="5"/>
    </row>
    <row r="564146" spans="25:37" x14ac:dyDescent="0.2">
      <c r="Y564146" s="251"/>
      <c r="AB564146" s="251"/>
      <c r="AE564146" s="251"/>
      <c r="AH564146" s="251"/>
      <c r="AK564146" s="251"/>
    </row>
    <row r="564261" spans="25:37" x14ac:dyDescent="0.2">
      <c r="Y564261" s="5"/>
      <c r="AB564261" s="5"/>
      <c r="AE564261" s="5"/>
      <c r="AH564261" s="5"/>
      <c r="AK564261" s="5"/>
    </row>
    <row r="564271" spans="25:37" x14ac:dyDescent="0.2">
      <c r="Y564271" s="251"/>
      <c r="AB564271" s="251"/>
      <c r="AE564271" s="251"/>
      <c r="AH564271" s="251"/>
      <c r="AK564271" s="251"/>
    </row>
    <row r="564386" spans="25:37" x14ac:dyDescent="0.2">
      <c r="Y564386" s="5"/>
      <c r="AB564386" s="5"/>
      <c r="AE564386" s="5"/>
      <c r="AH564386" s="5"/>
      <c r="AK564386" s="5"/>
    </row>
    <row r="564396" spans="25:37" x14ac:dyDescent="0.2">
      <c r="Y564396" s="251"/>
      <c r="AB564396" s="251"/>
      <c r="AE564396" s="251"/>
      <c r="AH564396" s="251"/>
      <c r="AK564396" s="251"/>
    </row>
    <row r="564511" spans="25:37" x14ac:dyDescent="0.2">
      <c r="Y564511" s="5"/>
      <c r="AB564511" s="5"/>
      <c r="AE564511" s="5"/>
      <c r="AH564511" s="5"/>
      <c r="AK564511" s="5"/>
    </row>
    <row r="564521" spans="25:37" x14ac:dyDescent="0.2">
      <c r="Y564521" s="251"/>
      <c r="AB564521" s="251"/>
      <c r="AE564521" s="251"/>
      <c r="AH564521" s="251"/>
      <c r="AK564521" s="251"/>
    </row>
    <row r="564636" spans="25:37" x14ac:dyDescent="0.2">
      <c r="Y564636" s="5"/>
      <c r="AB564636" s="5"/>
      <c r="AE564636" s="5"/>
      <c r="AH564636" s="5"/>
      <c r="AK564636" s="5"/>
    </row>
    <row r="564646" spans="25:37" x14ac:dyDescent="0.2">
      <c r="Y564646" s="251"/>
      <c r="AB564646" s="251"/>
      <c r="AE564646" s="251"/>
      <c r="AH564646" s="251"/>
      <c r="AK564646" s="251"/>
    </row>
    <row r="564761" spans="25:37" x14ac:dyDescent="0.2">
      <c r="Y564761" s="5"/>
      <c r="AB564761" s="5"/>
      <c r="AE564761" s="5"/>
      <c r="AH564761" s="5"/>
      <c r="AK564761" s="5"/>
    </row>
    <row r="564771" spans="25:37" x14ac:dyDescent="0.2">
      <c r="Y564771" s="251"/>
      <c r="AB564771" s="251"/>
      <c r="AE564771" s="251"/>
      <c r="AH564771" s="251"/>
      <c r="AK564771" s="251"/>
    </row>
    <row r="564886" spans="25:37" x14ac:dyDescent="0.2">
      <c r="Y564886" s="5"/>
      <c r="AB564886" s="5"/>
      <c r="AE564886" s="5"/>
      <c r="AH564886" s="5"/>
      <c r="AK564886" s="5"/>
    </row>
    <row r="564896" spans="25:37" x14ac:dyDescent="0.2">
      <c r="Y564896" s="251"/>
      <c r="AB564896" s="251"/>
      <c r="AE564896" s="251"/>
      <c r="AH564896" s="251"/>
      <c r="AK564896" s="251"/>
    </row>
    <row r="565011" spans="25:37" x14ac:dyDescent="0.2">
      <c r="Y565011" s="5"/>
      <c r="AB565011" s="5"/>
      <c r="AE565011" s="5"/>
      <c r="AH565011" s="5"/>
      <c r="AK565011" s="5"/>
    </row>
    <row r="565021" spans="25:37" x14ac:dyDescent="0.2">
      <c r="Y565021" s="251"/>
      <c r="AB565021" s="251"/>
      <c r="AE565021" s="251"/>
      <c r="AH565021" s="251"/>
      <c r="AK565021" s="251"/>
    </row>
    <row r="565136" spans="25:37" x14ac:dyDescent="0.2">
      <c r="Y565136" s="5"/>
      <c r="AB565136" s="5"/>
      <c r="AE565136" s="5"/>
      <c r="AH565136" s="5"/>
      <c r="AK565136" s="5"/>
    </row>
    <row r="565146" spans="25:37" x14ac:dyDescent="0.2">
      <c r="Y565146" s="251"/>
      <c r="AB565146" s="251"/>
      <c r="AE565146" s="251"/>
      <c r="AH565146" s="251"/>
      <c r="AK565146" s="251"/>
    </row>
    <row r="565261" spans="25:37" x14ac:dyDescent="0.2">
      <c r="Y565261" s="5"/>
      <c r="AB565261" s="5"/>
      <c r="AE565261" s="5"/>
      <c r="AH565261" s="5"/>
      <c r="AK565261" s="5"/>
    </row>
    <row r="565271" spans="25:37" x14ac:dyDescent="0.2">
      <c r="Y565271" s="251"/>
      <c r="AB565271" s="251"/>
      <c r="AE565271" s="251"/>
      <c r="AH565271" s="251"/>
      <c r="AK565271" s="251"/>
    </row>
    <row r="565386" spans="25:37" x14ac:dyDescent="0.2">
      <c r="Y565386" s="5"/>
      <c r="AB565386" s="5"/>
      <c r="AE565386" s="5"/>
      <c r="AH565386" s="5"/>
      <c r="AK565386" s="5"/>
    </row>
    <row r="565396" spans="25:37" x14ac:dyDescent="0.2">
      <c r="Y565396" s="251"/>
      <c r="AB565396" s="251"/>
      <c r="AE565396" s="251"/>
      <c r="AH565396" s="251"/>
      <c r="AK565396" s="251"/>
    </row>
    <row r="565511" spans="25:37" x14ac:dyDescent="0.2">
      <c r="Y565511" s="5"/>
      <c r="AB565511" s="5"/>
      <c r="AE565511" s="5"/>
      <c r="AH565511" s="5"/>
      <c r="AK565511" s="5"/>
    </row>
    <row r="565521" spans="25:37" x14ac:dyDescent="0.2">
      <c r="Y565521" s="251"/>
      <c r="AB565521" s="251"/>
      <c r="AE565521" s="251"/>
      <c r="AH565521" s="251"/>
      <c r="AK565521" s="251"/>
    </row>
    <row r="565636" spans="25:37" x14ac:dyDescent="0.2">
      <c r="Y565636" s="5"/>
      <c r="AB565636" s="5"/>
      <c r="AE565636" s="5"/>
      <c r="AH565636" s="5"/>
      <c r="AK565636" s="5"/>
    </row>
    <row r="565646" spans="25:37" x14ac:dyDescent="0.2">
      <c r="Y565646" s="251"/>
      <c r="AB565646" s="251"/>
      <c r="AE565646" s="251"/>
      <c r="AH565646" s="251"/>
      <c r="AK565646" s="251"/>
    </row>
    <row r="565761" spans="25:37" x14ac:dyDescent="0.2">
      <c r="Y565761" s="5"/>
      <c r="AB565761" s="5"/>
      <c r="AE565761" s="5"/>
      <c r="AH565761" s="5"/>
      <c r="AK565761" s="5"/>
    </row>
    <row r="565771" spans="25:37" x14ac:dyDescent="0.2">
      <c r="Y565771" s="251"/>
      <c r="AB565771" s="251"/>
      <c r="AE565771" s="251"/>
      <c r="AH565771" s="251"/>
      <c r="AK565771" s="251"/>
    </row>
    <row r="565886" spans="25:37" x14ac:dyDescent="0.2">
      <c r="Y565886" s="5"/>
      <c r="AB565886" s="5"/>
      <c r="AE565886" s="5"/>
      <c r="AH565886" s="5"/>
      <c r="AK565886" s="5"/>
    </row>
    <row r="565896" spans="25:37" x14ac:dyDescent="0.2">
      <c r="Y565896" s="251"/>
      <c r="AB565896" s="251"/>
      <c r="AE565896" s="251"/>
      <c r="AH565896" s="251"/>
      <c r="AK565896" s="251"/>
    </row>
    <row r="566011" spans="25:37" x14ac:dyDescent="0.2">
      <c r="Y566011" s="5"/>
      <c r="AB566011" s="5"/>
      <c r="AE566011" s="5"/>
      <c r="AH566011" s="5"/>
      <c r="AK566011" s="5"/>
    </row>
    <row r="566021" spans="25:37" x14ac:dyDescent="0.2">
      <c r="Y566021" s="251"/>
      <c r="AB566021" s="251"/>
      <c r="AE566021" s="251"/>
      <c r="AH566021" s="251"/>
      <c r="AK566021" s="251"/>
    </row>
    <row r="566136" spans="25:37" x14ac:dyDescent="0.2">
      <c r="Y566136" s="5"/>
      <c r="AB566136" s="5"/>
      <c r="AE566136" s="5"/>
      <c r="AH566136" s="5"/>
      <c r="AK566136" s="5"/>
    </row>
    <row r="566146" spans="25:37" x14ac:dyDescent="0.2">
      <c r="Y566146" s="251"/>
      <c r="AB566146" s="251"/>
      <c r="AE566146" s="251"/>
      <c r="AH566146" s="251"/>
      <c r="AK566146" s="251"/>
    </row>
    <row r="566261" spans="25:37" x14ac:dyDescent="0.2">
      <c r="Y566261" s="5"/>
      <c r="AB566261" s="5"/>
      <c r="AE566261" s="5"/>
      <c r="AH566261" s="5"/>
      <c r="AK566261" s="5"/>
    </row>
    <row r="566271" spans="25:37" x14ac:dyDescent="0.2">
      <c r="Y566271" s="251"/>
      <c r="AB566271" s="251"/>
      <c r="AE566271" s="251"/>
      <c r="AH566271" s="251"/>
      <c r="AK566271" s="251"/>
    </row>
    <row r="566386" spans="25:37" x14ac:dyDescent="0.2">
      <c r="Y566386" s="5"/>
      <c r="AB566386" s="5"/>
      <c r="AE566386" s="5"/>
      <c r="AH566386" s="5"/>
      <c r="AK566386" s="5"/>
    </row>
    <row r="566396" spans="25:37" x14ac:dyDescent="0.2">
      <c r="Y566396" s="251"/>
      <c r="AB566396" s="251"/>
      <c r="AE566396" s="251"/>
      <c r="AH566396" s="251"/>
      <c r="AK566396" s="251"/>
    </row>
    <row r="566511" spans="25:37" x14ac:dyDescent="0.2">
      <c r="Y566511" s="5"/>
      <c r="AB566511" s="5"/>
      <c r="AE566511" s="5"/>
      <c r="AH566511" s="5"/>
      <c r="AK566511" s="5"/>
    </row>
    <row r="566521" spans="25:37" x14ac:dyDescent="0.2">
      <c r="Y566521" s="251"/>
      <c r="AB566521" s="251"/>
      <c r="AE566521" s="251"/>
      <c r="AH566521" s="251"/>
      <c r="AK566521" s="251"/>
    </row>
    <row r="566636" spans="25:37" x14ac:dyDescent="0.2">
      <c r="Y566636" s="5"/>
      <c r="AB566636" s="5"/>
      <c r="AE566636" s="5"/>
      <c r="AH566636" s="5"/>
      <c r="AK566636" s="5"/>
    </row>
    <row r="566646" spans="25:37" x14ac:dyDescent="0.2">
      <c r="Y566646" s="251"/>
      <c r="AB566646" s="251"/>
      <c r="AE566646" s="251"/>
      <c r="AH566646" s="251"/>
      <c r="AK566646" s="251"/>
    </row>
    <row r="566761" spans="25:37" x14ac:dyDescent="0.2">
      <c r="Y566761" s="5"/>
      <c r="AB566761" s="5"/>
      <c r="AE566761" s="5"/>
      <c r="AH566761" s="5"/>
      <c r="AK566761" s="5"/>
    </row>
    <row r="566771" spans="25:37" x14ac:dyDescent="0.2">
      <c r="Y566771" s="251"/>
      <c r="AB566771" s="251"/>
      <c r="AE566771" s="251"/>
      <c r="AH566771" s="251"/>
      <c r="AK566771" s="251"/>
    </row>
    <row r="566886" spans="25:37" x14ac:dyDescent="0.2">
      <c r="Y566886" s="5"/>
      <c r="AB566886" s="5"/>
      <c r="AE566886" s="5"/>
      <c r="AH566886" s="5"/>
      <c r="AK566886" s="5"/>
    </row>
    <row r="566896" spans="25:37" x14ac:dyDescent="0.2">
      <c r="Y566896" s="251"/>
      <c r="AB566896" s="251"/>
      <c r="AE566896" s="251"/>
      <c r="AH566896" s="251"/>
      <c r="AK566896" s="251"/>
    </row>
    <row r="567011" spans="25:37" x14ac:dyDescent="0.2">
      <c r="Y567011" s="5"/>
      <c r="AB567011" s="5"/>
      <c r="AE567011" s="5"/>
      <c r="AH567011" s="5"/>
      <c r="AK567011" s="5"/>
    </row>
    <row r="567021" spans="25:37" x14ac:dyDescent="0.2">
      <c r="Y567021" s="251"/>
      <c r="AB567021" s="251"/>
      <c r="AE567021" s="251"/>
      <c r="AH567021" s="251"/>
      <c r="AK567021" s="251"/>
    </row>
    <row r="567136" spans="25:37" x14ac:dyDescent="0.2">
      <c r="Y567136" s="5"/>
      <c r="AB567136" s="5"/>
      <c r="AE567136" s="5"/>
      <c r="AH567136" s="5"/>
      <c r="AK567136" s="5"/>
    </row>
    <row r="567146" spans="25:37" x14ac:dyDescent="0.2">
      <c r="Y567146" s="251"/>
      <c r="AB567146" s="251"/>
      <c r="AE567146" s="251"/>
      <c r="AH567146" s="251"/>
      <c r="AK567146" s="251"/>
    </row>
    <row r="567261" spans="25:37" x14ac:dyDescent="0.2">
      <c r="Y567261" s="5"/>
      <c r="AB567261" s="5"/>
      <c r="AE567261" s="5"/>
      <c r="AH567261" s="5"/>
      <c r="AK567261" s="5"/>
    </row>
    <row r="567271" spans="25:37" x14ac:dyDescent="0.2">
      <c r="Y567271" s="251"/>
      <c r="AB567271" s="251"/>
      <c r="AE567271" s="251"/>
      <c r="AH567271" s="251"/>
      <c r="AK567271" s="251"/>
    </row>
    <row r="567386" spans="25:37" x14ac:dyDescent="0.2">
      <c r="Y567386" s="5"/>
      <c r="AB567386" s="5"/>
      <c r="AE567386" s="5"/>
      <c r="AH567386" s="5"/>
      <c r="AK567386" s="5"/>
    </row>
    <row r="567396" spans="25:37" x14ac:dyDescent="0.2">
      <c r="Y567396" s="251"/>
      <c r="AB567396" s="251"/>
      <c r="AE567396" s="251"/>
      <c r="AH567396" s="251"/>
      <c r="AK567396" s="251"/>
    </row>
    <row r="567511" spans="25:37" x14ac:dyDescent="0.2">
      <c r="Y567511" s="5"/>
      <c r="AB567511" s="5"/>
      <c r="AE567511" s="5"/>
      <c r="AH567511" s="5"/>
      <c r="AK567511" s="5"/>
    </row>
    <row r="567521" spans="25:37" x14ac:dyDescent="0.2">
      <c r="Y567521" s="251"/>
      <c r="AB567521" s="251"/>
      <c r="AE567521" s="251"/>
      <c r="AH567521" s="251"/>
      <c r="AK567521" s="251"/>
    </row>
    <row r="567636" spans="25:37" x14ac:dyDescent="0.2">
      <c r="Y567636" s="5"/>
      <c r="AB567636" s="5"/>
      <c r="AE567636" s="5"/>
      <c r="AH567636" s="5"/>
      <c r="AK567636" s="5"/>
    </row>
    <row r="567646" spans="25:37" x14ac:dyDescent="0.2">
      <c r="Y567646" s="251"/>
      <c r="AB567646" s="251"/>
      <c r="AE567646" s="251"/>
      <c r="AH567646" s="251"/>
      <c r="AK567646" s="251"/>
    </row>
    <row r="567761" spans="25:37" x14ac:dyDescent="0.2">
      <c r="Y567761" s="5"/>
      <c r="AB567761" s="5"/>
      <c r="AE567761" s="5"/>
      <c r="AH567761" s="5"/>
      <c r="AK567761" s="5"/>
    </row>
    <row r="567771" spans="25:37" x14ac:dyDescent="0.2">
      <c r="Y567771" s="251"/>
      <c r="AB567771" s="251"/>
      <c r="AE567771" s="251"/>
      <c r="AH567771" s="251"/>
      <c r="AK567771" s="251"/>
    </row>
    <row r="567886" spans="25:37" x14ac:dyDescent="0.2">
      <c r="Y567886" s="5"/>
      <c r="AB567886" s="5"/>
      <c r="AE567886" s="5"/>
      <c r="AH567886" s="5"/>
      <c r="AK567886" s="5"/>
    </row>
    <row r="567896" spans="25:37" x14ac:dyDescent="0.2">
      <c r="Y567896" s="251"/>
      <c r="AB567896" s="251"/>
      <c r="AE567896" s="251"/>
      <c r="AH567896" s="251"/>
      <c r="AK567896" s="251"/>
    </row>
    <row r="568011" spans="25:37" x14ac:dyDescent="0.2">
      <c r="Y568011" s="5"/>
      <c r="AB568011" s="5"/>
      <c r="AE568011" s="5"/>
      <c r="AH568011" s="5"/>
      <c r="AK568011" s="5"/>
    </row>
    <row r="568021" spans="25:37" x14ac:dyDescent="0.2">
      <c r="Y568021" s="251"/>
      <c r="AB568021" s="251"/>
      <c r="AE568021" s="251"/>
      <c r="AH568021" s="251"/>
      <c r="AK568021" s="251"/>
    </row>
    <row r="568136" spans="25:37" x14ac:dyDescent="0.2">
      <c r="Y568136" s="5"/>
      <c r="AB568136" s="5"/>
      <c r="AE568136" s="5"/>
      <c r="AH568136" s="5"/>
      <c r="AK568136" s="5"/>
    </row>
    <row r="568146" spans="25:37" x14ac:dyDescent="0.2">
      <c r="Y568146" s="251"/>
      <c r="AB568146" s="251"/>
      <c r="AE568146" s="251"/>
      <c r="AH568146" s="251"/>
      <c r="AK568146" s="251"/>
    </row>
    <row r="568261" spans="25:37" x14ac:dyDescent="0.2">
      <c r="Y568261" s="5"/>
      <c r="AB568261" s="5"/>
      <c r="AE568261" s="5"/>
      <c r="AH568261" s="5"/>
      <c r="AK568261" s="5"/>
    </row>
    <row r="568271" spans="25:37" x14ac:dyDescent="0.2">
      <c r="Y568271" s="251"/>
      <c r="AB568271" s="251"/>
      <c r="AE568271" s="251"/>
      <c r="AH568271" s="251"/>
      <c r="AK568271" s="251"/>
    </row>
    <row r="568386" spans="25:37" x14ac:dyDescent="0.2">
      <c r="Y568386" s="5"/>
      <c r="AB568386" s="5"/>
      <c r="AE568386" s="5"/>
      <c r="AH568386" s="5"/>
      <c r="AK568386" s="5"/>
    </row>
    <row r="568396" spans="25:37" x14ac:dyDescent="0.2">
      <c r="Y568396" s="251"/>
      <c r="AB568396" s="251"/>
      <c r="AE568396" s="251"/>
      <c r="AH568396" s="251"/>
      <c r="AK568396" s="251"/>
    </row>
    <row r="568511" spans="25:37" x14ac:dyDescent="0.2">
      <c r="Y568511" s="5"/>
      <c r="AB568511" s="5"/>
      <c r="AE568511" s="5"/>
      <c r="AH568511" s="5"/>
      <c r="AK568511" s="5"/>
    </row>
    <row r="568521" spans="25:37" x14ac:dyDescent="0.2">
      <c r="Y568521" s="251"/>
      <c r="AB568521" s="251"/>
      <c r="AE568521" s="251"/>
      <c r="AH568521" s="251"/>
      <c r="AK568521" s="251"/>
    </row>
    <row r="568636" spans="25:37" x14ac:dyDescent="0.2">
      <c r="Y568636" s="5"/>
      <c r="AB568636" s="5"/>
      <c r="AE568636" s="5"/>
      <c r="AH568636" s="5"/>
      <c r="AK568636" s="5"/>
    </row>
    <row r="568646" spans="25:37" x14ac:dyDescent="0.2">
      <c r="Y568646" s="251"/>
      <c r="AB568646" s="251"/>
      <c r="AE568646" s="251"/>
      <c r="AH568646" s="251"/>
      <c r="AK568646" s="251"/>
    </row>
    <row r="568761" spans="25:37" x14ac:dyDescent="0.2">
      <c r="Y568761" s="5"/>
      <c r="AB568761" s="5"/>
      <c r="AE568761" s="5"/>
      <c r="AH568761" s="5"/>
      <c r="AK568761" s="5"/>
    </row>
    <row r="568771" spans="25:37" x14ac:dyDescent="0.2">
      <c r="Y568771" s="251"/>
      <c r="AB568771" s="251"/>
      <c r="AE568771" s="251"/>
      <c r="AH568771" s="251"/>
      <c r="AK568771" s="251"/>
    </row>
    <row r="568886" spans="25:37" x14ac:dyDescent="0.2">
      <c r="Y568886" s="5"/>
      <c r="AB568886" s="5"/>
      <c r="AE568886" s="5"/>
      <c r="AH568886" s="5"/>
      <c r="AK568886" s="5"/>
    </row>
    <row r="568896" spans="25:37" x14ac:dyDescent="0.2">
      <c r="Y568896" s="251"/>
      <c r="AB568896" s="251"/>
      <c r="AE568896" s="251"/>
      <c r="AH568896" s="251"/>
      <c r="AK568896" s="251"/>
    </row>
    <row r="569011" spans="25:37" x14ac:dyDescent="0.2">
      <c r="Y569011" s="5"/>
      <c r="AB569011" s="5"/>
      <c r="AE569011" s="5"/>
      <c r="AH569011" s="5"/>
      <c r="AK569011" s="5"/>
    </row>
    <row r="569021" spans="25:37" x14ac:dyDescent="0.2">
      <c r="Y569021" s="251"/>
      <c r="AB569021" s="251"/>
      <c r="AE569021" s="251"/>
      <c r="AH569021" s="251"/>
      <c r="AK569021" s="251"/>
    </row>
    <row r="569136" spans="25:37" x14ac:dyDescent="0.2">
      <c r="Y569136" s="5"/>
      <c r="AB569136" s="5"/>
      <c r="AE569136" s="5"/>
      <c r="AH569136" s="5"/>
      <c r="AK569136" s="5"/>
    </row>
    <row r="569146" spans="25:37" x14ac:dyDescent="0.2">
      <c r="Y569146" s="251"/>
      <c r="AB569146" s="251"/>
      <c r="AE569146" s="251"/>
      <c r="AH569146" s="251"/>
      <c r="AK569146" s="251"/>
    </row>
    <row r="569261" spans="25:37" x14ac:dyDescent="0.2">
      <c r="Y569261" s="5"/>
      <c r="AB569261" s="5"/>
      <c r="AE569261" s="5"/>
      <c r="AH569261" s="5"/>
      <c r="AK569261" s="5"/>
    </row>
    <row r="569271" spans="25:37" x14ac:dyDescent="0.2">
      <c r="Y569271" s="251"/>
      <c r="AB569271" s="251"/>
      <c r="AE569271" s="251"/>
      <c r="AH569271" s="251"/>
      <c r="AK569271" s="251"/>
    </row>
    <row r="569386" spans="25:37" x14ac:dyDescent="0.2">
      <c r="Y569386" s="5"/>
      <c r="AB569386" s="5"/>
      <c r="AE569386" s="5"/>
      <c r="AH569386" s="5"/>
      <c r="AK569386" s="5"/>
    </row>
    <row r="569396" spans="25:37" x14ac:dyDescent="0.2">
      <c r="Y569396" s="251"/>
      <c r="AB569396" s="251"/>
      <c r="AE569396" s="251"/>
      <c r="AH569396" s="251"/>
      <c r="AK569396" s="251"/>
    </row>
    <row r="569511" spans="25:37" x14ac:dyDescent="0.2">
      <c r="Y569511" s="5"/>
      <c r="AB569511" s="5"/>
      <c r="AE569511" s="5"/>
      <c r="AH569511" s="5"/>
      <c r="AK569511" s="5"/>
    </row>
    <row r="569521" spans="25:37" x14ac:dyDescent="0.2">
      <c r="Y569521" s="251"/>
      <c r="AB569521" s="251"/>
      <c r="AE569521" s="251"/>
      <c r="AH569521" s="251"/>
      <c r="AK569521" s="251"/>
    </row>
    <row r="569636" spans="25:37" x14ac:dyDescent="0.2">
      <c r="Y569636" s="5"/>
      <c r="AB569636" s="5"/>
      <c r="AE569636" s="5"/>
      <c r="AH569636" s="5"/>
      <c r="AK569636" s="5"/>
    </row>
    <row r="569646" spans="25:37" x14ac:dyDescent="0.2">
      <c r="Y569646" s="251"/>
      <c r="AB569646" s="251"/>
      <c r="AE569646" s="251"/>
      <c r="AH569646" s="251"/>
      <c r="AK569646" s="251"/>
    </row>
    <row r="569761" spans="25:37" x14ac:dyDescent="0.2">
      <c r="Y569761" s="5"/>
      <c r="AB569761" s="5"/>
      <c r="AE569761" s="5"/>
      <c r="AH569761" s="5"/>
      <c r="AK569761" s="5"/>
    </row>
    <row r="569771" spans="25:37" x14ac:dyDescent="0.2">
      <c r="Y569771" s="251"/>
      <c r="AB569771" s="251"/>
      <c r="AE569771" s="251"/>
      <c r="AH569771" s="251"/>
      <c r="AK569771" s="251"/>
    </row>
    <row r="569886" spans="25:37" x14ac:dyDescent="0.2">
      <c r="Y569886" s="5"/>
      <c r="AB569886" s="5"/>
      <c r="AE569886" s="5"/>
      <c r="AH569886" s="5"/>
      <c r="AK569886" s="5"/>
    </row>
    <row r="569896" spans="25:37" x14ac:dyDescent="0.2">
      <c r="Y569896" s="251"/>
      <c r="AB569896" s="251"/>
      <c r="AE569896" s="251"/>
      <c r="AH569896" s="251"/>
      <c r="AK569896" s="251"/>
    </row>
    <row r="570011" spans="25:37" x14ac:dyDescent="0.2">
      <c r="Y570011" s="5"/>
      <c r="AB570011" s="5"/>
      <c r="AE570011" s="5"/>
      <c r="AH570011" s="5"/>
      <c r="AK570011" s="5"/>
    </row>
    <row r="570021" spans="25:37" x14ac:dyDescent="0.2">
      <c r="Y570021" s="251"/>
      <c r="AB570021" s="251"/>
      <c r="AE570021" s="251"/>
      <c r="AH570021" s="251"/>
      <c r="AK570021" s="251"/>
    </row>
    <row r="570136" spans="25:37" x14ac:dyDescent="0.2">
      <c r="Y570136" s="5"/>
      <c r="AB570136" s="5"/>
      <c r="AE570136" s="5"/>
      <c r="AH570136" s="5"/>
      <c r="AK570136" s="5"/>
    </row>
    <row r="570146" spans="25:37" x14ac:dyDescent="0.2">
      <c r="Y570146" s="251"/>
      <c r="AB570146" s="251"/>
      <c r="AE570146" s="251"/>
      <c r="AH570146" s="251"/>
      <c r="AK570146" s="251"/>
    </row>
    <row r="570261" spans="25:37" x14ac:dyDescent="0.2">
      <c r="Y570261" s="5"/>
      <c r="AB570261" s="5"/>
      <c r="AE570261" s="5"/>
      <c r="AH570261" s="5"/>
      <c r="AK570261" s="5"/>
    </row>
    <row r="570271" spans="25:37" x14ac:dyDescent="0.2">
      <c r="Y570271" s="251"/>
      <c r="AB570271" s="251"/>
      <c r="AE570271" s="251"/>
      <c r="AH570271" s="251"/>
      <c r="AK570271" s="251"/>
    </row>
    <row r="570386" spans="25:37" x14ac:dyDescent="0.2">
      <c r="Y570386" s="5"/>
      <c r="AB570386" s="5"/>
      <c r="AE570386" s="5"/>
      <c r="AH570386" s="5"/>
      <c r="AK570386" s="5"/>
    </row>
    <row r="570396" spans="25:37" x14ac:dyDescent="0.2">
      <c r="Y570396" s="251"/>
      <c r="AB570396" s="251"/>
      <c r="AE570396" s="251"/>
      <c r="AH570396" s="251"/>
      <c r="AK570396" s="251"/>
    </row>
    <row r="570511" spans="25:37" x14ac:dyDescent="0.2">
      <c r="Y570511" s="5"/>
      <c r="AB570511" s="5"/>
      <c r="AE570511" s="5"/>
      <c r="AH570511" s="5"/>
      <c r="AK570511" s="5"/>
    </row>
    <row r="570521" spans="25:37" x14ac:dyDescent="0.2">
      <c r="Y570521" s="251"/>
      <c r="AB570521" s="251"/>
      <c r="AE570521" s="251"/>
      <c r="AH570521" s="251"/>
      <c r="AK570521" s="251"/>
    </row>
    <row r="570636" spans="25:37" x14ac:dyDescent="0.2">
      <c r="Y570636" s="5"/>
      <c r="AB570636" s="5"/>
      <c r="AE570636" s="5"/>
      <c r="AH570636" s="5"/>
      <c r="AK570636" s="5"/>
    </row>
    <row r="570646" spans="25:37" x14ac:dyDescent="0.2">
      <c r="Y570646" s="251"/>
      <c r="AB570646" s="251"/>
      <c r="AE570646" s="251"/>
      <c r="AH570646" s="251"/>
      <c r="AK570646" s="251"/>
    </row>
    <row r="570761" spans="25:37" x14ac:dyDescent="0.2">
      <c r="Y570761" s="5"/>
      <c r="AB570761" s="5"/>
      <c r="AE570761" s="5"/>
      <c r="AH570761" s="5"/>
      <c r="AK570761" s="5"/>
    </row>
    <row r="570771" spans="25:37" x14ac:dyDescent="0.2">
      <c r="Y570771" s="251"/>
      <c r="AB570771" s="251"/>
      <c r="AE570771" s="251"/>
      <c r="AH570771" s="251"/>
      <c r="AK570771" s="251"/>
    </row>
    <row r="570886" spans="25:37" x14ac:dyDescent="0.2">
      <c r="Y570886" s="5"/>
      <c r="AB570886" s="5"/>
      <c r="AE570886" s="5"/>
      <c r="AH570886" s="5"/>
      <c r="AK570886" s="5"/>
    </row>
    <row r="570896" spans="25:37" x14ac:dyDescent="0.2">
      <c r="Y570896" s="251"/>
      <c r="AB570896" s="251"/>
      <c r="AE570896" s="251"/>
      <c r="AH570896" s="251"/>
      <c r="AK570896" s="251"/>
    </row>
    <row r="571011" spans="25:37" x14ac:dyDescent="0.2">
      <c r="Y571011" s="5"/>
      <c r="AB571011" s="5"/>
      <c r="AE571011" s="5"/>
      <c r="AH571011" s="5"/>
      <c r="AK571011" s="5"/>
    </row>
    <row r="571021" spans="25:37" x14ac:dyDescent="0.2">
      <c r="Y571021" s="251"/>
      <c r="AB571021" s="251"/>
      <c r="AE571021" s="251"/>
      <c r="AH571021" s="251"/>
      <c r="AK571021" s="251"/>
    </row>
    <row r="571136" spans="25:37" x14ac:dyDescent="0.2">
      <c r="Y571136" s="5"/>
      <c r="AB571136" s="5"/>
      <c r="AE571136" s="5"/>
      <c r="AH571136" s="5"/>
      <c r="AK571136" s="5"/>
    </row>
    <row r="571146" spans="25:37" x14ac:dyDescent="0.2">
      <c r="Y571146" s="251"/>
      <c r="AB571146" s="251"/>
      <c r="AE571146" s="251"/>
      <c r="AH571146" s="251"/>
      <c r="AK571146" s="251"/>
    </row>
    <row r="571261" spans="25:37" x14ac:dyDescent="0.2">
      <c r="Y571261" s="5"/>
      <c r="AB571261" s="5"/>
      <c r="AE571261" s="5"/>
      <c r="AH571261" s="5"/>
      <c r="AK571261" s="5"/>
    </row>
    <row r="571271" spans="25:37" x14ac:dyDescent="0.2">
      <c r="Y571271" s="251"/>
      <c r="AB571271" s="251"/>
      <c r="AE571271" s="251"/>
      <c r="AH571271" s="251"/>
      <c r="AK571271" s="251"/>
    </row>
    <row r="571386" spans="25:37" x14ac:dyDescent="0.2">
      <c r="Y571386" s="5"/>
      <c r="AB571386" s="5"/>
      <c r="AE571386" s="5"/>
      <c r="AH571386" s="5"/>
      <c r="AK571386" s="5"/>
    </row>
    <row r="571396" spans="25:37" x14ac:dyDescent="0.2">
      <c r="Y571396" s="251"/>
      <c r="AB571396" s="251"/>
      <c r="AE571396" s="251"/>
      <c r="AH571396" s="251"/>
      <c r="AK571396" s="251"/>
    </row>
    <row r="571511" spans="25:37" x14ac:dyDescent="0.2">
      <c r="Y571511" s="5"/>
      <c r="AB571511" s="5"/>
      <c r="AE571511" s="5"/>
      <c r="AH571511" s="5"/>
      <c r="AK571511" s="5"/>
    </row>
    <row r="571521" spans="25:37" x14ac:dyDescent="0.2">
      <c r="Y571521" s="251"/>
      <c r="AB571521" s="251"/>
      <c r="AE571521" s="251"/>
      <c r="AH571521" s="251"/>
      <c r="AK571521" s="251"/>
    </row>
    <row r="571636" spans="25:37" x14ac:dyDescent="0.2">
      <c r="Y571636" s="5"/>
      <c r="AB571636" s="5"/>
      <c r="AE571636" s="5"/>
      <c r="AH571636" s="5"/>
      <c r="AK571636" s="5"/>
    </row>
    <row r="571646" spans="25:37" x14ac:dyDescent="0.2">
      <c r="Y571646" s="251"/>
      <c r="AB571646" s="251"/>
      <c r="AE571646" s="251"/>
      <c r="AH571646" s="251"/>
      <c r="AK571646" s="251"/>
    </row>
    <row r="571761" spans="25:37" x14ac:dyDescent="0.2">
      <c r="Y571761" s="5"/>
      <c r="AB571761" s="5"/>
      <c r="AE571761" s="5"/>
      <c r="AH571761" s="5"/>
      <c r="AK571761" s="5"/>
    </row>
    <row r="571771" spans="25:37" x14ac:dyDescent="0.2">
      <c r="Y571771" s="251"/>
      <c r="AB571771" s="251"/>
      <c r="AE571771" s="251"/>
      <c r="AH571771" s="251"/>
      <c r="AK571771" s="251"/>
    </row>
    <row r="571886" spans="25:37" x14ac:dyDescent="0.2">
      <c r="Y571886" s="5"/>
      <c r="AB571886" s="5"/>
      <c r="AE571886" s="5"/>
      <c r="AH571886" s="5"/>
      <c r="AK571886" s="5"/>
    </row>
    <row r="571896" spans="25:37" x14ac:dyDescent="0.2">
      <c r="Y571896" s="251"/>
      <c r="AB571896" s="251"/>
      <c r="AE571896" s="251"/>
      <c r="AH571896" s="251"/>
      <c r="AK571896" s="251"/>
    </row>
    <row r="572011" spans="25:37" x14ac:dyDescent="0.2">
      <c r="Y572011" s="5"/>
      <c r="AB572011" s="5"/>
      <c r="AE572011" s="5"/>
      <c r="AH572011" s="5"/>
      <c r="AK572011" s="5"/>
    </row>
    <row r="572021" spans="25:37" x14ac:dyDescent="0.2">
      <c r="Y572021" s="251"/>
      <c r="AB572021" s="251"/>
      <c r="AE572021" s="251"/>
      <c r="AH572021" s="251"/>
      <c r="AK572021" s="251"/>
    </row>
    <row r="572136" spans="25:37" x14ac:dyDescent="0.2">
      <c r="Y572136" s="5"/>
      <c r="AB572136" s="5"/>
      <c r="AE572136" s="5"/>
      <c r="AH572136" s="5"/>
      <c r="AK572136" s="5"/>
    </row>
    <row r="572146" spans="25:37" x14ac:dyDescent="0.2">
      <c r="Y572146" s="251"/>
      <c r="AB572146" s="251"/>
      <c r="AE572146" s="251"/>
      <c r="AH572146" s="251"/>
      <c r="AK572146" s="251"/>
    </row>
    <row r="572261" spans="25:37" x14ac:dyDescent="0.2">
      <c r="Y572261" s="5"/>
      <c r="AB572261" s="5"/>
      <c r="AE572261" s="5"/>
      <c r="AH572261" s="5"/>
      <c r="AK572261" s="5"/>
    </row>
    <row r="572271" spans="25:37" x14ac:dyDescent="0.2">
      <c r="Y572271" s="251"/>
      <c r="AB572271" s="251"/>
      <c r="AE572271" s="251"/>
      <c r="AH572271" s="251"/>
      <c r="AK572271" s="251"/>
    </row>
    <row r="572386" spans="25:37" x14ac:dyDescent="0.2">
      <c r="Y572386" s="5"/>
      <c r="AB572386" s="5"/>
      <c r="AE572386" s="5"/>
      <c r="AH572386" s="5"/>
      <c r="AK572386" s="5"/>
    </row>
    <row r="572396" spans="25:37" x14ac:dyDescent="0.2">
      <c r="Y572396" s="251"/>
      <c r="AB572396" s="251"/>
      <c r="AE572396" s="251"/>
      <c r="AH572396" s="251"/>
      <c r="AK572396" s="251"/>
    </row>
    <row r="572511" spans="25:37" x14ac:dyDescent="0.2">
      <c r="Y572511" s="5"/>
      <c r="AB572511" s="5"/>
      <c r="AE572511" s="5"/>
      <c r="AH572511" s="5"/>
      <c r="AK572511" s="5"/>
    </row>
    <row r="572521" spans="25:37" x14ac:dyDescent="0.2">
      <c r="Y572521" s="251"/>
      <c r="AB572521" s="251"/>
      <c r="AE572521" s="251"/>
      <c r="AH572521" s="251"/>
      <c r="AK572521" s="251"/>
    </row>
    <row r="572636" spans="25:37" x14ac:dyDescent="0.2">
      <c r="Y572636" s="5"/>
      <c r="AB572636" s="5"/>
      <c r="AE572636" s="5"/>
      <c r="AH572636" s="5"/>
      <c r="AK572636" s="5"/>
    </row>
    <row r="572646" spans="25:37" x14ac:dyDescent="0.2">
      <c r="Y572646" s="251"/>
      <c r="AB572646" s="251"/>
      <c r="AE572646" s="251"/>
      <c r="AH572646" s="251"/>
      <c r="AK572646" s="251"/>
    </row>
    <row r="572761" spans="25:37" x14ac:dyDescent="0.2">
      <c r="Y572761" s="5"/>
      <c r="AB572761" s="5"/>
      <c r="AE572761" s="5"/>
      <c r="AH572761" s="5"/>
      <c r="AK572761" s="5"/>
    </row>
    <row r="572771" spans="25:37" x14ac:dyDescent="0.2">
      <c r="Y572771" s="251"/>
      <c r="AB572771" s="251"/>
      <c r="AE572771" s="251"/>
      <c r="AH572771" s="251"/>
      <c r="AK572771" s="251"/>
    </row>
    <row r="572886" spans="25:37" x14ac:dyDescent="0.2">
      <c r="Y572886" s="5"/>
      <c r="AB572886" s="5"/>
      <c r="AE572886" s="5"/>
      <c r="AH572886" s="5"/>
      <c r="AK572886" s="5"/>
    </row>
    <row r="572896" spans="25:37" x14ac:dyDescent="0.2">
      <c r="Y572896" s="251"/>
      <c r="AB572896" s="251"/>
      <c r="AE572896" s="251"/>
      <c r="AH572896" s="251"/>
      <c r="AK572896" s="251"/>
    </row>
    <row r="573011" spans="25:37" x14ac:dyDescent="0.2">
      <c r="Y573011" s="5"/>
      <c r="AB573011" s="5"/>
      <c r="AE573011" s="5"/>
      <c r="AH573011" s="5"/>
      <c r="AK573011" s="5"/>
    </row>
    <row r="573021" spans="25:37" x14ac:dyDescent="0.2">
      <c r="Y573021" s="251"/>
      <c r="AB573021" s="251"/>
      <c r="AE573021" s="251"/>
      <c r="AH573021" s="251"/>
      <c r="AK573021" s="251"/>
    </row>
    <row r="573136" spans="25:37" x14ac:dyDescent="0.2">
      <c r="Y573136" s="5"/>
      <c r="AB573136" s="5"/>
      <c r="AE573136" s="5"/>
      <c r="AH573136" s="5"/>
      <c r="AK573136" s="5"/>
    </row>
    <row r="573146" spans="25:37" x14ac:dyDescent="0.2">
      <c r="Y573146" s="251"/>
      <c r="AB573146" s="251"/>
      <c r="AE573146" s="251"/>
      <c r="AH573146" s="251"/>
      <c r="AK573146" s="251"/>
    </row>
    <row r="573261" spans="25:37" x14ac:dyDescent="0.2">
      <c r="Y573261" s="5"/>
      <c r="AB573261" s="5"/>
      <c r="AE573261" s="5"/>
      <c r="AH573261" s="5"/>
      <c r="AK573261" s="5"/>
    </row>
    <row r="573271" spans="25:37" x14ac:dyDescent="0.2">
      <c r="Y573271" s="251"/>
      <c r="AB573271" s="251"/>
      <c r="AE573271" s="251"/>
      <c r="AH573271" s="251"/>
      <c r="AK573271" s="251"/>
    </row>
    <row r="573386" spans="25:37" x14ac:dyDescent="0.2">
      <c r="Y573386" s="5"/>
      <c r="AB573386" s="5"/>
      <c r="AE573386" s="5"/>
      <c r="AH573386" s="5"/>
      <c r="AK573386" s="5"/>
    </row>
    <row r="573396" spans="25:37" x14ac:dyDescent="0.2">
      <c r="Y573396" s="251"/>
      <c r="AB573396" s="251"/>
      <c r="AE573396" s="251"/>
      <c r="AH573396" s="251"/>
      <c r="AK573396" s="251"/>
    </row>
    <row r="573511" spans="25:37" x14ac:dyDescent="0.2">
      <c r="Y573511" s="5"/>
      <c r="AB573511" s="5"/>
      <c r="AE573511" s="5"/>
      <c r="AH573511" s="5"/>
      <c r="AK573511" s="5"/>
    </row>
    <row r="573521" spans="25:37" x14ac:dyDescent="0.2">
      <c r="Y573521" s="251"/>
      <c r="AB573521" s="251"/>
      <c r="AE573521" s="251"/>
      <c r="AH573521" s="251"/>
      <c r="AK573521" s="251"/>
    </row>
    <row r="573636" spans="25:37" x14ac:dyDescent="0.2">
      <c r="Y573636" s="5"/>
      <c r="AB573636" s="5"/>
      <c r="AE573636" s="5"/>
      <c r="AH573636" s="5"/>
      <c r="AK573636" s="5"/>
    </row>
    <row r="573646" spans="25:37" x14ac:dyDescent="0.2">
      <c r="Y573646" s="251"/>
      <c r="AB573646" s="251"/>
      <c r="AE573646" s="251"/>
      <c r="AH573646" s="251"/>
      <c r="AK573646" s="251"/>
    </row>
    <row r="573761" spans="25:37" x14ac:dyDescent="0.2">
      <c r="Y573761" s="5"/>
      <c r="AB573761" s="5"/>
      <c r="AE573761" s="5"/>
      <c r="AH573761" s="5"/>
      <c r="AK573761" s="5"/>
    </row>
    <row r="573771" spans="25:37" x14ac:dyDescent="0.2">
      <c r="Y573771" s="251"/>
      <c r="AB573771" s="251"/>
      <c r="AE573771" s="251"/>
      <c r="AH573771" s="251"/>
      <c r="AK573771" s="251"/>
    </row>
    <row r="573886" spans="25:37" x14ac:dyDescent="0.2">
      <c r="Y573886" s="5"/>
      <c r="AB573886" s="5"/>
      <c r="AE573886" s="5"/>
      <c r="AH573886" s="5"/>
      <c r="AK573886" s="5"/>
    </row>
    <row r="573896" spans="25:37" x14ac:dyDescent="0.2">
      <c r="Y573896" s="251"/>
      <c r="AB573896" s="251"/>
      <c r="AE573896" s="251"/>
      <c r="AH573896" s="251"/>
      <c r="AK573896" s="251"/>
    </row>
    <row r="574011" spans="25:37" x14ac:dyDescent="0.2">
      <c r="Y574011" s="5"/>
      <c r="AB574011" s="5"/>
      <c r="AE574011" s="5"/>
      <c r="AH574011" s="5"/>
      <c r="AK574011" s="5"/>
    </row>
    <row r="574021" spans="25:37" x14ac:dyDescent="0.2">
      <c r="Y574021" s="251"/>
      <c r="AB574021" s="251"/>
      <c r="AE574021" s="251"/>
      <c r="AH574021" s="251"/>
      <c r="AK574021" s="251"/>
    </row>
    <row r="574136" spans="25:37" x14ac:dyDescent="0.2">
      <c r="Y574136" s="5"/>
      <c r="AB574136" s="5"/>
      <c r="AE574136" s="5"/>
      <c r="AH574136" s="5"/>
      <c r="AK574136" s="5"/>
    </row>
    <row r="574146" spans="25:37" x14ac:dyDescent="0.2">
      <c r="Y574146" s="251"/>
      <c r="AB574146" s="251"/>
      <c r="AE574146" s="251"/>
      <c r="AH574146" s="251"/>
      <c r="AK574146" s="251"/>
    </row>
    <row r="574261" spans="25:37" x14ac:dyDescent="0.2">
      <c r="Y574261" s="5"/>
      <c r="AB574261" s="5"/>
      <c r="AE574261" s="5"/>
      <c r="AH574261" s="5"/>
      <c r="AK574261" s="5"/>
    </row>
    <row r="574271" spans="25:37" x14ac:dyDescent="0.2">
      <c r="Y574271" s="251"/>
      <c r="AB574271" s="251"/>
      <c r="AE574271" s="251"/>
      <c r="AH574271" s="251"/>
      <c r="AK574271" s="251"/>
    </row>
    <row r="574386" spans="25:37" x14ac:dyDescent="0.2">
      <c r="Y574386" s="5"/>
      <c r="AB574386" s="5"/>
      <c r="AE574386" s="5"/>
      <c r="AH574386" s="5"/>
      <c r="AK574386" s="5"/>
    </row>
    <row r="574396" spans="25:37" x14ac:dyDescent="0.2">
      <c r="Y574396" s="251"/>
      <c r="AB574396" s="251"/>
      <c r="AE574396" s="251"/>
      <c r="AH574396" s="251"/>
      <c r="AK574396" s="251"/>
    </row>
    <row r="574511" spans="25:37" x14ac:dyDescent="0.2">
      <c r="Y574511" s="5"/>
      <c r="AB574511" s="5"/>
      <c r="AE574511" s="5"/>
      <c r="AH574511" s="5"/>
      <c r="AK574511" s="5"/>
    </row>
    <row r="574521" spans="25:37" x14ac:dyDescent="0.2">
      <c r="Y574521" s="251"/>
      <c r="AB574521" s="251"/>
      <c r="AE574521" s="251"/>
      <c r="AH574521" s="251"/>
      <c r="AK574521" s="251"/>
    </row>
    <row r="574636" spans="25:37" x14ac:dyDescent="0.2">
      <c r="Y574636" s="5"/>
      <c r="AB574636" s="5"/>
      <c r="AE574636" s="5"/>
      <c r="AH574636" s="5"/>
      <c r="AK574636" s="5"/>
    </row>
    <row r="574646" spans="25:37" x14ac:dyDescent="0.2">
      <c r="Y574646" s="251"/>
      <c r="AB574646" s="251"/>
      <c r="AE574646" s="251"/>
      <c r="AH574646" s="251"/>
      <c r="AK574646" s="251"/>
    </row>
    <row r="574761" spans="25:37" x14ac:dyDescent="0.2">
      <c r="Y574761" s="5"/>
      <c r="AB574761" s="5"/>
      <c r="AE574761" s="5"/>
      <c r="AH574761" s="5"/>
      <c r="AK574761" s="5"/>
    </row>
    <row r="574771" spans="25:37" x14ac:dyDescent="0.2">
      <c r="Y574771" s="251"/>
      <c r="AB574771" s="251"/>
      <c r="AE574771" s="251"/>
      <c r="AH574771" s="251"/>
      <c r="AK574771" s="251"/>
    </row>
    <row r="574886" spans="25:37" x14ac:dyDescent="0.2">
      <c r="Y574886" s="5"/>
      <c r="AB574886" s="5"/>
      <c r="AE574886" s="5"/>
      <c r="AH574886" s="5"/>
      <c r="AK574886" s="5"/>
    </row>
    <row r="574896" spans="25:37" x14ac:dyDescent="0.2">
      <c r="Y574896" s="251"/>
      <c r="AB574896" s="251"/>
      <c r="AE574896" s="251"/>
      <c r="AH574896" s="251"/>
      <c r="AK574896" s="251"/>
    </row>
    <row r="575011" spans="25:37" x14ac:dyDescent="0.2">
      <c r="Y575011" s="5"/>
      <c r="AB575011" s="5"/>
      <c r="AE575011" s="5"/>
      <c r="AH575011" s="5"/>
      <c r="AK575011" s="5"/>
    </row>
    <row r="575021" spans="25:37" x14ac:dyDescent="0.2">
      <c r="Y575021" s="251"/>
      <c r="AB575021" s="251"/>
      <c r="AE575021" s="251"/>
      <c r="AH575021" s="251"/>
      <c r="AK575021" s="251"/>
    </row>
    <row r="575136" spans="25:37" x14ac:dyDescent="0.2">
      <c r="Y575136" s="5"/>
      <c r="AB575136" s="5"/>
      <c r="AE575136" s="5"/>
      <c r="AH575136" s="5"/>
      <c r="AK575136" s="5"/>
    </row>
    <row r="575146" spans="25:37" x14ac:dyDescent="0.2">
      <c r="Y575146" s="251"/>
      <c r="AB575146" s="251"/>
      <c r="AE575146" s="251"/>
      <c r="AH575146" s="251"/>
      <c r="AK575146" s="251"/>
    </row>
    <row r="575261" spans="25:37" x14ac:dyDescent="0.2">
      <c r="Y575261" s="5"/>
      <c r="AB575261" s="5"/>
      <c r="AE575261" s="5"/>
      <c r="AH575261" s="5"/>
      <c r="AK575261" s="5"/>
    </row>
    <row r="575271" spans="25:37" x14ac:dyDescent="0.2">
      <c r="Y575271" s="251"/>
      <c r="AB575271" s="251"/>
      <c r="AE575271" s="251"/>
      <c r="AH575271" s="251"/>
      <c r="AK575271" s="251"/>
    </row>
    <row r="575386" spans="25:37" x14ac:dyDescent="0.2">
      <c r="Y575386" s="5"/>
      <c r="AB575386" s="5"/>
      <c r="AE575386" s="5"/>
      <c r="AH575386" s="5"/>
      <c r="AK575386" s="5"/>
    </row>
    <row r="575396" spans="25:37" x14ac:dyDescent="0.2">
      <c r="Y575396" s="251"/>
      <c r="AB575396" s="251"/>
      <c r="AE575396" s="251"/>
      <c r="AH575396" s="251"/>
      <c r="AK575396" s="251"/>
    </row>
    <row r="575511" spans="25:37" x14ac:dyDescent="0.2">
      <c r="Y575511" s="5"/>
      <c r="AB575511" s="5"/>
      <c r="AE575511" s="5"/>
      <c r="AH575511" s="5"/>
      <c r="AK575511" s="5"/>
    </row>
    <row r="575521" spans="25:37" x14ac:dyDescent="0.2">
      <c r="Y575521" s="251"/>
      <c r="AB575521" s="251"/>
      <c r="AE575521" s="251"/>
      <c r="AH575521" s="251"/>
      <c r="AK575521" s="251"/>
    </row>
    <row r="575636" spans="25:37" x14ac:dyDescent="0.2">
      <c r="Y575636" s="5"/>
      <c r="AB575636" s="5"/>
      <c r="AE575636" s="5"/>
      <c r="AH575636" s="5"/>
      <c r="AK575636" s="5"/>
    </row>
    <row r="575646" spans="25:37" x14ac:dyDescent="0.2">
      <c r="Y575646" s="251"/>
      <c r="AB575646" s="251"/>
      <c r="AE575646" s="251"/>
      <c r="AH575646" s="251"/>
      <c r="AK575646" s="251"/>
    </row>
    <row r="575761" spans="25:37" x14ac:dyDescent="0.2">
      <c r="Y575761" s="5"/>
      <c r="AB575761" s="5"/>
      <c r="AE575761" s="5"/>
      <c r="AH575761" s="5"/>
      <c r="AK575761" s="5"/>
    </row>
    <row r="575771" spans="25:37" x14ac:dyDescent="0.2">
      <c r="Y575771" s="251"/>
      <c r="AB575771" s="251"/>
      <c r="AE575771" s="251"/>
      <c r="AH575771" s="251"/>
      <c r="AK575771" s="251"/>
    </row>
    <row r="575886" spans="25:37" x14ac:dyDescent="0.2">
      <c r="Y575886" s="5"/>
      <c r="AB575886" s="5"/>
      <c r="AE575886" s="5"/>
      <c r="AH575886" s="5"/>
      <c r="AK575886" s="5"/>
    </row>
    <row r="575896" spans="25:37" x14ac:dyDescent="0.2">
      <c r="Y575896" s="251"/>
      <c r="AB575896" s="251"/>
      <c r="AE575896" s="251"/>
      <c r="AH575896" s="251"/>
      <c r="AK575896" s="251"/>
    </row>
    <row r="576011" spans="25:37" x14ac:dyDescent="0.2">
      <c r="Y576011" s="5"/>
      <c r="AB576011" s="5"/>
      <c r="AE576011" s="5"/>
      <c r="AH576011" s="5"/>
      <c r="AK576011" s="5"/>
    </row>
    <row r="576021" spans="25:37" x14ac:dyDescent="0.2">
      <c r="Y576021" s="251"/>
      <c r="AB576021" s="251"/>
      <c r="AE576021" s="251"/>
      <c r="AH576021" s="251"/>
      <c r="AK576021" s="251"/>
    </row>
    <row r="576136" spans="25:37" x14ac:dyDescent="0.2">
      <c r="Y576136" s="5"/>
      <c r="AB576136" s="5"/>
      <c r="AE576136" s="5"/>
      <c r="AH576136" s="5"/>
      <c r="AK576136" s="5"/>
    </row>
    <row r="576146" spans="25:37" x14ac:dyDescent="0.2">
      <c r="Y576146" s="251"/>
      <c r="AB576146" s="251"/>
      <c r="AE576146" s="251"/>
      <c r="AH576146" s="251"/>
      <c r="AK576146" s="251"/>
    </row>
    <row r="576261" spans="25:37" x14ac:dyDescent="0.2">
      <c r="Y576261" s="5"/>
      <c r="AB576261" s="5"/>
      <c r="AE576261" s="5"/>
      <c r="AH576261" s="5"/>
      <c r="AK576261" s="5"/>
    </row>
    <row r="576271" spans="25:37" x14ac:dyDescent="0.2">
      <c r="Y576271" s="251"/>
      <c r="AB576271" s="251"/>
      <c r="AE576271" s="251"/>
      <c r="AH576271" s="251"/>
      <c r="AK576271" s="251"/>
    </row>
    <row r="576386" spans="25:37" x14ac:dyDescent="0.2">
      <c r="Y576386" s="5"/>
      <c r="AB576386" s="5"/>
      <c r="AE576386" s="5"/>
      <c r="AH576386" s="5"/>
      <c r="AK576386" s="5"/>
    </row>
    <row r="576396" spans="25:37" x14ac:dyDescent="0.2">
      <c r="Y576396" s="251"/>
      <c r="AB576396" s="251"/>
      <c r="AE576396" s="251"/>
      <c r="AH576396" s="251"/>
      <c r="AK576396" s="251"/>
    </row>
    <row r="576511" spans="25:37" x14ac:dyDescent="0.2">
      <c r="Y576511" s="5"/>
      <c r="AB576511" s="5"/>
      <c r="AE576511" s="5"/>
      <c r="AH576511" s="5"/>
      <c r="AK576511" s="5"/>
    </row>
    <row r="576521" spans="25:37" x14ac:dyDescent="0.2">
      <c r="Y576521" s="251"/>
      <c r="AB576521" s="251"/>
      <c r="AE576521" s="251"/>
      <c r="AH576521" s="251"/>
      <c r="AK576521" s="251"/>
    </row>
    <row r="576636" spans="25:37" x14ac:dyDescent="0.2">
      <c r="Y576636" s="5"/>
      <c r="AB576636" s="5"/>
      <c r="AE576636" s="5"/>
      <c r="AH576636" s="5"/>
      <c r="AK576636" s="5"/>
    </row>
    <row r="576646" spans="25:37" x14ac:dyDescent="0.2">
      <c r="Y576646" s="251"/>
      <c r="AB576646" s="251"/>
      <c r="AE576646" s="251"/>
      <c r="AH576646" s="251"/>
      <c r="AK576646" s="251"/>
    </row>
    <row r="576761" spans="25:37" x14ac:dyDescent="0.2">
      <c r="Y576761" s="5"/>
      <c r="AB576761" s="5"/>
      <c r="AE576761" s="5"/>
      <c r="AH576761" s="5"/>
      <c r="AK576761" s="5"/>
    </row>
    <row r="576771" spans="25:37" x14ac:dyDescent="0.2">
      <c r="Y576771" s="251"/>
      <c r="AB576771" s="251"/>
      <c r="AE576771" s="251"/>
      <c r="AH576771" s="251"/>
      <c r="AK576771" s="251"/>
    </row>
    <row r="576886" spans="25:37" x14ac:dyDescent="0.2">
      <c r="Y576886" s="5"/>
      <c r="AB576886" s="5"/>
      <c r="AE576886" s="5"/>
      <c r="AH576886" s="5"/>
      <c r="AK576886" s="5"/>
    </row>
    <row r="576896" spans="25:37" x14ac:dyDescent="0.2">
      <c r="Y576896" s="251"/>
      <c r="AB576896" s="251"/>
      <c r="AE576896" s="251"/>
      <c r="AH576896" s="251"/>
      <c r="AK576896" s="251"/>
    </row>
    <row r="577011" spans="25:37" x14ac:dyDescent="0.2">
      <c r="Y577011" s="5"/>
      <c r="AB577011" s="5"/>
      <c r="AE577011" s="5"/>
      <c r="AH577011" s="5"/>
      <c r="AK577011" s="5"/>
    </row>
    <row r="577021" spans="25:37" x14ac:dyDescent="0.2">
      <c r="Y577021" s="251"/>
      <c r="AB577021" s="251"/>
      <c r="AE577021" s="251"/>
      <c r="AH577021" s="251"/>
      <c r="AK577021" s="251"/>
    </row>
    <row r="577136" spans="25:37" x14ac:dyDescent="0.2">
      <c r="Y577136" s="5"/>
      <c r="AB577136" s="5"/>
      <c r="AE577136" s="5"/>
      <c r="AH577136" s="5"/>
      <c r="AK577136" s="5"/>
    </row>
    <row r="577146" spans="25:37" x14ac:dyDescent="0.2">
      <c r="Y577146" s="251"/>
      <c r="AB577146" s="251"/>
      <c r="AE577146" s="251"/>
      <c r="AH577146" s="251"/>
      <c r="AK577146" s="251"/>
    </row>
    <row r="577261" spans="25:37" x14ac:dyDescent="0.2">
      <c r="Y577261" s="5"/>
      <c r="AB577261" s="5"/>
      <c r="AE577261" s="5"/>
      <c r="AH577261" s="5"/>
      <c r="AK577261" s="5"/>
    </row>
    <row r="577271" spans="25:37" x14ac:dyDescent="0.2">
      <c r="Y577271" s="251"/>
      <c r="AB577271" s="251"/>
      <c r="AE577271" s="251"/>
      <c r="AH577271" s="251"/>
      <c r="AK577271" s="251"/>
    </row>
    <row r="577386" spans="25:37" x14ac:dyDescent="0.2">
      <c r="Y577386" s="5"/>
      <c r="AB577386" s="5"/>
      <c r="AE577386" s="5"/>
      <c r="AH577386" s="5"/>
      <c r="AK577386" s="5"/>
    </row>
    <row r="577396" spans="25:37" x14ac:dyDescent="0.2">
      <c r="Y577396" s="251"/>
      <c r="AB577396" s="251"/>
      <c r="AE577396" s="251"/>
      <c r="AH577396" s="251"/>
      <c r="AK577396" s="251"/>
    </row>
    <row r="577511" spans="25:37" x14ac:dyDescent="0.2">
      <c r="Y577511" s="5"/>
      <c r="AB577511" s="5"/>
      <c r="AE577511" s="5"/>
      <c r="AH577511" s="5"/>
      <c r="AK577511" s="5"/>
    </row>
    <row r="577521" spans="25:37" x14ac:dyDescent="0.2">
      <c r="Y577521" s="251"/>
      <c r="AB577521" s="251"/>
      <c r="AE577521" s="251"/>
      <c r="AH577521" s="251"/>
      <c r="AK577521" s="251"/>
    </row>
    <row r="577636" spans="25:37" x14ac:dyDescent="0.2">
      <c r="Y577636" s="5"/>
      <c r="AB577636" s="5"/>
      <c r="AE577636" s="5"/>
      <c r="AH577636" s="5"/>
      <c r="AK577636" s="5"/>
    </row>
    <row r="577646" spans="25:37" x14ac:dyDescent="0.2">
      <c r="Y577646" s="251"/>
      <c r="AB577646" s="251"/>
      <c r="AE577646" s="251"/>
      <c r="AH577646" s="251"/>
      <c r="AK577646" s="251"/>
    </row>
    <row r="577761" spans="25:37" x14ac:dyDescent="0.2">
      <c r="Y577761" s="5"/>
      <c r="AB577761" s="5"/>
      <c r="AE577761" s="5"/>
      <c r="AH577761" s="5"/>
      <c r="AK577761" s="5"/>
    </row>
    <row r="577771" spans="25:37" x14ac:dyDescent="0.2">
      <c r="Y577771" s="251"/>
      <c r="AB577771" s="251"/>
      <c r="AE577771" s="251"/>
      <c r="AH577771" s="251"/>
      <c r="AK577771" s="251"/>
    </row>
    <row r="577886" spans="25:37" x14ac:dyDescent="0.2">
      <c r="Y577886" s="5"/>
      <c r="AB577886" s="5"/>
      <c r="AE577886" s="5"/>
      <c r="AH577886" s="5"/>
      <c r="AK577886" s="5"/>
    </row>
    <row r="577896" spans="25:37" x14ac:dyDescent="0.2">
      <c r="Y577896" s="251"/>
      <c r="AB577896" s="251"/>
      <c r="AE577896" s="251"/>
      <c r="AH577896" s="251"/>
      <c r="AK577896" s="251"/>
    </row>
    <row r="578011" spans="25:37" x14ac:dyDescent="0.2">
      <c r="Y578011" s="5"/>
      <c r="AB578011" s="5"/>
      <c r="AE578011" s="5"/>
      <c r="AH578011" s="5"/>
      <c r="AK578011" s="5"/>
    </row>
    <row r="578021" spans="25:37" x14ac:dyDescent="0.2">
      <c r="Y578021" s="251"/>
      <c r="AB578021" s="251"/>
      <c r="AE578021" s="251"/>
      <c r="AH578021" s="251"/>
      <c r="AK578021" s="251"/>
    </row>
    <row r="578136" spans="25:37" x14ac:dyDescent="0.2">
      <c r="Y578136" s="5"/>
      <c r="AB578136" s="5"/>
      <c r="AE578136" s="5"/>
      <c r="AH578136" s="5"/>
      <c r="AK578136" s="5"/>
    </row>
    <row r="578146" spans="25:37" x14ac:dyDescent="0.2">
      <c r="Y578146" s="251"/>
      <c r="AB578146" s="251"/>
      <c r="AE578146" s="251"/>
      <c r="AH578146" s="251"/>
      <c r="AK578146" s="251"/>
    </row>
    <row r="578261" spans="25:37" x14ac:dyDescent="0.2">
      <c r="Y578261" s="5"/>
      <c r="AB578261" s="5"/>
      <c r="AE578261" s="5"/>
      <c r="AH578261" s="5"/>
      <c r="AK578261" s="5"/>
    </row>
    <row r="578271" spans="25:37" x14ac:dyDescent="0.2">
      <c r="Y578271" s="251"/>
      <c r="AB578271" s="251"/>
      <c r="AE578271" s="251"/>
      <c r="AH578271" s="251"/>
      <c r="AK578271" s="251"/>
    </row>
    <row r="578386" spans="25:37" x14ac:dyDescent="0.2">
      <c r="Y578386" s="5"/>
      <c r="AB578386" s="5"/>
      <c r="AE578386" s="5"/>
      <c r="AH578386" s="5"/>
      <c r="AK578386" s="5"/>
    </row>
    <row r="578396" spans="25:37" x14ac:dyDescent="0.2">
      <c r="Y578396" s="251"/>
      <c r="AB578396" s="251"/>
      <c r="AE578396" s="251"/>
      <c r="AH578396" s="251"/>
      <c r="AK578396" s="251"/>
    </row>
    <row r="578511" spans="25:37" x14ac:dyDescent="0.2">
      <c r="Y578511" s="5"/>
      <c r="AB578511" s="5"/>
      <c r="AE578511" s="5"/>
      <c r="AH578511" s="5"/>
      <c r="AK578511" s="5"/>
    </row>
    <row r="578521" spans="25:37" x14ac:dyDescent="0.2">
      <c r="Y578521" s="251"/>
      <c r="AB578521" s="251"/>
      <c r="AE578521" s="251"/>
      <c r="AH578521" s="251"/>
      <c r="AK578521" s="251"/>
    </row>
    <row r="578636" spans="25:37" x14ac:dyDescent="0.2">
      <c r="Y578636" s="5"/>
      <c r="AB578636" s="5"/>
      <c r="AE578636" s="5"/>
      <c r="AH578636" s="5"/>
      <c r="AK578636" s="5"/>
    </row>
    <row r="578646" spans="25:37" x14ac:dyDescent="0.2">
      <c r="Y578646" s="251"/>
      <c r="AB578646" s="251"/>
      <c r="AE578646" s="251"/>
      <c r="AH578646" s="251"/>
      <c r="AK578646" s="251"/>
    </row>
    <row r="578761" spans="25:37" x14ac:dyDescent="0.2">
      <c r="Y578761" s="5"/>
      <c r="AB578761" s="5"/>
      <c r="AE578761" s="5"/>
      <c r="AH578761" s="5"/>
      <c r="AK578761" s="5"/>
    </row>
    <row r="578771" spans="25:37" x14ac:dyDescent="0.2">
      <c r="Y578771" s="251"/>
      <c r="AB578771" s="251"/>
      <c r="AE578771" s="251"/>
      <c r="AH578771" s="251"/>
      <c r="AK578771" s="251"/>
    </row>
    <row r="578886" spans="25:37" x14ac:dyDescent="0.2">
      <c r="Y578886" s="5"/>
      <c r="AB578886" s="5"/>
      <c r="AE578886" s="5"/>
      <c r="AH578886" s="5"/>
      <c r="AK578886" s="5"/>
    </row>
    <row r="578896" spans="25:37" x14ac:dyDescent="0.2">
      <c r="Y578896" s="251"/>
      <c r="AB578896" s="251"/>
      <c r="AE578896" s="251"/>
      <c r="AH578896" s="251"/>
      <c r="AK578896" s="251"/>
    </row>
    <row r="579011" spans="25:37" x14ac:dyDescent="0.2">
      <c r="Y579011" s="5"/>
      <c r="AB579011" s="5"/>
      <c r="AE579011" s="5"/>
      <c r="AH579011" s="5"/>
      <c r="AK579011" s="5"/>
    </row>
    <row r="579021" spans="25:37" x14ac:dyDescent="0.2">
      <c r="Y579021" s="251"/>
      <c r="AB579021" s="251"/>
      <c r="AE579021" s="251"/>
      <c r="AH579021" s="251"/>
      <c r="AK579021" s="251"/>
    </row>
    <row r="579136" spans="25:37" x14ac:dyDescent="0.2">
      <c r="Y579136" s="5"/>
      <c r="AB579136" s="5"/>
      <c r="AE579136" s="5"/>
      <c r="AH579136" s="5"/>
      <c r="AK579136" s="5"/>
    </row>
    <row r="579146" spans="25:37" x14ac:dyDescent="0.2">
      <c r="Y579146" s="251"/>
      <c r="AB579146" s="251"/>
      <c r="AE579146" s="251"/>
      <c r="AH579146" s="251"/>
      <c r="AK579146" s="251"/>
    </row>
    <row r="579261" spans="25:37" x14ac:dyDescent="0.2">
      <c r="Y579261" s="5"/>
      <c r="AB579261" s="5"/>
      <c r="AE579261" s="5"/>
      <c r="AH579261" s="5"/>
      <c r="AK579261" s="5"/>
    </row>
    <row r="579271" spans="25:37" x14ac:dyDescent="0.2">
      <c r="Y579271" s="251"/>
      <c r="AB579271" s="251"/>
      <c r="AE579271" s="251"/>
      <c r="AH579271" s="251"/>
      <c r="AK579271" s="251"/>
    </row>
    <row r="579386" spans="25:37" x14ac:dyDescent="0.2">
      <c r="Y579386" s="5"/>
      <c r="AB579386" s="5"/>
      <c r="AE579386" s="5"/>
      <c r="AH579386" s="5"/>
      <c r="AK579386" s="5"/>
    </row>
    <row r="579396" spans="25:37" x14ac:dyDescent="0.2">
      <c r="Y579396" s="251"/>
      <c r="AB579396" s="251"/>
      <c r="AE579396" s="251"/>
      <c r="AH579396" s="251"/>
      <c r="AK579396" s="251"/>
    </row>
    <row r="579511" spans="25:37" x14ac:dyDescent="0.2">
      <c r="Y579511" s="5"/>
      <c r="AB579511" s="5"/>
      <c r="AE579511" s="5"/>
      <c r="AH579511" s="5"/>
      <c r="AK579511" s="5"/>
    </row>
    <row r="579521" spans="25:37" x14ac:dyDescent="0.2">
      <c r="Y579521" s="251"/>
      <c r="AB579521" s="251"/>
      <c r="AE579521" s="251"/>
      <c r="AH579521" s="251"/>
      <c r="AK579521" s="251"/>
    </row>
    <row r="579636" spans="25:37" x14ac:dyDescent="0.2">
      <c r="Y579636" s="5"/>
      <c r="AB579636" s="5"/>
      <c r="AE579636" s="5"/>
      <c r="AH579636" s="5"/>
      <c r="AK579636" s="5"/>
    </row>
    <row r="579646" spans="25:37" x14ac:dyDescent="0.2">
      <c r="Y579646" s="251"/>
      <c r="AB579646" s="251"/>
      <c r="AE579646" s="251"/>
      <c r="AH579646" s="251"/>
      <c r="AK579646" s="251"/>
    </row>
    <row r="579761" spans="25:37" x14ac:dyDescent="0.2">
      <c r="Y579761" s="5"/>
      <c r="AB579761" s="5"/>
      <c r="AE579761" s="5"/>
      <c r="AH579761" s="5"/>
      <c r="AK579761" s="5"/>
    </row>
    <row r="579771" spans="25:37" x14ac:dyDescent="0.2">
      <c r="Y579771" s="251"/>
      <c r="AB579771" s="251"/>
      <c r="AE579771" s="251"/>
      <c r="AH579771" s="251"/>
      <c r="AK579771" s="251"/>
    </row>
    <row r="579886" spans="25:37" x14ac:dyDescent="0.2">
      <c r="Y579886" s="5"/>
      <c r="AB579886" s="5"/>
      <c r="AE579886" s="5"/>
      <c r="AH579886" s="5"/>
      <c r="AK579886" s="5"/>
    </row>
    <row r="579896" spans="25:37" x14ac:dyDescent="0.2">
      <c r="Y579896" s="251"/>
      <c r="AB579896" s="251"/>
      <c r="AE579896" s="251"/>
      <c r="AH579896" s="251"/>
      <c r="AK579896" s="251"/>
    </row>
    <row r="580011" spans="25:37" x14ac:dyDescent="0.2">
      <c r="Y580011" s="5"/>
      <c r="AB580011" s="5"/>
      <c r="AE580011" s="5"/>
      <c r="AH580011" s="5"/>
      <c r="AK580011" s="5"/>
    </row>
    <row r="580021" spans="25:37" x14ac:dyDescent="0.2">
      <c r="Y580021" s="251"/>
      <c r="AB580021" s="251"/>
      <c r="AE580021" s="251"/>
      <c r="AH580021" s="251"/>
      <c r="AK580021" s="251"/>
    </row>
    <row r="580136" spans="25:37" x14ac:dyDescent="0.2">
      <c r="Y580136" s="5"/>
      <c r="AB580136" s="5"/>
      <c r="AE580136" s="5"/>
      <c r="AH580136" s="5"/>
      <c r="AK580136" s="5"/>
    </row>
    <row r="580146" spans="25:37" x14ac:dyDescent="0.2">
      <c r="Y580146" s="251"/>
      <c r="AB580146" s="251"/>
      <c r="AE580146" s="251"/>
      <c r="AH580146" s="251"/>
      <c r="AK580146" s="251"/>
    </row>
    <row r="580261" spans="25:37" x14ac:dyDescent="0.2">
      <c r="Y580261" s="5"/>
      <c r="AB580261" s="5"/>
      <c r="AE580261" s="5"/>
      <c r="AH580261" s="5"/>
      <c r="AK580261" s="5"/>
    </row>
    <row r="580271" spans="25:37" x14ac:dyDescent="0.2">
      <c r="Y580271" s="251"/>
      <c r="AB580271" s="251"/>
      <c r="AE580271" s="251"/>
      <c r="AH580271" s="251"/>
      <c r="AK580271" s="251"/>
    </row>
    <row r="580386" spans="25:37" x14ac:dyDescent="0.2">
      <c r="Y580386" s="5"/>
      <c r="AB580386" s="5"/>
      <c r="AE580386" s="5"/>
      <c r="AH580386" s="5"/>
      <c r="AK580386" s="5"/>
    </row>
    <row r="580396" spans="25:37" x14ac:dyDescent="0.2">
      <c r="Y580396" s="251"/>
      <c r="AB580396" s="251"/>
      <c r="AE580396" s="251"/>
      <c r="AH580396" s="251"/>
      <c r="AK580396" s="251"/>
    </row>
    <row r="580511" spans="25:37" x14ac:dyDescent="0.2">
      <c r="Y580511" s="5"/>
      <c r="AB580511" s="5"/>
      <c r="AE580511" s="5"/>
      <c r="AH580511" s="5"/>
      <c r="AK580511" s="5"/>
    </row>
    <row r="580521" spans="25:37" x14ac:dyDescent="0.2">
      <c r="Y580521" s="251"/>
      <c r="AB580521" s="251"/>
      <c r="AE580521" s="251"/>
      <c r="AH580521" s="251"/>
      <c r="AK580521" s="251"/>
    </row>
    <row r="580636" spans="25:37" x14ac:dyDescent="0.2">
      <c r="Y580636" s="5"/>
      <c r="AB580636" s="5"/>
      <c r="AE580636" s="5"/>
      <c r="AH580636" s="5"/>
      <c r="AK580636" s="5"/>
    </row>
    <row r="580646" spans="25:37" x14ac:dyDescent="0.2">
      <c r="Y580646" s="251"/>
      <c r="AB580646" s="251"/>
      <c r="AE580646" s="251"/>
      <c r="AH580646" s="251"/>
      <c r="AK580646" s="251"/>
    </row>
    <row r="580761" spans="25:37" x14ac:dyDescent="0.2">
      <c r="Y580761" s="5"/>
      <c r="AB580761" s="5"/>
      <c r="AE580761" s="5"/>
      <c r="AH580761" s="5"/>
      <c r="AK580761" s="5"/>
    </row>
    <row r="580771" spans="25:37" x14ac:dyDescent="0.2">
      <c r="Y580771" s="251"/>
      <c r="AB580771" s="251"/>
      <c r="AE580771" s="251"/>
      <c r="AH580771" s="251"/>
      <c r="AK580771" s="251"/>
    </row>
    <row r="580886" spans="25:37" x14ac:dyDescent="0.2">
      <c r="Y580886" s="5"/>
      <c r="AB580886" s="5"/>
      <c r="AE580886" s="5"/>
      <c r="AH580886" s="5"/>
      <c r="AK580886" s="5"/>
    </row>
    <row r="580896" spans="25:37" x14ac:dyDescent="0.2">
      <c r="Y580896" s="251"/>
      <c r="AB580896" s="251"/>
      <c r="AE580896" s="251"/>
      <c r="AH580896" s="251"/>
      <c r="AK580896" s="251"/>
    </row>
    <row r="581011" spans="25:37" x14ac:dyDescent="0.2">
      <c r="Y581011" s="5"/>
      <c r="AB581011" s="5"/>
      <c r="AE581011" s="5"/>
      <c r="AH581011" s="5"/>
      <c r="AK581011" s="5"/>
    </row>
    <row r="581021" spans="25:37" x14ac:dyDescent="0.2">
      <c r="Y581021" s="251"/>
      <c r="AB581021" s="251"/>
      <c r="AE581021" s="251"/>
      <c r="AH581021" s="251"/>
      <c r="AK581021" s="251"/>
    </row>
    <row r="581136" spans="25:37" x14ac:dyDescent="0.2">
      <c r="Y581136" s="5"/>
      <c r="AB581136" s="5"/>
      <c r="AE581136" s="5"/>
      <c r="AH581136" s="5"/>
      <c r="AK581136" s="5"/>
    </row>
    <row r="581146" spans="25:37" x14ac:dyDescent="0.2">
      <c r="Y581146" s="251"/>
      <c r="AB581146" s="251"/>
      <c r="AE581146" s="251"/>
      <c r="AH581146" s="251"/>
      <c r="AK581146" s="251"/>
    </row>
    <row r="581261" spans="25:37" x14ac:dyDescent="0.2">
      <c r="Y581261" s="5"/>
      <c r="AB581261" s="5"/>
      <c r="AE581261" s="5"/>
      <c r="AH581261" s="5"/>
      <c r="AK581261" s="5"/>
    </row>
    <row r="581271" spans="25:37" x14ac:dyDescent="0.2">
      <c r="Y581271" s="251"/>
      <c r="AB581271" s="251"/>
      <c r="AE581271" s="251"/>
      <c r="AH581271" s="251"/>
      <c r="AK581271" s="251"/>
    </row>
    <row r="581386" spans="25:37" x14ac:dyDescent="0.2">
      <c r="Y581386" s="5"/>
      <c r="AB581386" s="5"/>
      <c r="AE581386" s="5"/>
      <c r="AH581386" s="5"/>
      <c r="AK581386" s="5"/>
    </row>
    <row r="581396" spans="25:37" x14ac:dyDescent="0.2">
      <c r="Y581396" s="251"/>
      <c r="AB581396" s="251"/>
      <c r="AE581396" s="251"/>
      <c r="AH581396" s="251"/>
      <c r="AK581396" s="251"/>
    </row>
    <row r="581511" spans="25:37" x14ac:dyDescent="0.2">
      <c r="Y581511" s="5"/>
      <c r="AB581511" s="5"/>
      <c r="AE581511" s="5"/>
      <c r="AH581511" s="5"/>
      <c r="AK581511" s="5"/>
    </row>
    <row r="581521" spans="25:37" x14ac:dyDescent="0.2">
      <c r="Y581521" s="251"/>
      <c r="AB581521" s="251"/>
      <c r="AE581521" s="251"/>
      <c r="AH581521" s="251"/>
      <c r="AK581521" s="251"/>
    </row>
    <row r="581636" spans="25:37" x14ac:dyDescent="0.2">
      <c r="Y581636" s="5"/>
      <c r="AB581636" s="5"/>
      <c r="AE581636" s="5"/>
      <c r="AH581636" s="5"/>
      <c r="AK581636" s="5"/>
    </row>
    <row r="581646" spans="25:37" x14ac:dyDescent="0.2">
      <c r="Y581646" s="251"/>
      <c r="AB581646" s="251"/>
      <c r="AE581646" s="251"/>
      <c r="AH581646" s="251"/>
      <c r="AK581646" s="251"/>
    </row>
    <row r="581761" spans="25:37" x14ac:dyDescent="0.2">
      <c r="Y581761" s="5"/>
      <c r="AB581761" s="5"/>
      <c r="AE581761" s="5"/>
      <c r="AH581761" s="5"/>
      <c r="AK581761" s="5"/>
    </row>
    <row r="581771" spans="25:37" x14ac:dyDescent="0.2">
      <c r="Y581771" s="251"/>
      <c r="AB581771" s="251"/>
      <c r="AE581771" s="251"/>
      <c r="AH581771" s="251"/>
      <c r="AK581771" s="251"/>
    </row>
    <row r="581886" spans="25:37" x14ac:dyDescent="0.2">
      <c r="Y581886" s="5"/>
      <c r="AB581886" s="5"/>
      <c r="AE581886" s="5"/>
      <c r="AH581886" s="5"/>
      <c r="AK581886" s="5"/>
    </row>
    <row r="581896" spans="25:37" x14ac:dyDescent="0.2">
      <c r="Y581896" s="251"/>
      <c r="AB581896" s="251"/>
      <c r="AE581896" s="251"/>
      <c r="AH581896" s="251"/>
      <c r="AK581896" s="251"/>
    </row>
    <row r="582011" spans="25:37" x14ac:dyDescent="0.2">
      <c r="Y582011" s="5"/>
      <c r="AB582011" s="5"/>
      <c r="AE582011" s="5"/>
      <c r="AH582011" s="5"/>
      <c r="AK582011" s="5"/>
    </row>
    <row r="582021" spans="25:37" x14ac:dyDescent="0.2">
      <c r="Y582021" s="251"/>
      <c r="AB582021" s="251"/>
      <c r="AE582021" s="251"/>
      <c r="AH582021" s="251"/>
      <c r="AK582021" s="251"/>
    </row>
    <row r="582136" spans="25:37" x14ac:dyDescent="0.2">
      <c r="Y582136" s="5"/>
      <c r="AB582136" s="5"/>
      <c r="AE582136" s="5"/>
      <c r="AH582136" s="5"/>
      <c r="AK582136" s="5"/>
    </row>
    <row r="582146" spans="25:37" x14ac:dyDescent="0.2">
      <c r="Y582146" s="251"/>
      <c r="AB582146" s="251"/>
      <c r="AE582146" s="251"/>
      <c r="AH582146" s="251"/>
      <c r="AK582146" s="251"/>
    </row>
    <row r="582261" spans="25:37" x14ac:dyDescent="0.2">
      <c r="Y582261" s="5"/>
      <c r="AB582261" s="5"/>
      <c r="AE582261" s="5"/>
      <c r="AH582261" s="5"/>
      <c r="AK582261" s="5"/>
    </row>
    <row r="582271" spans="25:37" x14ac:dyDescent="0.2">
      <c r="Y582271" s="251"/>
      <c r="AB582271" s="251"/>
      <c r="AE582271" s="251"/>
      <c r="AH582271" s="251"/>
      <c r="AK582271" s="251"/>
    </row>
    <row r="582386" spans="25:37" x14ac:dyDescent="0.2">
      <c r="Y582386" s="5"/>
      <c r="AB582386" s="5"/>
      <c r="AE582386" s="5"/>
      <c r="AH582386" s="5"/>
      <c r="AK582386" s="5"/>
    </row>
    <row r="582396" spans="25:37" x14ac:dyDescent="0.2">
      <c r="Y582396" s="251"/>
      <c r="AB582396" s="251"/>
      <c r="AE582396" s="251"/>
      <c r="AH582396" s="251"/>
      <c r="AK582396" s="251"/>
    </row>
    <row r="582511" spans="25:37" x14ac:dyDescent="0.2">
      <c r="Y582511" s="5"/>
      <c r="AB582511" s="5"/>
      <c r="AE582511" s="5"/>
      <c r="AH582511" s="5"/>
      <c r="AK582511" s="5"/>
    </row>
    <row r="582521" spans="25:37" x14ac:dyDescent="0.2">
      <c r="Y582521" s="251"/>
      <c r="AB582521" s="251"/>
      <c r="AE582521" s="251"/>
      <c r="AH582521" s="251"/>
      <c r="AK582521" s="251"/>
    </row>
    <row r="582636" spans="25:37" x14ac:dyDescent="0.2">
      <c r="Y582636" s="5"/>
      <c r="AB582636" s="5"/>
      <c r="AE582636" s="5"/>
      <c r="AH582636" s="5"/>
      <c r="AK582636" s="5"/>
    </row>
    <row r="582646" spans="25:37" x14ac:dyDescent="0.2">
      <c r="Y582646" s="251"/>
      <c r="AB582646" s="251"/>
      <c r="AE582646" s="251"/>
      <c r="AH582646" s="251"/>
      <c r="AK582646" s="251"/>
    </row>
    <row r="582761" spans="25:37" x14ac:dyDescent="0.2">
      <c r="Y582761" s="5"/>
      <c r="AB582761" s="5"/>
      <c r="AE582761" s="5"/>
      <c r="AH582761" s="5"/>
      <c r="AK582761" s="5"/>
    </row>
    <row r="582771" spans="25:37" x14ac:dyDescent="0.2">
      <c r="Y582771" s="251"/>
      <c r="AB582771" s="251"/>
      <c r="AE582771" s="251"/>
      <c r="AH582771" s="251"/>
      <c r="AK582771" s="251"/>
    </row>
    <row r="582886" spans="25:37" x14ac:dyDescent="0.2">
      <c r="Y582886" s="5"/>
      <c r="AB582886" s="5"/>
      <c r="AE582886" s="5"/>
      <c r="AH582886" s="5"/>
      <c r="AK582886" s="5"/>
    </row>
    <row r="582896" spans="25:37" x14ac:dyDescent="0.2">
      <c r="Y582896" s="251"/>
      <c r="AB582896" s="251"/>
      <c r="AE582896" s="251"/>
      <c r="AH582896" s="251"/>
      <c r="AK582896" s="251"/>
    </row>
    <row r="583011" spans="25:37" x14ac:dyDescent="0.2">
      <c r="Y583011" s="5"/>
      <c r="AB583011" s="5"/>
      <c r="AE583011" s="5"/>
      <c r="AH583011" s="5"/>
      <c r="AK583011" s="5"/>
    </row>
    <row r="583021" spans="25:37" x14ac:dyDescent="0.2">
      <c r="Y583021" s="251"/>
      <c r="AB583021" s="251"/>
      <c r="AE583021" s="251"/>
      <c r="AH583021" s="251"/>
      <c r="AK583021" s="251"/>
    </row>
    <row r="583136" spans="25:37" x14ac:dyDescent="0.2">
      <c r="Y583136" s="5"/>
      <c r="AB583136" s="5"/>
      <c r="AE583136" s="5"/>
      <c r="AH583136" s="5"/>
      <c r="AK583136" s="5"/>
    </row>
    <row r="583146" spans="25:37" x14ac:dyDescent="0.2">
      <c r="Y583146" s="251"/>
      <c r="AB583146" s="251"/>
      <c r="AE583146" s="251"/>
      <c r="AH583146" s="251"/>
      <c r="AK583146" s="251"/>
    </row>
    <row r="583261" spans="25:37" x14ac:dyDescent="0.2">
      <c r="Y583261" s="5"/>
      <c r="AB583261" s="5"/>
      <c r="AE583261" s="5"/>
      <c r="AH583261" s="5"/>
      <c r="AK583261" s="5"/>
    </row>
    <row r="583271" spans="25:37" x14ac:dyDescent="0.2">
      <c r="Y583271" s="251"/>
      <c r="AB583271" s="251"/>
      <c r="AE583271" s="251"/>
      <c r="AH583271" s="251"/>
      <c r="AK583271" s="251"/>
    </row>
    <row r="583386" spans="25:37" x14ac:dyDescent="0.2">
      <c r="Y583386" s="5"/>
      <c r="AB583386" s="5"/>
      <c r="AE583386" s="5"/>
      <c r="AH583386" s="5"/>
      <c r="AK583386" s="5"/>
    </row>
    <row r="583396" spans="25:37" x14ac:dyDescent="0.2">
      <c r="Y583396" s="251"/>
      <c r="AB583396" s="251"/>
      <c r="AE583396" s="251"/>
      <c r="AH583396" s="251"/>
      <c r="AK583396" s="251"/>
    </row>
    <row r="583511" spans="25:37" x14ac:dyDescent="0.2">
      <c r="Y583511" s="5"/>
      <c r="AB583511" s="5"/>
      <c r="AE583511" s="5"/>
      <c r="AH583511" s="5"/>
      <c r="AK583511" s="5"/>
    </row>
    <row r="583521" spans="25:37" x14ac:dyDescent="0.2">
      <c r="Y583521" s="251"/>
      <c r="AB583521" s="251"/>
      <c r="AE583521" s="251"/>
      <c r="AH583521" s="251"/>
      <c r="AK583521" s="251"/>
    </row>
    <row r="583636" spans="25:37" x14ac:dyDescent="0.2">
      <c r="Y583636" s="5"/>
      <c r="AB583636" s="5"/>
      <c r="AE583636" s="5"/>
      <c r="AH583636" s="5"/>
      <c r="AK583636" s="5"/>
    </row>
    <row r="583646" spans="25:37" x14ac:dyDescent="0.2">
      <c r="Y583646" s="251"/>
      <c r="AB583646" s="251"/>
      <c r="AE583646" s="251"/>
      <c r="AH583646" s="251"/>
      <c r="AK583646" s="251"/>
    </row>
    <row r="583761" spans="25:37" x14ac:dyDescent="0.2">
      <c r="Y583761" s="5"/>
      <c r="AB583761" s="5"/>
      <c r="AE583761" s="5"/>
      <c r="AH583761" s="5"/>
      <c r="AK583761" s="5"/>
    </row>
    <row r="583771" spans="25:37" x14ac:dyDescent="0.2">
      <c r="Y583771" s="251"/>
      <c r="AB583771" s="251"/>
      <c r="AE583771" s="251"/>
      <c r="AH583771" s="251"/>
      <c r="AK583771" s="251"/>
    </row>
    <row r="583886" spans="25:37" x14ac:dyDescent="0.2">
      <c r="Y583886" s="5"/>
      <c r="AB583886" s="5"/>
      <c r="AE583886" s="5"/>
      <c r="AH583886" s="5"/>
      <c r="AK583886" s="5"/>
    </row>
    <row r="583896" spans="25:37" x14ac:dyDescent="0.2">
      <c r="Y583896" s="251"/>
      <c r="AB583896" s="251"/>
      <c r="AE583896" s="251"/>
      <c r="AH583896" s="251"/>
      <c r="AK583896" s="251"/>
    </row>
    <row r="584011" spans="25:37" x14ac:dyDescent="0.2">
      <c r="Y584011" s="5"/>
      <c r="AB584011" s="5"/>
      <c r="AE584011" s="5"/>
      <c r="AH584011" s="5"/>
      <c r="AK584011" s="5"/>
    </row>
    <row r="584021" spans="25:37" x14ac:dyDescent="0.2">
      <c r="Y584021" s="251"/>
      <c r="AB584021" s="251"/>
      <c r="AE584021" s="251"/>
      <c r="AH584021" s="251"/>
      <c r="AK584021" s="251"/>
    </row>
    <row r="584136" spans="25:37" x14ac:dyDescent="0.2">
      <c r="Y584136" s="5"/>
      <c r="AB584136" s="5"/>
      <c r="AE584136" s="5"/>
      <c r="AH584136" s="5"/>
      <c r="AK584136" s="5"/>
    </row>
    <row r="584146" spans="25:37" x14ac:dyDescent="0.2">
      <c r="Y584146" s="251"/>
      <c r="AB584146" s="251"/>
      <c r="AE584146" s="251"/>
      <c r="AH584146" s="251"/>
      <c r="AK584146" s="251"/>
    </row>
    <row r="584261" spans="25:37" x14ac:dyDescent="0.2">
      <c r="Y584261" s="5"/>
      <c r="AB584261" s="5"/>
      <c r="AE584261" s="5"/>
      <c r="AH584261" s="5"/>
      <c r="AK584261" s="5"/>
    </row>
    <row r="584271" spans="25:37" x14ac:dyDescent="0.2">
      <c r="Y584271" s="251"/>
      <c r="AB584271" s="251"/>
      <c r="AE584271" s="251"/>
      <c r="AH584271" s="251"/>
      <c r="AK584271" s="251"/>
    </row>
    <row r="584386" spans="25:37" x14ac:dyDescent="0.2">
      <c r="Y584386" s="5"/>
      <c r="AB584386" s="5"/>
      <c r="AE584386" s="5"/>
      <c r="AH584386" s="5"/>
      <c r="AK584386" s="5"/>
    </row>
    <row r="584396" spans="25:37" x14ac:dyDescent="0.2">
      <c r="Y584396" s="251"/>
      <c r="AB584396" s="251"/>
      <c r="AE584396" s="251"/>
      <c r="AH584396" s="251"/>
      <c r="AK584396" s="251"/>
    </row>
    <row r="584511" spans="25:37" x14ac:dyDescent="0.2">
      <c r="Y584511" s="5"/>
      <c r="AB584511" s="5"/>
      <c r="AE584511" s="5"/>
      <c r="AH584511" s="5"/>
      <c r="AK584511" s="5"/>
    </row>
    <row r="584521" spans="25:37" x14ac:dyDescent="0.2">
      <c r="Y584521" s="251"/>
      <c r="AB584521" s="251"/>
      <c r="AE584521" s="251"/>
      <c r="AH584521" s="251"/>
      <c r="AK584521" s="251"/>
    </row>
    <row r="584636" spans="25:37" x14ac:dyDescent="0.2">
      <c r="Y584636" s="5"/>
      <c r="AB584636" s="5"/>
      <c r="AE584636" s="5"/>
      <c r="AH584636" s="5"/>
      <c r="AK584636" s="5"/>
    </row>
    <row r="584646" spans="25:37" x14ac:dyDescent="0.2">
      <c r="Y584646" s="251"/>
      <c r="AB584646" s="251"/>
      <c r="AE584646" s="251"/>
      <c r="AH584646" s="251"/>
      <c r="AK584646" s="251"/>
    </row>
    <row r="584761" spans="25:37" x14ac:dyDescent="0.2">
      <c r="Y584761" s="5"/>
      <c r="AB584761" s="5"/>
      <c r="AE584761" s="5"/>
      <c r="AH584761" s="5"/>
      <c r="AK584761" s="5"/>
    </row>
    <row r="584771" spans="25:37" x14ac:dyDescent="0.2">
      <c r="Y584771" s="251"/>
      <c r="AB584771" s="251"/>
      <c r="AE584771" s="251"/>
      <c r="AH584771" s="251"/>
      <c r="AK584771" s="251"/>
    </row>
    <row r="584886" spans="25:37" x14ac:dyDescent="0.2">
      <c r="Y584886" s="5"/>
      <c r="AB584886" s="5"/>
      <c r="AE584886" s="5"/>
      <c r="AH584886" s="5"/>
      <c r="AK584886" s="5"/>
    </row>
    <row r="584896" spans="25:37" x14ac:dyDescent="0.2">
      <c r="Y584896" s="251"/>
      <c r="AB584896" s="251"/>
      <c r="AE584896" s="251"/>
      <c r="AH584896" s="251"/>
      <c r="AK584896" s="251"/>
    </row>
    <row r="585011" spans="25:37" x14ac:dyDescent="0.2">
      <c r="Y585011" s="5"/>
      <c r="AB585011" s="5"/>
      <c r="AE585011" s="5"/>
      <c r="AH585011" s="5"/>
      <c r="AK585011" s="5"/>
    </row>
    <row r="585021" spans="25:37" x14ac:dyDescent="0.2">
      <c r="Y585021" s="251"/>
      <c r="AB585021" s="251"/>
      <c r="AE585021" s="251"/>
      <c r="AH585021" s="251"/>
      <c r="AK585021" s="251"/>
    </row>
    <row r="585136" spans="25:37" x14ac:dyDescent="0.2">
      <c r="Y585136" s="5"/>
      <c r="AB585136" s="5"/>
      <c r="AE585136" s="5"/>
      <c r="AH585136" s="5"/>
      <c r="AK585136" s="5"/>
    </row>
    <row r="585146" spans="25:37" x14ac:dyDescent="0.2">
      <c r="Y585146" s="251"/>
      <c r="AB585146" s="251"/>
      <c r="AE585146" s="251"/>
      <c r="AH585146" s="251"/>
      <c r="AK585146" s="251"/>
    </row>
    <row r="585261" spans="25:37" x14ac:dyDescent="0.2">
      <c r="Y585261" s="5"/>
      <c r="AB585261" s="5"/>
      <c r="AE585261" s="5"/>
      <c r="AH585261" s="5"/>
      <c r="AK585261" s="5"/>
    </row>
    <row r="585271" spans="25:37" x14ac:dyDescent="0.2">
      <c r="Y585271" s="251"/>
      <c r="AB585271" s="251"/>
      <c r="AE585271" s="251"/>
      <c r="AH585271" s="251"/>
      <c r="AK585271" s="251"/>
    </row>
    <row r="585386" spans="25:37" x14ac:dyDescent="0.2">
      <c r="Y585386" s="5"/>
      <c r="AB585386" s="5"/>
      <c r="AE585386" s="5"/>
      <c r="AH585386" s="5"/>
      <c r="AK585386" s="5"/>
    </row>
    <row r="585396" spans="25:37" x14ac:dyDescent="0.2">
      <c r="Y585396" s="251"/>
      <c r="AB585396" s="251"/>
      <c r="AE585396" s="251"/>
      <c r="AH585396" s="251"/>
      <c r="AK585396" s="251"/>
    </row>
    <row r="585511" spans="25:37" x14ac:dyDescent="0.2">
      <c r="Y585511" s="5"/>
      <c r="AB585511" s="5"/>
      <c r="AE585511" s="5"/>
      <c r="AH585511" s="5"/>
      <c r="AK585511" s="5"/>
    </row>
    <row r="585521" spans="25:37" x14ac:dyDescent="0.2">
      <c r="Y585521" s="251"/>
      <c r="AB585521" s="251"/>
      <c r="AE585521" s="251"/>
      <c r="AH585521" s="251"/>
      <c r="AK585521" s="251"/>
    </row>
    <row r="585636" spans="25:37" x14ac:dyDescent="0.2">
      <c r="Y585636" s="5"/>
      <c r="AB585636" s="5"/>
      <c r="AE585636" s="5"/>
      <c r="AH585636" s="5"/>
      <c r="AK585636" s="5"/>
    </row>
    <row r="585646" spans="25:37" x14ac:dyDescent="0.2">
      <c r="Y585646" s="251"/>
      <c r="AB585646" s="251"/>
      <c r="AE585646" s="251"/>
      <c r="AH585646" s="251"/>
      <c r="AK585646" s="251"/>
    </row>
    <row r="585761" spans="25:37" x14ac:dyDescent="0.2">
      <c r="Y585761" s="5"/>
      <c r="AB585761" s="5"/>
      <c r="AE585761" s="5"/>
      <c r="AH585761" s="5"/>
      <c r="AK585761" s="5"/>
    </row>
    <row r="585771" spans="25:37" x14ac:dyDescent="0.2">
      <c r="Y585771" s="251"/>
      <c r="AB585771" s="251"/>
      <c r="AE585771" s="251"/>
      <c r="AH585771" s="251"/>
      <c r="AK585771" s="251"/>
    </row>
    <row r="585886" spans="25:37" x14ac:dyDescent="0.2">
      <c r="Y585886" s="5"/>
      <c r="AB585886" s="5"/>
      <c r="AE585886" s="5"/>
      <c r="AH585886" s="5"/>
      <c r="AK585886" s="5"/>
    </row>
    <row r="585896" spans="25:37" x14ac:dyDescent="0.2">
      <c r="Y585896" s="251"/>
      <c r="AB585896" s="251"/>
      <c r="AE585896" s="251"/>
      <c r="AH585896" s="251"/>
      <c r="AK585896" s="251"/>
    </row>
    <row r="586011" spans="25:37" x14ac:dyDescent="0.2">
      <c r="Y586011" s="5"/>
      <c r="AB586011" s="5"/>
      <c r="AE586011" s="5"/>
      <c r="AH586011" s="5"/>
      <c r="AK586011" s="5"/>
    </row>
    <row r="586021" spans="25:37" x14ac:dyDescent="0.2">
      <c r="Y586021" s="251"/>
      <c r="AB586021" s="251"/>
      <c r="AE586021" s="251"/>
      <c r="AH586021" s="251"/>
      <c r="AK586021" s="251"/>
    </row>
    <row r="586136" spans="25:37" x14ac:dyDescent="0.2">
      <c r="Y586136" s="5"/>
      <c r="AB586136" s="5"/>
      <c r="AE586136" s="5"/>
      <c r="AH586136" s="5"/>
      <c r="AK586136" s="5"/>
    </row>
    <row r="586146" spans="25:37" x14ac:dyDescent="0.2">
      <c r="Y586146" s="251"/>
      <c r="AB586146" s="251"/>
      <c r="AE586146" s="251"/>
      <c r="AH586146" s="251"/>
      <c r="AK586146" s="251"/>
    </row>
    <row r="586261" spans="25:37" x14ac:dyDescent="0.2">
      <c r="Y586261" s="5"/>
      <c r="AB586261" s="5"/>
      <c r="AE586261" s="5"/>
      <c r="AH586261" s="5"/>
      <c r="AK586261" s="5"/>
    </row>
    <row r="586271" spans="25:37" x14ac:dyDescent="0.2">
      <c r="Y586271" s="251"/>
      <c r="AB586271" s="251"/>
      <c r="AE586271" s="251"/>
      <c r="AH586271" s="251"/>
      <c r="AK586271" s="251"/>
    </row>
    <row r="586386" spans="25:37" x14ac:dyDescent="0.2">
      <c r="Y586386" s="5"/>
      <c r="AB586386" s="5"/>
      <c r="AE586386" s="5"/>
      <c r="AH586386" s="5"/>
      <c r="AK586386" s="5"/>
    </row>
    <row r="586396" spans="25:37" x14ac:dyDescent="0.2">
      <c r="Y586396" s="251"/>
      <c r="AB586396" s="251"/>
      <c r="AE586396" s="251"/>
      <c r="AH586396" s="251"/>
      <c r="AK586396" s="251"/>
    </row>
    <row r="586511" spans="25:37" x14ac:dyDescent="0.2">
      <c r="Y586511" s="5"/>
      <c r="AB586511" s="5"/>
      <c r="AE586511" s="5"/>
      <c r="AH586511" s="5"/>
      <c r="AK586511" s="5"/>
    </row>
    <row r="586521" spans="25:37" x14ac:dyDescent="0.2">
      <c r="Y586521" s="251"/>
      <c r="AB586521" s="251"/>
      <c r="AE586521" s="251"/>
      <c r="AH586521" s="251"/>
      <c r="AK586521" s="251"/>
    </row>
    <row r="586636" spans="25:37" x14ac:dyDescent="0.2">
      <c r="Y586636" s="5"/>
      <c r="AB586636" s="5"/>
      <c r="AE586636" s="5"/>
      <c r="AH586636" s="5"/>
      <c r="AK586636" s="5"/>
    </row>
    <row r="586646" spans="25:37" x14ac:dyDescent="0.2">
      <c r="Y586646" s="251"/>
      <c r="AB586646" s="251"/>
      <c r="AE586646" s="251"/>
      <c r="AH586646" s="251"/>
      <c r="AK586646" s="251"/>
    </row>
    <row r="586761" spans="25:37" x14ac:dyDescent="0.2">
      <c r="Y586761" s="5"/>
      <c r="AB586761" s="5"/>
      <c r="AE586761" s="5"/>
      <c r="AH586761" s="5"/>
      <c r="AK586761" s="5"/>
    </row>
    <row r="586771" spans="25:37" x14ac:dyDescent="0.2">
      <c r="Y586771" s="251"/>
      <c r="AB586771" s="251"/>
      <c r="AE586771" s="251"/>
      <c r="AH586771" s="251"/>
      <c r="AK586771" s="251"/>
    </row>
    <row r="586886" spans="25:37" x14ac:dyDescent="0.2">
      <c r="Y586886" s="5"/>
      <c r="AB586886" s="5"/>
      <c r="AE586886" s="5"/>
      <c r="AH586886" s="5"/>
      <c r="AK586886" s="5"/>
    </row>
    <row r="586896" spans="25:37" x14ac:dyDescent="0.2">
      <c r="Y586896" s="251"/>
      <c r="AB586896" s="251"/>
      <c r="AE586896" s="251"/>
      <c r="AH586896" s="251"/>
      <c r="AK586896" s="251"/>
    </row>
    <row r="587011" spans="25:37" x14ac:dyDescent="0.2">
      <c r="Y587011" s="5"/>
      <c r="AB587011" s="5"/>
      <c r="AE587011" s="5"/>
      <c r="AH587011" s="5"/>
      <c r="AK587011" s="5"/>
    </row>
    <row r="587021" spans="25:37" x14ac:dyDescent="0.2">
      <c r="Y587021" s="251"/>
      <c r="AB587021" s="251"/>
      <c r="AE587021" s="251"/>
      <c r="AH587021" s="251"/>
      <c r="AK587021" s="251"/>
    </row>
    <row r="587136" spans="25:37" x14ac:dyDescent="0.2">
      <c r="Y587136" s="5"/>
      <c r="AB587136" s="5"/>
      <c r="AE587136" s="5"/>
      <c r="AH587136" s="5"/>
      <c r="AK587136" s="5"/>
    </row>
    <row r="587146" spans="25:37" x14ac:dyDescent="0.2">
      <c r="Y587146" s="251"/>
      <c r="AB587146" s="251"/>
      <c r="AE587146" s="251"/>
      <c r="AH587146" s="251"/>
      <c r="AK587146" s="251"/>
    </row>
    <row r="587261" spans="25:37" x14ac:dyDescent="0.2">
      <c r="Y587261" s="5"/>
      <c r="AB587261" s="5"/>
      <c r="AE587261" s="5"/>
      <c r="AH587261" s="5"/>
      <c r="AK587261" s="5"/>
    </row>
    <row r="587271" spans="25:37" x14ac:dyDescent="0.2">
      <c r="Y587271" s="251"/>
      <c r="AB587271" s="251"/>
      <c r="AE587271" s="251"/>
      <c r="AH587271" s="251"/>
      <c r="AK587271" s="251"/>
    </row>
    <row r="587386" spans="25:37" x14ac:dyDescent="0.2">
      <c r="Y587386" s="5"/>
      <c r="AB587386" s="5"/>
      <c r="AE587386" s="5"/>
      <c r="AH587386" s="5"/>
      <c r="AK587386" s="5"/>
    </row>
    <row r="587396" spans="25:37" x14ac:dyDescent="0.2">
      <c r="Y587396" s="251"/>
      <c r="AB587396" s="251"/>
      <c r="AE587396" s="251"/>
      <c r="AH587396" s="251"/>
      <c r="AK587396" s="251"/>
    </row>
    <row r="587511" spans="25:37" x14ac:dyDescent="0.2">
      <c r="Y587511" s="5"/>
      <c r="AB587511" s="5"/>
      <c r="AE587511" s="5"/>
      <c r="AH587511" s="5"/>
      <c r="AK587511" s="5"/>
    </row>
    <row r="587521" spans="25:37" x14ac:dyDescent="0.2">
      <c r="Y587521" s="251"/>
      <c r="AB587521" s="251"/>
      <c r="AE587521" s="251"/>
      <c r="AH587521" s="251"/>
      <c r="AK587521" s="251"/>
    </row>
    <row r="587636" spans="25:37" x14ac:dyDescent="0.2">
      <c r="Y587636" s="5"/>
      <c r="AB587636" s="5"/>
      <c r="AE587636" s="5"/>
      <c r="AH587636" s="5"/>
      <c r="AK587636" s="5"/>
    </row>
    <row r="587646" spans="25:37" x14ac:dyDescent="0.2">
      <c r="Y587646" s="251"/>
      <c r="AB587646" s="251"/>
      <c r="AE587646" s="251"/>
      <c r="AH587646" s="251"/>
      <c r="AK587646" s="251"/>
    </row>
    <row r="587761" spans="25:37" x14ac:dyDescent="0.2">
      <c r="Y587761" s="5"/>
      <c r="AB587761" s="5"/>
      <c r="AE587761" s="5"/>
      <c r="AH587761" s="5"/>
      <c r="AK587761" s="5"/>
    </row>
    <row r="587771" spans="25:37" x14ac:dyDescent="0.2">
      <c r="Y587771" s="251"/>
      <c r="AB587771" s="251"/>
      <c r="AE587771" s="251"/>
      <c r="AH587771" s="251"/>
      <c r="AK587771" s="251"/>
    </row>
    <row r="587886" spans="25:37" x14ac:dyDescent="0.2">
      <c r="Y587886" s="5"/>
      <c r="AB587886" s="5"/>
      <c r="AE587886" s="5"/>
      <c r="AH587886" s="5"/>
      <c r="AK587886" s="5"/>
    </row>
    <row r="587896" spans="25:37" x14ac:dyDescent="0.2">
      <c r="Y587896" s="251"/>
      <c r="AB587896" s="251"/>
      <c r="AE587896" s="251"/>
      <c r="AH587896" s="251"/>
      <c r="AK587896" s="251"/>
    </row>
    <row r="588011" spans="25:37" x14ac:dyDescent="0.2">
      <c r="Y588011" s="5"/>
      <c r="AB588011" s="5"/>
      <c r="AE588011" s="5"/>
      <c r="AH588011" s="5"/>
      <c r="AK588011" s="5"/>
    </row>
    <row r="588021" spans="25:37" x14ac:dyDescent="0.2">
      <c r="Y588021" s="251"/>
      <c r="AB588021" s="251"/>
      <c r="AE588021" s="251"/>
      <c r="AH588021" s="251"/>
      <c r="AK588021" s="251"/>
    </row>
    <row r="588136" spans="25:37" x14ac:dyDescent="0.2">
      <c r="Y588136" s="5"/>
      <c r="AB588136" s="5"/>
      <c r="AE588136" s="5"/>
      <c r="AH588136" s="5"/>
      <c r="AK588136" s="5"/>
    </row>
    <row r="588146" spans="25:37" x14ac:dyDescent="0.2">
      <c r="Y588146" s="251"/>
      <c r="AB588146" s="251"/>
      <c r="AE588146" s="251"/>
      <c r="AH588146" s="251"/>
      <c r="AK588146" s="251"/>
    </row>
    <row r="588261" spans="25:37" x14ac:dyDescent="0.2">
      <c r="Y588261" s="5"/>
      <c r="AB588261" s="5"/>
      <c r="AE588261" s="5"/>
      <c r="AH588261" s="5"/>
      <c r="AK588261" s="5"/>
    </row>
    <row r="588271" spans="25:37" x14ac:dyDescent="0.2">
      <c r="Y588271" s="251"/>
      <c r="AB588271" s="251"/>
      <c r="AE588271" s="251"/>
      <c r="AH588271" s="251"/>
      <c r="AK588271" s="251"/>
    </row>
    <row r="588386" spans="25:37" x14ac:dyDescent="0.2">
      <c r="Y588386" s="5"/>
      <c r="AB588386" s="5"/>
      <c r="AE588386" s="5"/>
      <c r="AH588386" s="5"/>
      <c r="AK588386" s="5"/>
    </row>
    <row r="588396" spans="25:37" x14ac:dyDescent="0.2">
      <c r="Y588396" s="251"/>
      <c r="AB588396" s="251"/>
      <c r="AE588396" s="251"/>
      <c r="AH588396" s="251"/>
      <c r="AK588396" s="251"/>
    </row>
    <row r="588511" spans="25:37" x14ac:dyDescent="0.2">
      <c r="Y588511" s="5"/>
      <c r="AB588511" s="5"/>
      <c r="AE588511" s="5"/>
      <c r="AH588511" s="5"/>
      <c r="AK588511" s="5"/>
    </row>
    <row r="588521" spans="25:37" x14ac:dyDescent="0.2">
      <c r="Y588521" s="251"/>
      <c r="AB588521" s="251"/>
      <c r="AE588521" s="251"/>
      <c r="AH588521" s="251"/>
      <c r="AK588521" s="251"/>
    </row>
    <row r="588636" spans="25:37" x14ac:dyDescent="0.2">
      <c r="Y588636" s="5"/>
      <c r="AB588636" s="5"/>
      <c r="AE588636" s="5"/>
      <c r="AH588636" s="5"/>
      <c r="AK588636" s="5"/>
    </row>
    <row r="588646" spans="25:37" x14ac:dyDescent="0.2">
      <c r="Y588646" s="251"/>
      <c r="AB588646" s="251"/>
      <c r="AE588646" s="251"/>
      <c r="AH588646" s="251"/>
      <c r="AK588646" s="251"/>
    </row>
    <row r="588761" spans="25:37" x14ac:dyDescent="0.2">
      <c r="Y588761" s="5"/>
      <c r="AB588761" s="5"/>
      <c r="AE588761" s="5"/>
      <c r="AH588761" s="5"/>
      <c r="AK588761" s="5"/>
    </row>
    <row r="588771" spans="25:37" x14ac:dyDescent="0.2">
      <c r="Y588771" s="251"/>
      <c r="AB588771" s="251"/>
      <c r="AE588771" s="251"/>
      <c r="AH588771" s="251"/>
      <c r="AK588771" s="251"/>
    </row>
    <row r="588886" spans="25:37" x14ac:dyDescent="0.2">
      <c r="Y588886" s="5"/>
      <c r="AB588886" s="5"/>
      <c r="AE588886" s="5"/>
      <c r="AH588886" s="5"/>
      <c r="AK588886" s="5"/>
    </row>
    <row r="588896" spans="25:37" x14ac:dyDescent="0.2">
      <c r="Y588896" s="251"/>
      <c r="AB588896" s="251"/>
      <c r="AE588896" s="251"/>
      <c r="AH588896" s="251"/>
      <c r="AK588896" s="251"/>
    </row>
    <row r="589011" spans="25:37" x14ac:dyDescent="0.2">
      <c r="Y589011" s="5"/>
      <c r="AB589011" s="5"/>
      <c r="AE589011" s="5"/>
      <c r="AH589011" s="5"/>
      <c r="AK589011" s="5"/>
    </row>
    <row r="589021" spans="25:37" x14ac:dyDescent="0.2">
      <c r="Y589021" s="251"/>
      <c r="AB589021" s="251"/>
      <c r="AE589021" s="251"/>
      <c r="AH589021" s="251"/>
      <c r="AK589021" s="251"/>
    </row>
    <row r="589136" spans="25:37" x14ac:dyDescent="0.2">
      <c r="Y589136" s="5"/>
      <c r="AB589136" s="5"/>
      <c r="AE589136" s="5"/>
      <c r="AH589136" s="5"/>
      <c r="AK589136" s="5"/>
    </row>
    <row r="589146" spans="25:37" x14ac:dyDescent="0.2">
      <c r="Y589146" s="251"/>
      <c r="AB589146" s="251"/>
      <c r="AE589146" s="251"/>
      <c r="AH589146" s="251"/>
      <c r="AK589146" s="251"/>
    </row>
    <row r="589261" spans="25:37" x14ac:dyDescent="0.2">
      <c r="Y589261" s="5"/>
      <c r="AB589261" s="5"/>
      <c r="AE589261" s="5"/>
      <c r="AH589261" s="5"/>
      <c r="AK589261" s="5"/>
    </row>
    <row r="589271" spans="25:37" x14ac:dyDescent="0.2">
      <c r="Y589271" s="251"/>
      <c r="AB589271" s="251"/>
      <c r="AE589271" s="251"/>
      <c r="AH589271" s="251"/>
      <c r="AK589271" s="251"/>
    </row>
    <row r="589386" spans="25:37" x14ac:dyDescent="0.2">
      <c r="Y589386" s="5"/>
      <c r="AB589386" s="5"/>
      <c r="AE589386" s="5"/>
      <c r="AH589386" s="5"/>
      <c r="AK589386" s="5"/>
    </row>
    <row r="589396" spans="25:37" x14ac:dyDescent="0.2">
      <c r="Y589396" s="251"/>
      <c r="AB589396" s="251"/>
      <c r="AE589396" s="251"/>
      <c r="AH589396" s="251"/>
      <c r="AK589396" s="251"/>
    </row>
    <row r="589511" spans="25:37" x14ac:dyDescent="0.2">
      <c r="Y589511" s="5"/>
      <c r="AB589511" s="5"/>
      <c r="AE589511" s="5"/>
      <c r="AH589511" s="5"/>
      <c r="AK589511" s="5"/>
    </row>
    <row r="589521" spans="25:37" x14ac:dyDescent="0.2">
      <c r="Y589521" s="251"/>
      <c r="AB589521" s="251"/>
      <c r="AE589521" s="251"/>
      <c r="AH589521" s="251"/>
      <c r="AK589521" s="251"/>
    </row>
    <row r="589636" spans="25:37" x14ac:dyDescent="0.2">
      <c r="Y589636" s="5"/>
      <c r="AB589636" s="5"/>
      <c r="AE589636" s="5"/>
      <c r="AH589636" s="5"/>
      <c r="AK589636" s="5"/>
    </row>
    <row r="589646" spans="25:37" x14ac:dyDescent="0.2">
      <c r="Y589646" s="251"/>
      <c r="AB589646" s="251"/>
      <c r="AE589646" s="251"/>
      <c r="AH589646" s="251"/>
      <c r="AK589646" s="251"/>
    </row>
    <row r="589761" spans="25:37" x14ac:dyDescent="0.2">
      <c r="Y589761" s="5"/>
      <c r="AB589761" s="5"/>
      <c r="AE589761" s="5"/>
      <c r="AH589761" s="5"/>
      <c r="AK589761" s="5"/>
    </row>
    <row r="589771" spans="25:37" x14ac:dyDescent="0.2">
      <c r="Y589771" s="251"/>
      <c r="AB589771" s="251"/>
      <c r="AE589771" s="251"/>
      <c r="AH589771" s="251"/>
      <c r="AK589771" s="251"/>
    </row>
    <row r="589886" spans="25:37" x14ac:dyDescent="0.2">
      <c r="Y589886" s="5"/>
      <c r="AB589886" s="5"/>
      <c r="AE589886" s="5"/>
      <c r="AH589886" s="5"/>
      <c r="AK589886" s="5"/>
    </row>
    <row r="589896" spans="25:37" x14ac:dyDescent="0.2">
      <c r="Y589896" s="251"/>
      <c r="AB589896" s="251"/>
      <c r="AE589896" s="251"/>
      <c r="AH589896" s="251"/>
      <c r="AK589896" s="251"/>
    </row>
    <row r="590011" spans="25:37" x14ac:dyDescent="0.2">
      <c r="Y590011" s="5"/>
      <c r="AB590011" s="5"/>
      <c r="AE590011" s="5"/>
      <c r="AH590011" s="5"/>
      <c r="AK590011" s="5"/>
    </row>
    <row r="590021" spans="25:37" x14ac:dyDescent="0.2">
      <c r="Y590021" s="251"/>
      <c r="AB590021" s="251"/>
      <c r="AE590021" s="251"/>
      <c r="AH590021" s="251"/>
      <c r="AK590021" s="251"/>
    </row>
    <row r="590136" spans="25:37" x14ac:dyDescent="0.2">
      <c r="Y590136" s="5"/>
      <c r="AB590136" s="5"/>
      <c r="AE590136" s="5"/>
      <c r="AH590136" s="5"/>
      <c r="AK590136" s="5"/>
    </row>
    <row r="590146" spans="25:37" x14ac:dyDescent="0.2">
      <c r="Y590146" s="251"/>
      <c r="AB590146" s="251"/>
      <c r="AE590146" s="251"/>
      <c r="AH590146" s="251"/>
      <c r="AK590146" s="251"/>
    </row>
    <row r="590261" spans="25:37" x14ac:dyDescent="0.2">
      <c r="Y590261" s="5"/>
      <c r="AB590261" s="5"/>
      <c r="AE590261" s="5"/>
      <c r="AH590261" s="5"/>
      <c r="AK590261" s="5"/>
    </row>
    <row r="590271" spans="25:37" x14ac:dyDescent="0.2">
      <c r="Y590271" s="251"/>
      <c r="AB590271" s="251"/>
      <c r="AE590271" s="251"/>
      <c r="AH590271" s="251"/>
      <c r="AK590271" s="251"/>
    </row>
    <row r="590386" spans="25:37" x14ac:dyDescent="0.2">
      <c r="Y590386" s="5"/>
      <c r="AB590386" s="5"/>
      <c r="AE590386" s="5"/>
      <c r="AH590386" s="5"/>
      <c r="AK590386" s="5"/>
    </row>
    <row r="590396" spans="25:37" x14ac:dyDescent="0.2">
      <c r="Y590396" s="251"/>
      <c r="AB590396" s="251"/>
      <c r="AE590396" s="251"/>
      <c r="AH590396" s="251"/>
      <c r="AK590396" s="251"/>
    </row>
    <row r="590511" spans="25:37" x14ac:dyDescent="0.2">
      <c r="Y590511" s="5"/>
      <c r="AB590511" s="5"/>
      <c r="AE590511" s="5"/>
      <c r="AH590511" s="5"/>
      <c r="AK590511" s="5"/>
    </row>
    <row r="590521" spans="25:37" x14ac:dyDescent="0.2">
      <c r="Y590521" s="251"/>
      <c r="AB590521" s="251"/>
      <c r="AE590521" s="251"/>
      <c r="AH590521" s="251"/>
      <c r="AK590521" s="251"/>
    </row>
    <row r="590636" spans="25:37" x14ac:dyDescent="0.2">
      <c r="Y590636" s="5"/>
      <c r="AB590636" s="5"/>
      <c r="AE590636" s="5"/>
      <c r="AH590636" s="5"/>
      <c r="AK590636" s="5"/>
    </row>
    <row r="590646" spans="25:37" x14ac:dyDescent="0.2">
      <c r="Y590646" s="251"/>
      <c r="AB590646" s="251"/>
      <c r="AE590646" s="251"/>
      <c r="AH590646" s="251"/>
      <c r="AK590646" s="251"/>
    </row>
    <row r="590761" spans="25:37" x14ac:dyDescent="0.2">
      <c r="Y590761" s="5"/>
      <c r="AB590761" s="5"/>
      <c r="AE590761" s="5"/>
      <c r="AH590761" s="5"/>
      <c r="AK590761" s="5"/>
    </row>
    <row r="590771" spans="25:37" x14ac:dyDescent="0.2">
      <c r="Y590771" s="251"/>
      <c r="AB590771" s="251"/>
      <c r="AE590771" s="251"/>
      <c r="AH590771" s="251"/>
      <c r="AK590771" s="251"/>
    </row>
    <row r="590886" spans="25:37" x14ac:dyDescent="0.2">
      <c r="Y590886" s="5"/>
      <c r="AB590886" s="5"/>
      <c r="AE590886" s="5"/>
      <c r="AH590886" s="5"/>
      <c r="AK590886" s="5"/>
    </row>
    <row r="590896" spans="25:37" x14ac:dyDescent="0.2">
      <c r="Y590896" s="251"/>
      <c r="AB590896" s="251"/>
      <c r="AE590896" s="251"/>
      <c r="AH590896" s="251"/>
      <c r="AK590896" s="251"/>
    </row>
    <row r="591011" spans="25:37" x14ac:dyDescent="0.2">
      <c r="Y591011" s="5"/>
      <c r="AB591011" s="5"/>
      <c r="AE591011" s="5"/>
      <c r="AH591011" s="5"/>
      <c r="AK591011" s="5"/>
    </row>
    <row r="591021" spans="25:37" x14ac:dyDescent="0.2">
      <c r="Y591021" s="251"/>
      <c r="AB591021" s="251"/>
      <c r="AE591021" s="251"/>
      <c r="AH591021" s="251"/>
      <c r="AK591021" s="251"/>
    </row>
    <row r="591136" spans="25:37" x14ac:dyDescent="0.2">
      <c r="Y591136" s="5"/>
      <c r="AB591136" s="5"/>
      <c r="AE591136" s="5"/>
      <c r="AH591136" s="5"/>
      <c r="AK591136" s="5"/>
    </row>
    <row r="591146" spans="25:37" x14ac:dyDescent="0.2">
      <c r="Y591146" s="251"/>
      <c r="AB591146" s="251"/>
      <c r="AE591146" s="251"/>
      <c r="AH591146" s="251"/>
      <c r="AK591146" s="251"/>
    </row>
    <row r="591261" spans="25:37" x14ac:dyDescent="0.2">
      <c r="Y591261" s="5"/>
      <c r="AB591261" s="5"/>
      <c r="AE591261" s="5"/>
      <c r="AH591261" s="5"/>
      <c r="AK591261" s="5"/>
    </row>
    <row r="591271" spans="25:37" x14ac:dyDescent="0.2">
      <c r="Y591271" s="251"/>
      <c r="AB591271" s="251"/>
      <c r="AE591271" s="251"/>
      <c r="AH591271" s="251"/>
      <c r="AK591271" s="251"/>
    </row>
    <row r="591386" spans="25:37" x14ac:dyDescent="0.2">
      <c r="Y591386" s="5"/>
      <c r="AB591386" s="5"/>
      <c r="AE591386" s="5"/>
      <c r="AH591386" s="5"/>
      <c r="AK591386" s="5"/>
    </row>
    <row r="591396" spans="25:37" x14ac:dyDescent="0.2">
      <c r="Y591396" s="251"/>
      <c r="AB591396" s="251"/>
      <c r="AE591396" s="251"/>
      <c r="AH591396" s="251"/>
      <c r="AK591396" s="251"/>
    </row>
    <row r="591511" spans="25:37" x14ac:dyDescent="0.2">
      <c r="Y591511" s="5"/>
      <c r="AB591511" s="5"/>
      <c r="AE591511" s="5"/>
      <c r="AH591511" s="5"/>
      <c r="AK591511" s="5"/>
    </row>
    <row r="591521" spans="25:37" x14ac:dyDescent="0.2">
      <c r="Y591521" s="251"/>
      <c r="AB591521" s="251"/>
      <c r="AE591521" s="251"/>
      <c r="AH591521" s="251"/>
      <c r="AK591521" s="251"/>
    </row>
    <row r="591636" spans="25:37" x14ac:dyDescent="0.2">
      <c r="Y591636" s="5"/>
      <c r="AB591636" s="5"/>
      <c r="AE591636" s="5"/>
      <c r="AH591636" s="5"/>
      <c r="AK591636" s="5"/>
    </row>
    <row r="591646" spans="25:37" x14ac:dyDescent="0.2">
      <c r="Y591646" s="251"/>
      <c r="AB591646" s="251"/>
      <c r="AE591646" s="251"/>
      <c r="AH591646" s="251"/>
      <c r="AK591646" s="251"/>
    </row>
    <row r="591761" spans="25:37" x14ac:dyDescent="0.2">
      <c r="Y591761" s="5"/>
      <c r="AB591761" s="5"/>
      <c r="AE591761" s="5"/>
      <c r="AH591761" s="5"/>
      <c r="AK591761" s="5"/>
    </row>
    <row r="591771" spans="25:37" x14ac:dyDescent="0.2">
      <c r="Y591771" s="251"/>
      <c r="AB591771" s="251"/>
      <c r="AE591771" s="251"/>
      <c r="AH591771" s="251"/>
      <c r="AK591771" s="251"/>
    </row>
    <row r="591886" spans="25:37" x14ac:dyDescent="0.2">
      <c r="Y591886" s="5"/>
      <c r="AB591886" s="5"/>
      <c r="AE591886" s="5"/>
      <c r="AH591886" s="5"/>
      <c r="AK591886" s="5"/>
    </row>
    <row r="591896" spans="25:37" x14ac:dyDescent="0.2">
      <c r="Y591896" s="251"/>
      <c r="AB591896" s="251"/>
      <c r="AE591896" s="251"/>
      <c r="AH591896" s="251"/>
      <c r="AK591896" s="251"/>
    </row>
    <row r="592011" spans="25:37" x14ac:dyDescent="0.2">
      <c r="Y592011" s="5"/>
      <c r="AB592011" s="5"/>
      <c r="AE592011" s="5"/>
      <c r="AH592011" s="5"/>
      <c r="AK592011" s="5"/>
    </row>
    <row r="592021" spans="25:37" x14ac:dyDescent="0.2">
      <c r="Y592021" s="251"/>
      <c r="AB592021" s="251"/>
      <c r="AE592021" s="251"/>
      <c r="AH592021" s="251"/>
      <c r="AK592021" s="251"/>
    </row>
    <row r="592136" spans="25:37" x14ac:dyDescent="0.2">
      <c r="Y592136" s="5"/>
      <c r="AB592136" s="5"/>
      <c r="AE592136" s="5"/>
      <c r="AH592136" s="5"/>
      <c r="AK592136" s="5"/>
    </row>
    <row r="592146" spans="25:37" x14ac:dyDescent="0.2">
      <c r="Y592146" s="251"/>
      <c r="AB592146" s="251"/>
      <c r="AE592146" s="251"/>
      <c r="AH592146" s="251"/>
      <c r="AK592146" s="251"/>
    </row>
    <row r="592261" spans="25:37" x14ac:dyDescent="0.2">
      <c r="Y592261" s="5"/>
      <c r="AB592261" s="5"/>
      <c r="AE592261" s="5"/>
      <c r="AH592261" s="5"/>
      <c r="AK592261" s="5"/>
    </row>
    <row r="592271" spans="25:37" x14ac:dyDescent="0.2">
      <c r="Y592271" s="251"/>
      <c r="AB592271" s="251"/>
      <c r="AE592271" s="251"/>
      <c r="AH592271" s="251"/>
      <c r="AK592271" s="251"/>
    </row>
    <row r="592386" spans="25:37" x14ac:dyDescent="0.2">
      <c r="Y592386" s="5"/>
      <c r="AB592386" s="5"/>
      <c r="AE592386" s="5"/>
      <c r="AH592386" s="5"/>
      <c r="AK592386" s="5"/>
    </row>
    <row r="592396" spans="25:37" x14ac:dyDescent="0.2">
      <c r="Y592396" s="251"/>
      <c r="AB592396" s="251"/>
      <c r="AE592396" s="251"/>
      <c r="AH592396" s="251"/>
      <c r="AK592396" s="251"/>
    </row>
    <row r="592511" spans="25:37" x14ac:dyDescent="0.2">
      <c r="Y592511" s="5"/>
      <c r="AB592511" s="5"/>
      <c r="AE592511" s="5"/>
      <c r="AH592511" s="5"/>
      <c r="AK592511" s="5"/>
    </row>
    <row r="592521" spans="25:37" x14ac:dyDescent="0.2">
      <c r="Y592521" s="251"/>
      <c r="AB592521" s="251"/>
      <c r="AE592521" s="251"/>
      <c r="AH592521" s="251"/>
      <c r="AK592521" s="251"/>
    </row>
    <row r="592636" spans="25:37" x14ac:dyDescent="0.2">
      <c r="Y592636" s="5"/>
      <c r="AB592636" s="5"/>
      <c r="AE592636" s="5"/>
      <c r="AH592636" s="5"/>
      <c r="AK592636" s="5"/>
    </row>
    <row r="592646" spans="25:37" x14ac:dyDescent="0.2">
      <c r="Y592646" s="251"/>
      <c r="AB592646" s="251"/>
      <c r="AE592646" s="251"/>
      <c r="AH592646" s="251"/>
      <c r="AK592646" s="251"/>
    </row>
    <row r="592761" spans="25:37" x14ac:dyDescent="0.2">
      <c r="Y592761" s="5"/>
      <c r="AB592761" s="5"/>
      <c r="AE592761" s="5"/>
      <c r="AH592761" s="5"/>
      <c r="AK592761" s="5"/>
    </row>
    <row r="592771" spans="25:37" x14ac:dyDescent="0.2">
      <c r="Y592771" s="251"/>
      <c r="AB592771" s="251"/>
      <c r="AE592771" s="251"/>
      <c r="AH592771" s="251"/>
      <c r="AK592771" s="251"/>
    </row>
    <row r="592886" spans="25:37" x14ac:dyDescent="0.2">
      <c r="Y592886" s="5"/>
      <c r="AB592886" s="5"/>
      <c r="AE592886" s="5"/>
      <c r="AH592886" s="5"/>
      <c r="AK592886" s="5"/>
    </row>
    <row r="592896" spans="25:37" x14ac:dyDescent="0.2">
      <c r="Y592896" s="251"/>
      <c r="AB592896" s="251"/>
      <c r="AE592896" s="251"/>
      <c r="AH592896" s="251"/>
      <c r="AK592896" s="251"/>
    </row>
    <row r="593011" spans="25:37" x14ac:dyDescent="0.2">
      <c r="Y593011" s="5"/>
      <c r="AB593011" s="5"/>
      <c r="AE593011" s="5"/>
      <c r="AH593011" s="5"/>
      <c r="AK593011" s="5"/>
    </row>
    <row r="593021" spans="25:37" x14ac:dyDescent="0.2">
      <c r="Y593021" s="251"/>
      <c r="AB593021" s="251"/>
      <c r="AE593021" s="251"/>
      <c r="AH593021" s="251"/>
      <c r="AK593021" s="251"/>
    </row>
    <row r="593136" spans="25:37" x14ac:dyDescent="0.2">
      <c r="Y593136" s="5"/>
      <c r="AB593136" s="5"/>
      <c r="AE593136" s="5"/>
      <c r="AH593136" s="5"/>
      <c r="AK593136" s="5"/>
    </row>
    <row r="593146" spans="25:37" x14ac:dyDescent="0.2">
      <c r="Y593146" s="251"/>
      <c r="AB593146" s="251"/>
      <c r="AE593146" s="251"/>
      <c r="AH593146" s="251"/>
      <c r="AK593146" s="251"/>
    </row>
    <row r="593261" spans="25:37" x14ac:dyDescent="0.2">
      <c r="Y593261" s="5"/>
      <c r="AB593261" s="5"/>
      <c r="AE593261" s="5"/>
      <c r="AH593261" s="5"/>
      <c r="AK593261" s="5"/>
    </row>
    <row r="593271" spans="25:37" x14ac:dyDescent="0.2">
      <c r="Y593271" s="251"/>
      <c r="AB593271" s="251"/>
      <c r="AE593271" s="251"/>
      <c r="AH593271" s="251"/>
      <c r="AK593271" s="251"/>
    </row>
    <row r="593386" spans="25:37" x14ac:dyDescent="0.2">
      <c r="Y593386" s="5"/>
      <c r="AB593386" s="5"/>
      <c r="AE593386" s="5"/>
      <c r="AH593386" s="5"/>
      <c r="AK593386" s="5"/>
    </row>
    <row r="593396" spans="25:37" x14ac:dyDescent="0.2">
      <c r="Y593396" s="251"/>
      <c r="AB593396" s="251"/>
      <c r="AE593396" s="251"/>
      <c r="AH593396" s="251"/>
      <c r="AK593396" s="251"/>
    </row>
    <row r="593511" spans="25:37" x14ac:dyDescent="0.2">
      <c r="Y593511" s="5"/>
      <c r="AB593511" s="5"/>
      <c r="AE593511" s="5"/>
      <c r="AH593511" s="5"/>
      <c r="AK593511" s="5"/>
    </row>
    <row r="593521" spans="25:37" x14ac:dyDescent="0.2">
      <c r="Y593521" s="251"/>
      <c r="AB593521" s="251"/>
      <c r="AE593521" s="251"/>
      <c r="AH593521" s="251"/>
      <c r="AK593521" s="251"/>
    </row>
    <row r="593636" spans="25:37" x14ac:dyDescent="0.2">
      <c r="Y593636" s="5"/>
      <c r="AB593636" s="5"/>
      <c r="AE593636" s="5"/>
      <c r="AH593636" s="5"/>
      <c r="AK593636" s="5"/>
    </row>
    <row r="593646" spans="25:37" x14ac:dyDescent="0.2">
      <c r="Y593646" s="251"/>
      <c r="AB593646" s="251"/>
      <c r="AE593646" s="251"/>
      <c r="AH593646" s="251"/>
      <c r="AK593646" s="251"/>
    </row>
    <row r="593761" spans="25:37" x14ac:dyDescent="0.2">
      <c r="Y593761" s="5"/>
      <c r="AB593761" s="5"/>
      <c r="AE593761" s="5"/>
      <c r="AH593761" s="5"/>
      <c r="AK593761" s="5"/>
    </row>
    <row r="593771" spans="25:37" x14ac:dyDescent="0.2">
      <c r="Y593771" s="251"/>
      <c r="AB593771" s="251"/>
      <c r="AE593771" s="251"/>
      <c r="AH593771" s="251"/>
      <c r="AK593771" s="251"/>
    </row>
    <row r="593886" spans="25:37" x14ac:dyDescent="0.2">
      <c r="Y593886" s="5"/>
      <c r="AB593886" s="5"/>
      <c r="AE593886" s="5"/>
      <c r="AH593886" s="5"/>
      <c r="AK593886" s="5"/>
    </row>
    <row r="593896" spans="25:37" x14ac:dyDescent="0.2">
      <c r="Y593896" s="251"/>
      <c r="AB593896" s="251"/>
      <c r="AE593896" s="251"/>
      <c r="AH593896" s="251"/>
      <c r="AK593896" s="251"/>
    </row>
    <row r="594011" spans="25:37" x14ac:dyDescent="0.2">
      <c r="Y594011" s="5"/>
      <c r="AB594011" s="5"/>
      <c r="AE594011" s="5"/>
      <c r="AH594011" s="5"/>
      <c r="AK594011" s="5"/>
    </row>
    <row r="594021" spans="25:37" x14ac:dyDescent="0.2">
      <c r="Y594021" s="251"/>
      <c r="AB594021" s="251"/>
      <c r="AE594021" s="251"/>
      <c r="AH594021" s="251"/>
      <c r="AK594021" s="251"/>
    </row>
    <row r="594136" spans="25:37" x14ac:dyDescent="0.2">
      <c r="Y594136" s="5"/>
      <c r="AB594136" s="5"/>
      <c r="AE594136" s="5"/>
      <c r="AH594136" s="5"/>
      <c r="AK594136" s="5"/>
    </row>
    <row r="594146" spans="25:37" x14ac:dyDescent="0.2">
      <c r="Y594146" s="251"/>
      <c r="AB594146" s="251"/>
      <c r="AE594146" s="251"/>
      <c r="AH594146" s="251"/>
      <c r="AK594146" s="251"/>
    </row>
    <row r="594261" spans="25:37" x14ac:dyDescent="0.2">
      <c r="Y594261" s="5"/>
      <c r="AB594261" s="5"/>
      <c r="AE594261" s="5"/>
      <c r="AH594261" s="5"/>
      <c r="AK594261" s="5"/>
    </row>
    <row r="594271" spans="25:37" x14ac:dyDescent="0.2">
      <c r="Y594271" s="251"/>
      <c r="AB594271" s="251"/>
      <c r="AE594271" s="251"/>
      <c r="AH594271" s="251"/>
      <c r="AK594271" s="251"/>
    </row>
    <row r="594386" spans="25:37" x14ac:dyDescent="0.2">
      <c r="Y594386" s="5"/>
      <c r="AB594386" s="5"/>
      <c r="AE594386" s="5"/>
      <c r="AH594386" s="5"/>
      <c r="AK594386" s="5"/>
    </row>
    <row r="594396" spans="25:37" x14ac:dyDescent="0.2">
      <c r="Y594396" s="251"/>
      <c r="AB594396" s="251"/>
      <c r="AE594396" s="251"/>
      <c r="AH594396" s="251"/>
      <c r="AK594396" s="251"/>
    </row>
    <row r="594511" spans="25:37" x14ac:dyDescent="0.2">
      <c r="Y594511" s="5"/>
      <c r="AB594511" s="5"/>
      <c r="AE594511" s="5"/>
      <c r="AH594511" s="5"/>
      <c r="AK594511" s="5"/>
    </row>
    <row r="594521" spans="25:37" x14ac:dyDescent="0.2">
      <c r="Y594521" s="251"/>
      <c r="AB594521" s="251"/>
      <c r="AE594521" s="251"/>
      <c r="AH594521" s="251"/>
      <c r="AK594521" s="251"/>
    </row>
    <row r="594636" spans="25:37" x14ac:dyDescent="0.2">
      <c r="Y594636" s="5"/>
      <c r="AB594636" s="5"/>
      <c r="AE594636" s="5"/>
      <c r="AH594636" s="5"/>
      <c r="AK594636" s="5"/>
    </row>
    <row r="594646" spans="25:37" x14ac:dyDescent="0.2">
      <c r="Y594646" s="251"/>
      <c r="AB594646" s="251"/>
      <c r="AE594646" s="251"/>
      <c r="AH594646" s="251"/>
      <c r="AK594646" s="251"/>
    </row>
    <row r="594761" spans="25:37" x14ac:dyDescent="0.2">
      <c r="Y594761" s="5"/>
      <c r="AB594761" s="5"/>
      <c r="AE594761" s="5"/>
      <c r="AH594761" s="5"/>
      <c r="AK594761" s="5"/>
    </row>
    <row r="594771" spans="25:37" x14ac:dyDescent="0.2">
      <c r="Y594771" s="251"/>
      <c r="AB594771" s="251"/>
      <c r="AE594771" s="251"/>
      <c r="AH594771" s="251"/>
      <c r="AK594771" s="251"/>
    </row>
    <row r="594886" spans="25:37" x14ac:dyDescent="0.2">
      <c r="Y594886" s="5"/>
      <c r="AB594886" s="5"/>
      <c r="AE594886" s="5"/>
      <c r="AH594886" s="5"/>
      <c r="AK594886" s="5"/>
    </row>
    <row r="594896" spans="25:37" x14ac:dyDescent="0.2">
      <c r="Y594896" s="251"/>
      <c r="AB594896" s="251"/>
      <c r="AE594896" s="251"/>
      <c r="AH594896" s="251"/>
      <c r="AK594896" s="251"/>
    </row>
    <row r="595011" spans="25:37" x14ac:dyDescent="0.2">
      <c r="Y595011" s="5"/>
      <c r="AB595011" s="5"/>
      <c r="AE595011" s="5"/>
      <c r="AH595011" s="5"/>
      <c r="AK595011" s="5"/>
    </row>
    <row r="595021" spans="25:37" x14ac:dyDescent="0.2">
      <c r="Y595021" s="251"/>
      <c r="AB595021" s="251"/>
      <c r="AE595021" s="251"/>
      <c r="AH595021" s="251"/>
      <c r="AK595021" s="251"/>
    </row>
    <row r="595136" spans="25:37" x14ac:dyDescent="0.2">
      <c r="Y595136" s="5"/>
      <c r="AB595136" s="5"/>
      <c r="AE595136" s="5"/>
      <c r="AH595136" s="5"/>
      <c r="AK595136" s="5"/>
    </row>
    <row r="595146" spans="25:37" x14ac:dyDescent="0.2">
      <c r="Y595146" s="251"/>
      <c r="AB595146" s="251"/>
      <c r="AE595146" s="251"/>
      <c r="AH595146" s="251"/>
      <c r="AK595146" s="251"/>
    </row>
    <row r="595261" spans="25:37" x14ac:dyDescent="0.2">
      <c r="Y595261" s="5"/>
      <c r="AB595261" s="5"/>
      <c r="AE595261" s="5"/>
      <c r="AH595261" s="5"/>
      <c r="AK595261" s="5"/>
    </row>
    <row r="595271" spans="25:37" x14ac:dyDescent="0.2">
      <c r="Y595271" s="251"/>
      <c r="AB595271" s="251"/>
      <c r="AE595271" s="251"/>
      <c r="AH595271" s="251"/>
      <c r="AK595271" s="251"/>
    </row>
    <row r="595386" spans="25:37" x14ac:dyDescent="0.2">
      <c r="Y595386" s="5"/>
      <c r="AB595386" s="5"/>
      <c r="AE595386" s="5"/>
      <c r="AH595386" s="5"/>
      <c r="AK595386" s="5"/>
    </row>
    <row r="595396" spans="25:37" x14ac:dyDescent="0.2">
      <c r="Y595396" s="251"/>
      <c r="AB595396" s="251"/>
      <c r="AE595396" s="251"/>
      <c r="AH595396" s="251"/>
      <c r="AK595396" s="251"/>
    </row>
    <row r="595511" spans="25:37" x14ac:dyDescent="0.2">
      <c r="Y595511" s="5"/>
      <c r="AB595511" s="5"/>
      <c r="AE595511" s="5"/>
      <c r="AH595511" s="5"/>
      <c r="AK595511" s="5"/>
    </row>
    <row r="595521" spans="25:37" x14ac:dyDescent="0.2">
      <c r="Y595521" s="251"/>
      <c r="AB595521" s="251"/>
      <c r="AE595521" s="251"/>
      <c r="AH595521" s="251"/>
      <c r="AK595521" s="251"/>
    </row>
    <row r="595636" spans="25:37" x14ac:dyDescent="0.2">
      <c r="Y595636" s="5"/>
      <c r="AB595636" s="5"/>
      <c r="AE595636" s="5"/>
      <c r="AH595636" s="5"/>
      <c r="AK595636" s="5"/>
    </row>
    <row r="595646" spans="25:37" x14ac:dyDescent="0.2">
      <c r="Y595646" s="251"/>
      <c r="AB595646" s="251"/>
      <c r="AE595646" s="251"/>
      <c r="AH595646" s="251"/>
      <c r="AK595646" s="251"/>
    </row>
    <row r="595761" spans="25:37" x14ac:dyDescent="0.2">
      <c r="Y595761" s="5"/>
      <c r="AB595761" s="5"/>
      <c r="AE595761" s="5"/>
      <c r="AH595761" s="5"/>
      <c r="AK595761" s="5"/>
    </row>
    <row r="595771" spans="25:37" x14ac:dyDescent="0.2">
      <c r="Y595771" s="251"/>
      <c r="AB595771" s="251"/>
      <c r="AE595771" s="251"/>
      <c r="AH595771" s="251"/>
      <c r="AK595771" s="251"/>
    </row>
    <row r="595886" spans="25:37" x14ac:dyDescent="0.2">
      <c r="Y595886" s="5"/>
      <c r="AB595886" s="5"/>
      <c r="AE595886" s="5"/>
      <c r="AH595886" s="5"/>
      <c r="AK595886" s="5"/>
    </row>
    <row r="595896" spans="25:37" x14ac:dyDescent="0.2">
      <c r="Y595896" s="251"/>
      <c r="AB595896" s="251"/>
      <c r="AE595896" s="251"/>
      <c r="AH595896" s="251"/>
      <c r="AK595896" s="251"/>
    </row>
    <row r="596011" spans="25:37" x14ac:dyDescent="0.2">
      <c r="Y596011" s="5"/>
      <c r="AB596011" s="5"/>
      <c r="AE596011" s="5"/>
      <c r="AH596011" s="5"/>
      <c r="AK596011" s="5"/>
    </row>
    <row r="596021" spans="25:37" x14ac:dyDescent="0.2">
      <c r="Y596021" s="251"/>
      <c r="AB596021" s="251"/>
      <c r="AE596021" s="251"/>
      <c r="AH596021" s="251"/>
      <c r="AK596021" s="251"/>
    </row>
    <row r="596136" spans="25:37" x14ac:dyDescent="0.2">
      <c r="Y596136" s="5"/>
      <c r="AB596136" s="5"/>
      <c r="AE596136" s="5"/>
      <c r="AH596136" s="5"/>
      <c r="AK596136" s="5"/>
    </row>
    <row r="596146" spans="25:37" x14ac:dyDescent="0.2">
      <c r="Y596146" s="251"/>
      <c r="AB596146" s="251"/>
      <c r="AE596146" s="251"/>
      <c r="AH596146" s="251"/>
      <c r="AK596146" s="251"/>
    </row>
    <row r="596261" spans="25:37" x14ac:dyDescent="0.2">
      <c r="Y596261" s="5"/>
      <c r="AB596261" s="5"/>
      <c r="AE596261" s="5"/>
      <c r="AH596261" s="5"/>
      <c r="AK596261" s="5"/>
    </row>
    <row r="596271" spans="25:37" x14ac:dyDescent="0.2">
      <c r="Y596271" s="251"/>
      <c r="AB596271" s="251"/>
      <c r="AE596271" s="251"/>
      <c r="AH596271" s="251"/>
      <c r="AK596271" s="251"/>
    </row>
    <row r="596386" spans="25:37" x14ac:dyDescent="0.2">
      <c r="Y596386" s="5"/>
      <c r="AB596386" s="5"/>
      <c r="AE596386" s="5"/>
      <c r="AH596386" s="5"/>
      <c r="AK596386" s="5"/>
    </row>
    <row r="596396" spans="25:37" x14ac:dyDescent="0.2">
      <c r="Y596396" s="251"/>
      <c r="AB596396" s="251"/>
      <c r="AE596396" s="251"/>
      <c r="AH596396" s="251"/>
      <c r="AK596396" s="251"/>
    </row>
    <row r="596511" spans="25:37" x14ac:dyDescent="0.2">
      <c r="Y596511" s="5"/>
      <c r="AB596511" s="5"/>
      <c r="AE596511" s="5"/>
      <c r="AH596511" s="5"/>
      <c r="AK596511" s="5"/>
    </row>
    <row r="596521" spans="25:37" x14ac:dyDescent="0.2">
      <c r="Y596521" s="251"/>
      <c r="AB596521" s="251"/>
      <c r="AE596521" s="251"/>
      <c r="AH596521" s="251"/>
      <c r="AK596521" s="251"/>
    </row>
    <row r="596636" spans="25:37" x14ac:dyDescent="0.2">
      <c r="Y596636" s="5"/>
      <c r="AB596636" s="5"/>
      <c r="AE596636" s="5"/>
      <c r="AH596636" s="5"/>
      <c r="AK596636" s="5"/>
    </row>
    <row r="596646" spans="25:37" x14ac:dyDescent="0.2">
      <c r="Y596646" s="251"/>
      <c r="AB596646" s="251"/>
      <c r="AE596646" s="251"/>
      <c r="AH596646" s="251"/>
      <c r="AK596646" s="251"/>
    </row>
    <row r="596761" spans="25:37" x14ac:dyDescent="0.2">
      <c r="Y596761" s="5"/>
      <c r="AB596761" s="5"/>
      <c r="AE596761" s="5"/>
      <c r="AH596761" s="5"/>
      <c r="AK596761" s="5"/>
    </row>
    <row r="596771" spans="25:37" x14ac:dyDescent="0.2">
      <c r="Y596771" s="251"/>
      <c r="AB596771" s="251"/>
      <c r="AE596771" s="251"/>
      <c r="AH596771" s="251"/>
      <c r="AK596771" s="251"/>
    </row>
    <row r="596886" spans="25:37" x14ac:dyDescent="0.2">
      <c r="Y596886" s="5"/>
      <c r="AB596886" s="5"/>
      <c r="AE596886" s="5"/>
      <c r="AH596886" s="5"/>
      <c r="AK596886" s="5"/>
    </row>
    <row r="596896" spans="25:37" x14ac:dyDescent="0.2">
      <c r="Y596896" s="251"/>
      <c r="AB596896" s="251"/>
      <c r="AE596896" s="251"/>
      <c r="AH596896" s="251"/>
      <c r="AK596896" s="251"/>
    </row>
    <row r="597011" spans="25:37" x14ac:dyDescent="0.2">
      <c r="Y597011" s="5"/>
      <c r="AB597011" s="5"/>
      <c r="AE597011" s="5"/>
      <c r="AH597011" s="5"/>
      <c r="AK597011" s="5"/>
    </row>
    <row r="597021" spans="25:37" x14ac:dyDescent="0.2">
      <c r="Y597021" s="251"/>
      <c r="AB597021" s="251"/>
      <c r="AE597021" s="251"/>
      <c r="AH597021" s="251"/>
      <c r="AK597021" s="251"/>
    </row>
    <row r="597136" spans="25:37" x14ac:dyDescent="0.2">
      <c r="Y597136" s="5"/>
      <c r="AB597136" s="5"/>
      <c r="AE597136" s="5"/>
      <c r="AH597136" s="5"/>
      <c r="AK597136" s="5"/>
    </row>
    <row r="597146" spans="25:37" x14ac:dyDescent="0.2">
      <c r="Y597146" s="251"/>
      <c r="AB597146" s="251"/>
      <c r="AE597146" s="251"/>
      <c r="AH597146" s="251"/>
      <c r="AK597146" s="251"/>
    </row>
    <row r="597261" spans="25:37" x14ac:dyDescent="0.2">
      <c r="Y597261" s="5"/>
      <c r="AB597261" s="5"/>
      <c r="AE597261" s="5"/>
      <c r="AH597261" s="5"/>
      <c r="AK597261" s="5"/>
    </row>
    <row r="597271" spans="25:37" x14ac:dyDescent="0.2">
      <c r="Y597271" s="251"/>
      <c r="AB597271" s="251"/>
      <c r="AE597271" s="251"/>
      <c r="AH597271" s="251"/>
      <c r="AK597271" s="251"/>
    </row>
    <row r="597386" spans="25:37" x14ac:dyDescent="0.2">
      <c r="Y597386" s="5"/>
      <c r="AB597386" s="5"/>
      <c r="AE597386" s="5"/>
      <c r="AH597386" s="5"/>
      <c r="AK597386" s="5"/>
    </row>
    <row r="597396" spans="25:37" x14ac:dyDescent="0.2">
      <c r="Y597396" s="251"/>
      <c r="AB597396" s="251"/>
      <c r="AE597396" s="251"/>
      <c r="AH597396" s="251"/>
      <c r="AK597396" s="251"/>
    </row>
    <row r="597511" spans="25:37" x14ac:dyDescent="0.2">
      <c r="Y597511" s="5"/>
      <c r="AB597511" s="5"/>
      <c r="AE597511" s="5"/>
      <c r="AH597511" s="5"/>
      <c r="AK597511" s="5"/>
    </row>
    <row r="597521" spans="25:37" x14ac:dyDescent="0.2">
      <c r="Y597521" s="251"/>
      <c r="AB597521" s="251"/>
      <c r="AE597521" s="251"/>
      <c r="AH597521" s="251"/>
      <c r="AK597521" s="251"/>
    </row>
    <row r="597636" spans="25:37" x14ac:dyDescent="0.2">
      <c r="Y597636" s="5"/>
      <c r="AB597636" s="5"/>
      <c r="AE597636" s="5"/>
      <c r="AH597636" s="5"/>
      <c r="AK597636" s="5"/>
    </row>
    <row r="597646" spans="25:37" x14ac:dyDescent="0.2">
      <c r="Y597646" s="251"/>
      <c r="AB597646" s="251"/>
      <c r="AE597646" s="251"/>
      <c r="AH597646" s="251"/>
      <c r="AK597646" s="251"/>
    </row>
    <row r="597761" spans="25:37" x14ac:dyDescent="0.2">
      <c r="Y597761" s="5"/>
      <c r="AB597761" s="5"/>
      <c r="AE597761" s="5"/>
      <c r="AH597761" s="5"/>
      <c r="AK597761" s="5"/>
    </row>
    <row r="597771" spans="25:37" x14ac:dyDescent="0.2">
      <c r="Y597771" s="251"/>
      <c r="AB597771" s="251"/>
      <c r="AE597771" s="251"/>
      <c r="AH597771" s="251"/>
      <c r="AK597771" s="251"/>
    </row>
    <row r="597886" spans="25:37" x14ac:dyDescent="0.2">
      <c r="Y597886" s="5"/>
      <c r="AB597886" s="5"/>
      <c r="AE597886" s="5"/>
      <c r="AH597886" s="5"/>
      <c r="AK597886" s="5"/>
    </row>
    <row r="597896" spans="25:37" x14ac:dyDescent="0.2">
      <c r="Y597896" s="251"/>
      <c r="AB597896" s="251"/>
      <c r="AE597896" s="251"/>
      <c r="AH597896" s="251"/>
      <c r="AK597896" s="251"/>
    </row>
    <row r="598011" spans="25:37" x14ac:dyDescent="0.2">
      <c r="Y598011" s="5"/>
      <c r="AB598011" s="5"/>
      <c r="AE598011" s="5"/>
      <c r="AH598011" s="5"/>
      <c r="AK598011" s="5"/>
    </row>
    <row r="598021" spans="25:37" x14ac:dyDescent="0.2">
      <c r="Y598021" s="251"/>
      <c r="AB598021" s="251"/>
      <c r="AE598021" s="251"/>
      <c r="AH598021" s="251"/>
      <c r="AK598021" s="251"/>
    </row>
    <row r="598136" spans="25:37" x14ac:dyDescent="0.2">
      <c r="Y598136" s="5"/>
      <c r="AB598136" s="5"/>
      <c r="AE598136" s="5"/>
      <c r="AH598136" s="5"/>
      <c r="AK598136" s="5"/>
    </row>
    <row r="598146" spans="25:37" x14ac:dyDescent="0.2">
      <c r="Y598146" s="251"/>
      <c r="AB598146" s="251"/>
      <c r="AE598146" s="251"/>
      <c r="AH598146" s="251"/>
      <c r="AK598146" s="251"/>
    </row>
    <row r="598261" spans="25:37" x14ac:dyDescent="0.2">
      <c r="Y598261" s="5"/>
      <c r="AB598261" s="5"/>
      <c r="AE598261" s="5"/>
      <c r="AH598261" s="5"/>
      <c r="AK598261" s="5"/>
    </row>
    <row r="598271" spans="25:37" x14ac:dyDescent="0.2">
      <c r="Y598271" s="251"/>
      <c r="AB598271" s="251"/>
      <c r="AE598271" s="251"/>
      <c r="AH598271" s="251"/>
      <c r="AK598271" s="251"/>
    </row>
    <row r="598386" spans="25:37" x14ac:dyDescent="0.2">
      <c r="Y598386" s="5"/>
      <c r="AB598386" s="5"/>
      <c r="AE598386" s="5"/>
      <c r="AH598386" s="5"/>
      <c r="AK598386" s="5"/>
    </row>
    <row r="598396" spans="25:37" x14ac:dyDescent="0.2">
      <c r="Y598396" s="251"/>
      <c r="AB598396" s="251"/>
      <c r="AE598396" s="251"/>
      <c r="AH598396" s="251"/>
      <c r="AK598396" s="251"/>
    </row>
    <row r="598511" spans="25:37" x14ac:dyDescent="0.2">
      <c r="Y598511" s="5"/>
      <c r="AB598511" s="5"/>
      <c r="AE598511" s="5"/>
      <c r="AH598511" s="5"/>
      <c r="AK598511" s="5"/>
    </row>
    <row r="598521" spans="25:37" x14ac:dyDescent="0.2">
      <c r="Y598521" s="251"/>
      <c r="AB598521" s="251"/>
      <c r="AE598521" s="251"/>
      <c r="AH598521" s="251"/>
      <c r="AK598521" s="251"/>
    </row>
    <row r="598636" spans="25:37" x14ac:dyDescent="0.2">
      <c r="Y598636" s="5"/>
      <c r="AB598636" s="5"/>
      <c r="AE598636" s="5"/>
      <c r="AH598636" s="5"/>
      <c r="AK598636" s="5"/>
    </row>
    <row r="598646" spans="25:37" x14ac:dyDescent="0.2">
      <c r="Y598646" s="251"/>
      <c r="AB598646" s="251"/>
      <c r="AE598646" s="251"/>
      <c r="AH598646" s="251"/>
      <c r="AK598646" s="251"/>
    </row>
    <row r="598761" spans="25:37" x14ac:dyDescent="0.2">
      <c r="Y598761" s="5"/>
      <c r="AB598761" s="5"/>
      <c r="AE598761" s="5"/>
      <c r="AH598761" s="5"/>
      <c r="AK598761" s="5"/>
    </row>
    <row r="598771" spans="25:37" x14ac:dyDescent="0.2">
      <c r="Y598771" s="251"/>
      <c r="AB598771" s="251"/>
      <c r="AE598771" s="251"/>
      <c r="AH598771" s="251"/>
      <c r="AK598771" s="251"/>
    </row>
    <row r="598886" spans="25:37" x14ac:dyDescent="0.2">
      <c r="Y598886" s="5"/>
      <c r="AB598886" s="5"/>
      <c r="AE598886" s="5"/>
      <c r="AH598886" s="5"/>
      <c r="AK598886" s="5"/>
    </row>
    <row r="598896" spans="25:37" x14ac:dyDescent="0.2">
      <c r="Y598896" s="251"/>
      <c r="AB598896" s="251"/>
      <c r="AE598896" s="251"/>
      <c r="AH598896" s="251"/>
      <c r="AK598896" s="251"/>
    </row>
    <row r="599011" spans="25:37" x14ac:dyDescent="0.2">
      <c r="Y599011" s="5"/>
      <c r="AB599011" s="5"/>
      <c r="AE599011" s="5"/>
      <c r="AH599011" s="5"/>
      <c r="AK599011" s="5"/>
    </row>
    <row r="599021" spans="25:37" x14ac:dyDescent="0.2">
      <c r="Y599021" s="251"/>
      <c r="AB599021" s="251"/>
      <c r="AE599021" s="251"/>
      <c r="AH599021" s="251"/>
      <c r="AK599021" s="251"/>
    </row>
    <row r="599136" spans="25:37" x14ac:dyDescent="0.2">
      <c r="Y599136" s="5"/>
      <c r="AB599136" s="5"/>
      <c r="AE599136" s="5"/>
      <c r="AH599136" s="5"/>
      <c r="AK599136" s="5"/>
    </row>
    <row r="599146" spans="25:37" x14ac:dyDescent="0.2">
      <c r="Y599146" s="251"/>
      <c r="AB599146" s="251"/>
      <c r="AE599146" s="251"/>
      <c r="AH599146" s="251"/>
      <c r="AK599146" s="251"/>
    </row>
    <row r="599261" spans="25:37" x14ac:dyDescent="0.2">
      <c r="Y599261" s="5"/>
      <c r="AB599261" s="5"/>
      <c r="AE599261" s="5"/>
      <c r="AH599261" s="5"/>
      <c r="AK599261" s="5"/>
    </row>
    <row r="599271" spans="25:37" x14ac:dyDescent="0.2">
      <c r="Y599271" s="251"/>
      <c r="AB599271" s="251"/>
      <c r="AE599271" s="251"/>
      <c r="AH599271" s="251"/>
      <c r="AK599271" s="251"/>
    </row>
    <row r="599386" spans="25:37" x14ac:dyDescent="0.2">
      <c r="Y599386" s="5"/>
      <c r="AB599386" s="5"/>
      <c r="AE599386" s="5"/>
      <c r="AH599386" s="5"/>
      <c r="AK599386" s="5"/>
    </row>
    <row r="599396" spans="25:37" x14ac:dyDescent="0.2">
      <c r="Y599396" s="251"/>
      <c r="AB599396" s="251"/>
      <c r="AE599396" s="251"/>
      <c r="AH599396" s="251"/>
      <c r="AK599396" s="251"/>
    </row>
    <row r="599511" spans="25:37" x14ac:dyDescent="0.2">
      <c r="Y599511" s="5"/>
      <c r="AB599511" s="5"/>
      <c r="AE599511" s="5"/>
      <c r="AH599511" s="5"/>
      <c r="AK599511" s="5"/>
    </row>
    <row r="599521" spans="25:37" x14ac:dyDescent="0.2">
      <c r="Y599521" s="251"/>
      <c r="AB599521" s="251"/>
      <c r="AE599521" s="251"/>
      <c r="AH599521" s="251"/>
      <c r="AK599521" s="251"/>
    </row>
    <row r="599636" spans="25:37" x14ac:dyDescent="0.2">
      <c r="Y599636" s="5"/>
      <c r="AB599636" s="5"/>
      <c r="AE599636" s="5"/>
      <c r="AH599636" s="5"/>
      <c r="AK599636" s="5"/>
    </row>
    <row r="599646" spans="25:37" x14ac:dyDescent="0.2">
      <c r="Y599646" s="251"/>
      <c r="AB599646" s="251"/>
      <c r="AE599646" s="251"/>
      <c r="AH599646" s="251"/>
      <c r="AK599646" s="251"/>
    </row>
    <row r="599761" spans="25:37" x14ac:dyDescent="0.2">
      <c r="Y599761" s="5"/>
      <c r="AB599761" s="5"/>
      <c r="AE599761" s="5"/>
      <c r="AH599761" s="5"/>
      <c r="AK599761" s="5"/>
    </row>
    <row r="599771" spans="25:37" x14ac:dyDescent="0.2">
      <c r="Y599771" s="251"/>
      <c r="AB599771" s="251"/>
      <c r="AE599771" s="251"/>
      <c r="AH599771" s="251"/>
      <c r="AK599771" s="251"/>
    </row>
    <row r="599886" spans="25:37" x14ac:dyDescent="0.2">
      <c r="Y599886" s="5"/>
      <c r="AB599886" s="5"/>
      <c r="AE599886" s="5"/>
      <c r="AH599886" s="5"/>
      <c r="AK599886" s="5"/>
    </row>
    <row r="599896" spans="25:37" x14ac:dyDescent="0.2">
      <c r="Y599896" s="251"/>
      <c r="AB599896" s="251"/>
      <c r="AE599896" s="251"/>
      <c r="AH599896" s="251"/>
      <c r="AK599896" s="251"/>
    </row>
    <row r="600011" spans="25:37" x14ac:dyDescent="0.2">
      <c r="Y600011" s="5"/>
      <c r="AB600011" s="5"/>
      <c r="AE600011" s="5"/>
      <c r="AH600011" s="5"/>
      <c r="AK600011" s="5"/>
    </row>
    <row r="600021" spans="25:37" x14ac:dyDescent="0.2">
      <c r="Y600021" s="251"/>
      <c r="AB600021" s="251"/>
      <c r="AE600021" s="251"/>
      <c r="AH600021" s="251"/>
      <c r="AK600021" s="251"/>
    </row>
    <row r="600136" spans="25:37" x14ac:dyDescent="0.2">
      <c r="Y600136" s="5"/>
      <c r="AB600136" s="5"/>
      <c r="AE600136" s="5"/>
      <c r="AH600136" s="5"/>
      <c r="AK600136" s="5"/>
    </row>
    <row r="600146" spans="25:37" x14ac:dyDescent="0.2">
      <c r="Y600146" s="251"/>
      <c r="AB600146" s="251"/>
      <c r="AE600146" s="251"/>
      <c r="AH600146" s="251"/>
      <c r="AK600146" s="251"/>
    </row>
    <row r="600261" spans="25:37" x14ac:dyDescent="0.2">
      <c r="Y600261" s="5"/>
      <c r="AB600261" s="5"/>
      <c r="AE600261" s="5"/>
      <c r="AH600261" s="5"/>
      <c r="AK600261" s="5"/>
    </row>
    <row r="600271" spans="25:37" x14ac:dyDescent="0.2">
      <c r="Y600271" s="251"/>
      <c r="AB600271" s="251"/>
      <c r="AE600271" s="251"/>
      <c r="AH600271" s="251"/>
      <c r="AK600271" s="251"/>
    </row>
    <row r="600386" spans="25:37" x14ac:dyDescent="0.2">
      <c r="Y600386" s="5"/>
      <c r="AB600386" s="5"/>
      <c r="AE600386" s="5"/>
      <c r="AH600386" s="5"/>
      <c r="AK600386" s="5"/>
    </row>
    <row r="600396" spans="25:37" x14ac:dyDescent="0.2">
      <c r="Y600396" s="251"/>
      <c r="AB600396" s="251"/>
      <c r="AE600396" s="251"/>
      <c r="AH600396" s="251"/>
      <c r="AK600396" s="251"/>
    </row>
    <row r="600511" spans="25:37" x14ac:dyDescent="0.2">
      <c r="Y600511" s="5"/>
      <c r="AB600511" s="5"/>
      <c r="AE600511" s="5"/>
      <c r="AH600511" s="5"/>
      <c r="AK600511" s="5"/>
    </row>
    <row r="600521" spans="25:37" x14ac:dyDescent="0.2">
      <c r="Y600521" s="251"/>
      <c r="AB600521" s="251"/>
      <c r="AE600521" s="251"/>
      <c r="AH600521" s="251"/>
      <c r="AK600521" s="251"/>
    </row>
    <row r="600636" spans="25:37" x14ac:dyDescent="0.2">
      <c r="Y600636" s="5"/>
      <c r="AB600636" s="5"/>
      <c r="AE600636" s="5"/>
      <c r="AH600636" s="5"/>
      <c r="AK600636" s="5"/>
    </row>
    <row r="600646" spans="25:37" x14ac:dyDescent="0.2">
      <c r="Y600646" s="251"/>
      <c r="AB600646" s="251"/>
      <c r="AE600646" s="251"/>
      <c r="AH600646" s="251"/>
      <c r="AK600646" s="251"/>
    </row>
    <row r="600761" spans="25:37" x14ac:dyDescent="0.2">
      <c r="Y600761" s="5"/>
      <c r="AB600761" s="5"/>
      <c r="AE600761" s="5"/>
      <c r="AH600761" s="5"/>
      <c r="AK600761" s="5"/>
    </row>
    <row r="600771" spans="25:37" x14ac:dyDescent="0.2">
      <c r="Y600771" s="251"/>
      <c r="AB600771" s="251"/>
      <c r="AE600771" s="251"/>
      <c r="AH600771" s="251"/>
      <c r="AK600771" s="251"/>
    </row>
    <row r="600886" spans="25:37" x14ac:dyDescent="0.2">
      <c r="Y600886" s="5"/>
      <c r="AB600886" s="5"/>
      <c r="AE600886" s="5"/>
      <c r="AH600886" s="5"/>
      <c r="AK600886" s="5"/>
    </row>
    <row r="600896" spans="25:37" x14ac:dyDescent="0.2">
      <c r="Y600896" s="251"/>
      <c r="AB600896" s="251"/>
      <c r="AE600896" s="251"/>
      <c r="AH600896" s="251"/>
      <c r="AK600896" s="251"/>
    </row>
    <row r="601011" spans="25:37" x14ac:dyDescent="0.2">
      <c r="Y601011" s="5"/>
      <c r="AB601011" s="5"/>
      <c r="AE601011" s="5"/>
      <c r="AH601011" s="5"/>
      <c r="AK601011" s="5"/>
    </row>
    <row r="601021" spans="25:37" x14ac:dyDescent="0.2">
      <c r="Y601021" s="251"/>
      <c r="AB601021" s="251"/>
      <c r="AE601021" s="251"/>
      <c r="AH601021" s="251"/>
      <c r="AK601021" s="251"/>
    </row>
    <row r="601136" spans="25:37" x14ac:dyDescent="0.2">
      <c r="Y601136" s="5"/>
      <c r="AB601136" s="5"/>
      <c r="AE601136" s="5"/>
      <c r="AH601136" s="5"/>
      <c r="AK601136" s="5"/>
    </row>
    <row r="601146" spans="25:37" x14ac:dyDescent="0.2">
      <c r="Y601146" s="251"/>
      <c r="AB601146" s="251"/>
      <c r="AE601146" s="251"/>
      <c r="AH601146" s="251"/>
      <c r="AK601146" s="251"/>
    </row>
    <row r="601261" spans="25:37" x14ac:dyDescent="0.2">
      <c r="Y601261" s="5"/>
      <c r="AB601261" s="5"/>
      <c r="AE601261" s="5"/>
      <c r="AH601261" s="5"/>
      <c r="AK601261" s="5"/>
    </row>
    <row r="601271" spans="25:37" x14ac:dyDescent="0.2">
      <c r="Y601271" s="251"/>
      <c r="AB601271" s="251"/>
      <c r="AE601271" s="251"/>
      <c r="AH601271" s="251"/>
      <c r="AK601271" s="251"/>
    </row>
    <row r="601386" spans="25:37" x14ac:dyDescent="0.2">
      <c r="Y601386" s="5"/>
      <c r="AB601386" s="5"/>
      <c r="AE601386" s="5"/>
      <c r="AH601386" s="5"/>
      <c r="AK601386" s="5"/>
    </row>
    <row r="601396" spans="25:37" x14ac:dyDescent="0.2">
      <c r="Y601396" s="251"/>
      <c r="AB601396" s="251"/>
      <c r="AE601396" s="251"/>
      <c r="AH601396" s="251"/>
      <c r="AK601396" s="251"/>
    </row>
    <row r="601511" spans="25:37" x14ac:dyDescent="0.2">
      <c r="Y601511" s="5"/>
      <c r="AB601511" s="5"/>
      <c r="AE601511" s="5"/>
      <c r="AH601511" s="5"/>
      <c r="AK601511" s="5"/>
    </row>
    <row r="601521" spans="25:37" x14ac:dyDescent="0.2">
      <c r="Y601521" s="251"/>
      <c r="AB601521" s="251"/>
      <c r="AE601521" s="251"/>
      <c r="AH601521" s="251"/>
      <c r="AK601521" s="251"/>
    </row>
    <row r="601636" spans="25:37" x14ac:dyDescent="0.2">
      <c r="Y601636" s="5"/>
      <c r="AB601636" s="5"/>
      <c r="AE601636" s="5"/>
      <c r="AH601636" s="5"/>
      <c r="AK601636" s="5"/>
    </row>
    <row r="601646" spans="25:37" x14ac:dyDescent="0.2">
      <c r="Y601646" s="251"/>
      <c r="AB601646" s="251"/>
      <c r="AE601646" s="251"/>
      <c r="AH601646" s="251"/>
      <c r="AK601646" s="251"/>
    </row>
    <row r="601761" spans="25:37" x14ac:dyDescent="0.2">
      <c r="Y601761" s="5"/>
      <c r="AB601761" s="5"/>
      <c r="AE601761" s="5"/>
      <c r="AH601761" s="5"/>
      <c r="AK601761" s="5"/>
    </row>
    <row r="601771" spans="25:37" x14ac:dyDescent="0.2">
      <c r="Y601771" s="251"/>
      <c r="AB601771" s="251"/>
      <c r="AE601771" s="251"/>
      <c r="AH601771" s="251"/>
      <c r="AK601771" s="251"/>
    </row>
    <row r="601886" spans="25:37" x14ac:dyDescent="0.2">
      <c r="Y601886" s="5"/>
      <c r="AB601886" s="5"/>
      <c r="AE601886" s="5"/>
      <c r="AH601886" s="5"/>
      <c r="AK601886" s="5"/>
    </row>
    <row r="601896" spans="25:37" x14ac:dyDescent="0.2">
      <c r="Y601896" s="251"/>
      <c r="AB601896" s="251"/>
      <c r="AE601896" s="251"/>
      <c r="AH601896" s="251"/>
      <c r="AK601896" s="251"/>
    </row>
    <row r="602011" spans="25:37" x14ac:dyDescent="0.2">
      <c r="Y602011" s="5"/>
      <c r="AB602011" s="5"/>
      <c r="AE602011" s="5"/>
      <c r="AH602011" s="5"/>
      <c r="AK602011" s="5"/>
    </row>
    <row r="602021" spans="25:37" x14ac:dyDescent="0.2">
      <c r="Y602021" s="251"/>
      <c r="AB602021" s="251"/>
      <c r="AE602021" s="251"/>
      <c r="AH602021" s="251"/>
      <c r="AK602021" s="251"/>
    </row>
    <row r="602136" spans="25:37" x14ac:dyDescent="0.2">
      <c r="Y602136" s="5"/>
      <c r="AB602136" s="5"/>
      <c r="AE602136" s="5"/>
      <c r="AH602136" s="5"/>
      <c r="AK602136" s="5"/>
    </row>
    <row r="602146" spans="25:37" x14ac:dyDescent="0.2">
      <c r="Y602146" s="251"/>
      <c r="AB602146" s="251"/>
      <c r="AE602146" s="251"/>
      <c r="AH602146" s="251"/>
      <c r="AK602146" s="251"/>
    </row>
    <row r="602261" spans="25:37" x14ac:dyDescent="0.2">
      <c r="Y602261" s="5"/>
      <c r="AB602261" s="5"/>
      <c r="AE602261" s="5"/>
      <c r="AH602261" s="5"/>
      <c r="AK602261" s="5"/>
    </row>
    <row r="602271" spans="25:37" x14ac:dyDescent="0.2">
      <c r="Y602271" s="251"/>
      <c r="AB602271" s="251"/>
      <c r="AE602271" s="251"/>
      <c r="AH602271" s="251"/>
      <c r="AK602271" s="251"/>
    </row>
    <row r="602386" spans="25:37" x14ac:dyDescent="0.2">
      <c r="Y602386" s="5"/>
      <c r="AB602386" s="5"/>
      <c r="AE602386" s="5"/>
      <c r="AH602386" s="5"/>
      <c r="AK602386" s="5"/>
    </row>
    <row r="602396" spans="25:37" x14ac:dyDescent="0.2">
      <c r="Y602396" s="251"/>
      <c r="AB602396" s="251"/>
      <c r="AE602396" s="251"/>
      <c r="AH602396" s="251"/>
      <c r="AK602396" s="251"/>
    </row>
    <row r="602511" spans="25:37" x14ac:dyDescent="0.2">
      <c r="Y602511" s="5"/>
      <c r="AB602511" s="5"/>
      <c r="AE602511" s="5"/>
      <c r="AH602511" s="5"/>
      <c r="AK602511" s="5"/>
    </row>
    <row r="602521" spans="25:37" x14ac:dyDescent="0.2">
      <c r="Y602521" s="251"/>
      <c r="AB602521" s="251"/>
      <c r="AE602521" s="251"/>
      <c r="AH602521" s="251"/>
      <c r="AK602521" s="251"/>
    </row>
    <row r="602636" spans="25:37" x14ac:dyDescent="0.2">
      <c r="Y602636" s="5"/>
      <c r="AB602636" s="5"/>
      <c r="AE602636" s="5"/>
      <c r="AH602636" s="5"/>
      <c r="AK602636" s="5"/>
    </row>
    <row r="602646" spans="25:37" x14ac:dyDescent="0.2">
      <c r="Y602646" s="251"/>
      <c r="AB602646" s="251"/>
      <c r="AE602646" s="251"/>
      <c r="AH602646" s="251"/>
      <c r="AK602646" s="251"/>
    </row>
    <row r="602761" spans="25:37" x14ac:dyDescent="0.2">
      <c r="Y602761" s="5"/>
      <c r="AB602761" s="5"/>
      <c r="AE602761" s="5"/>
      <c r="AH602761" s="5"/>
      <c r="AK602761" s="5"/>
    </row>
    <row r="602771" spans="25:37" x14ac:dyDescent="0.2">
      <c r="Y602771" s="251"/>
      <c r="AB602771" s="251"/>
      <c r="AE602771" s="251"/>
      <c r="AH602771" s="251"/>
      <c r="AK602771" s="251"/>
    </row>
    <row r="602886" spans="25:37" x14ac:dyDescent="0.2">
      <c r="Y602886" s="5"/>
      <c r="AB602886" s="5"/>
      <c r="AE602886" s="5"/>
      <c r="AH602886" s="5"/>
      <c r="AK602886" s="5"/>
    </row>
    <row r="602896" spans="25:37" x14ac:dyDescent="0.2">
      <c r="Y602896" s="251"/>
      <c r="AB602896" s="251"/>
      <c r="AE602896" s="251"/>
      <c r="AH602896" s="251"/>
      <c r="AK602896" s="251"/>
    </row>
    <row r="603011" spans="25:37" x14ac:dyDescent="0.2">
      <c r="Y603011" s="5"/>
      <c r="AB603011" s="5"/>
      <c r="AE603011" s="5"/>
      <c r="AH603011" s="5"/>
      <c r="AK603011" s="5"/>
    </row>
    <row r="603021" spans="25:37" x14ac:dyDescent="0.2">
      <c r="Y603021" s="251"/>
      <c r="AB603021" s="251"/>
      <c r="AE603021" s="251"/>
      <c r="AH603021" s="251"/>
      <c r="AK603021" s="251"/>
    </row>
    <row r="603136" spans="25:37" x14ac:dyDescent="0.2">
      <c r="Y603136" s="5"/>
      <c r="AB603136" s="5"/>
      <c r="AE603136" s="5"/>
      <c r="AH603136" s="5"/>
      <c r="AK603136" s="5"/>
    </row>
    <row r="603146" spans="25:37" x14ac:dyDescent="0.2">
      <c r="Y603146" s="251"/>
      <c r="AB603146" s="251"/>
      <c r="AE603146" s="251"/>
      <c r="AH603146" s="251"/>
      <c r="AK603146" s="251"/>
    </row>
    <row r="603261" spans="25:37" x14ac:dyDescent="0.2">
      <c r="Y603261" s="5"/>
      <c r="AB603261" s="5"/>
      <c r="AE603261" s="5"/>
      <c r="AH603261" s="5"/>
      <c r="AK603261" s="5"/>
    </row>
    <row r="603271" spans="25:37" x14ac:dyDescent="0.2">
      <c r="Y603271" s="251"/>
      <c r="AB603271" s="251"/>
      <c r="AE603271" s="251"/>
      <c r="AH603271" s="251"/>
      <c r="AK603271" s="251"/>
    </row>
    <row r="603386" spans="25:37" x14ac:dyDescent="0.2">
      <c r="Y603386" s="5"/>
      <c r="AB603386" s="5"/>
      <c r="AE603386" s="5"/>
      <c r="AH603386" s="5"/>
      <c r="AK603386" s="5"/>
    </row>
    <row r="603396" spans="25:37" x14ac:dyDescent="0.2">
      <c r="Y603396" s="251"/>
      <c r="AB603396" s="251"/>
      <c r="AE603396" s="251"/>
      <c r="AH603396" s="251"/>
      <c r="AK603396" s="251"/>
    </row>
    <row r="603511" spans="25:37" x14ac:dyDescent="0.2">
      <c r="Y603511" s="5"/>
      <c r="AB603511" s="5"/>
      <c r="AE603511" s="5"/>
      <c r="AH603511" s="5"/>
      <c r="AK603511" s="5"/>
    </row>
    <row r="603521" spans="25:37" x14ac:dyDescent="0.2">
      <c r="Y603521" s="251"/>
      <c r="AB603521" s="251"/>
      <c r="AE603521" s="251"/>
      <c r="AH603521" s="251"/>
      <c r="AK603521" s="251"/>
    </row>
    <row r="603636" spans="25:37" x14ac:dyDescent="0.2">
      <c r="Y603636" s="5"/>
      <c r="AB603636" s="5"/>
      <c r="AE603636" s="5"/>
      <c r="AH603636" s="5"/>
      <c r="AK603636" s="5"/>
    </row>
    <row r="603646" spans="25:37" x14ac:dyDescent="0.2">
      <c r="Y603646" s="251"/>
      <c r="AB603646" s="251"/>
      <c r="AE603646" s="251"/>
      <c r="AH603646" s="251"/>
      <c r="AK603646" s="251"/>
    </row>
    <row r="603761" spans="25:37" x14ac:dyDescent="0.2">
      <c r="Y603761" s="5"/>
      <c r="AB603761" s="5"/>
      <c r="AE603761" s="5"/>
      <c r="AH603761" s="5"/>
      <c r="AK603761" s="5"/>
    </row>
    <row r="603771" spans="25:37" x14ac:dyDescent="0.2">
      <c r="Y603771" s="251"/>
      <c r="AB603771" s="251"/>
      <c r="AE603771" s="251"/>
      <c r="AH603771" s="251"/>
      <c r="AK603771" s="251"/>
    </row>
    <row r="603886" spans="25:37" x14ac:dyDescent="0.2">
      <c r="Y603886" s="5"/>
      <c r="AB603886" s="5"/>
      <c r="AE603886" s="5"/>
      <c r="AH603886" s="5"/>
      <c r="AK603886" s="5"/>
    </row>
    <row r="603896" spans="25:37" x14ac:dyDescent="0.2">
      <c r="Y603896" s="251"/>
      <c r="AB603896" s="251"/>
      <c r="AE603896" s="251"/>
      <c r="AH603896" s="251"/>
      <c r="AK603896" s="251"/>
    </row>
    <row r="604011" spans="25:37" x14ac:dyDescent="0.2">
      <c r="Y604011" s="5"/>
      <c r="AB604011" s="5"/>
      <c r="AE604011" s="5"/>
      <c r="AH604011" s="5"/>
      <c r="AK604011" s="5"/>
    </row>
    <row r="604021" spans="25:37" x14ac:dyDescent="0.2">
      <c r="Y604021" s="251"/>
      <c r="AB604021" s="251"/>
      <c r="AE604021" s="251"/>
      <c r="AH604021" s="251"/>
      <c r="AK604021" s="251"/>
    </row>
    <row r="604136" spans="25:37" x14ac:dyDescent="0.2">
      <c r="Y604136" s="5"/>
      <c r="AB604136" s="5"/>
      <c r="AE604136" s="5"/>
      <c r="AH604136" s="5"/>
      <c r="AK604136" s="5"/>
    </row>
    <row r="604146" spans="25:37" x14ac:dyDescent="0.2">
      <c r="Y604146" s="251"/>
      <c r="AB604146" s="251"/>
      <c r="AE604146" s="251"/>
      <c r="AH604146" s="251"/>
      <c r="AK604146" s="251"/>
    </row>
    <row r="604261" spans="25:37" x14ac:dyDescent="0.2">
      <c r="Y604261" s="5"/>
      <c r="AB604261" s="5"/>
      <c r="AE604261" s="5"/>
      <c r="AH604261" s="5"/>
      <c r="AK604261" s="5"/>
    </row>
    <row r="604271" spans="25:37" x14ac:dyDescent="0.2">
      <c r="Y604271" s="251"/>
      <c r="AB604271" s="251"/>
      <c r="AE604271" s="251"/>
      <c r="AH604271" s="251"/>
      <c r="AK604271" s="251"/>
    </row>
    <row r="604386" spans="25:37" x14ac:dyDescent="0.2">
      <c r="Y604386" s="5"/>
      <c r="AB604386" s="5"/>
      <c r="AE604386" s="5"/>
      <c r="AH604386" s="5"/>
      <c r="AK604386" s="5"/>
    </row>
    <row r="604396" spans="25:37" x14ac:dyDescent="0.2">
      <c r="Y604396" s="251"/>
      <c r="AB604396" s="251"/>
      <c r="AE604396" s="251"/>
      <c r="AH604396" s="251"/>
      <c r="AK604396" s="251"/>
    </row>
    <row r="604511" spans="25:37" x14ac:dyDescent="0.2">
      <c r="Y604511" s="5"/>
      <c r="AB604511" s="5"/>
      <c r="AE604511" s="5"/>
      <c r="AH604511" s="5"/>
      <c r="AK604511" s="5"/>
    </row>
    <row r="604521" spans="25:37" x14ac:dyDescent="0.2">
      <c r="Y604521" s="251"/>
      <c r="AB604521" s="251"/>
      <c r="AE604521" s="251"/>
      <c r="AH604521" s="251"/>
      <c r="AK604521" s="251"/>
    </row>
    <row r="604636" spans="25:37" x14ac:dyDescent="0.2">
      <c r="Y604636" s="5"/>
      <c r="AB604636" s="5"/>
      <c r="AE604636" s="5"/>
      <c r="AH604636" s="5"/>
      <c r="AK604636" s="5"/>
    </row>
    <row r="604646" spans="25:37" x14ac:dyDescent="0.2">
      <c r="Y604646" s="251"/>
      <c r="AB604646" s="251"/>
      <c r="AE604646" s="251"/>
      <c r="AH604646" s="251"/>
      <c r="AK604646" s="251"/>
    </row>
    <row r="604761" spans="25:37" x14ac:dyDescent="0.2">
      <c r="Y604761" s="5"/>
      <c r="AB604761" s="5"/>
      <c r="AE604761" s="5"/>
      <c r="AH604761" s="5"/>
      <c r="AK604761" s="5"/>
    </row>
    <row r="604771" spans="25:37" x14ac:dyDescent="0.2">
      <c r="Y604771" s="251"/>
      <c r="AB604771" s="251"/>
      <c r="AE604771" s="251"/>
      <c r="AH604771" s="251"/>
      <c r="AK604771" s="251"/>
    </row>
    <row r="604886" spans="25:37" x14ac:dyDescent="0.2">
      <c r="Y604886" s="5"/>
      <c r="AB604886" s="5"/>
      <c r="AE604886" s="5"/>
      <c r="AH604886" s="5"/>
      <c r="AK604886" s="5"/>
    </row>
    <row r="604896" spans="25:37" x14ac:dyDescent="0.2">
      <c r="Y604896" s="251"/>
      <c r="AB604896" s="251"/>
      <c r="AE604896" s="251"/>
      <c r="AH604896" s="251"/>
      <c r="AK604896" s="251"/>
    </row>
    <row r="605011" spans="25:37" x14ac:dyDescent="0.2">
      <c r="Y605011" s="5"/>
      <c r="AB605011" s="5"/>
      <c r="AE605011" s="5"/>
      <c r="AH605011" s="5"/>
      <c r="AK605011" s="5"/>
    </row>
    <row r="605021" spans="25:37" x14ac:dyDescent="0.2">
      <c r="Y605021" s="251"/>
      <c r="AB605021" s="251"/>
      <c r="AE605021" s="251"/>
      <c r="AH605021" s="251"/>
      <c r="AK605021" s="251"/>
    </row>
    <row r="605136" spans="25:37" x14ac:dyDescent="0.2">
      <c r="Y605136" s="5"/>
      <c r="AB605136" s="5"/>
      <c r="AE605136" s="5"/>
      <c r="AH605136" s="5"/>
      <c r="AK605136" s="5"/>
    </row>
    <row r="605146" spans="25:37" x14ac:dyDescent="0.2">
      <c r="Y605146" s="251"/>
      <c r="AB605146" s="251"/>
      <c r="AE605146" s="251"/>
      <c r="AH605146" s="251"/>
      <c r="AK605146" s="251"/>
    </row>
    <row r="605261" spans="25:37" x14ac:dyDescent="0.2">
      <c r="Y605261" s="5"/>
      <c r="AB605261" s="5"/>
      <c r="AE605261" s="5"/>
      <c r="AH605261" s="5"/>
      <c r="AK605261" s="5"/>
    </row>
    <row r="605271" spans="25:37" x14ac:dyDescent="0.2">
      <c r="Y605271" s="251"/>
      <c r="AB605271" s="251"/>
      <c r="AE605271" s="251"/>
      <c r="AH605271" s="251"/>
      <c r="AK605271" s="251"/>
    </row>
    <row r="605386" spans="25:37" x14ac:dyDescent="0.2">
      <c r="Y605386" s="5"/>
      <c r="AB605386" s="5"/>
      <c r="AE605386" s="5"/>
      <c r="AH605386" s="5"/>
      <c r="AK605386" s="5"/>
    </row>
    <row r="605396" spans="25:37" x14ac:dyDescent="0.2">
      <c r="Y605396" s="251"/>
      <c r="AB605396" s="251"/>
      <c r="AE605396" s="251"/>
      <c r="AH605396" s="251"/>
      <c r="AK605396" s="251"/>
    </row>
    <row r="605511" spans="25:37" x14ac:dyDescent="0.2">
      <c r="Y605511" s="5"/>
      <c r="AB605511" s="5"/>
      <c r="AE605511" s="5"/>
      <c r="AH605511" s="5"/>
      <c r="AK605511" s="5"/>
    </row>
    <row r="605521" spans="25:37" x14ac:dyDescent="0.2">
      <c r="Y605521" s="251"/>
      <c r="AB605521" s="251"/>
      <c r="AE605521" s="251"/>
      <c r="AH605521" s="251"/>
      <c r="AK605521" s="251"/>
    </row>
    <row r="605636" spans="25:37" x14ac:dyDescent="0.2">
      <c r="Y605636" s="5"/>
      <c r="AB605636" s="5"/>
      <c r="AE605636" s="5"/>
      <c r="AH605636" s="5"/>
      <c r="AK605636" s="5"/>
    </row>
    <row r="605646" spans="25:37" x14ac:dyDescent="0.2">
      <c r="Y605646" s="251"/>
      <c r="AB605646" s="251"/>
      <c r="AE605646" s="251"/>
      <c r="AH605646" s="251"/>
      <c r="AK605646" s="251"/>
    </row>
    <row r="605761" spans="25:37" x14ac:dyDescent="0.2">
      <c r="Y605761" s="5"/>
      <c r="AB605761" s="5"/>
      <c r="AE605761" s="5"/>
      <c r="AH605761" s="5"/>
      <c r="AK605761" s="5"/>
    </row>
    <row r="605771" spans="25:37" x14ac:dyDescent="0.2">
      <c r="Y605771" s="251"/>
      <c r="AB605771" s="251"/>
      <c r="AE605771" s="251"/>
      <c r="AH605771" s="251"/>
      <c r="AK605771" s="251"/>
    </row>
    <row r="605886" spans="25:37" x14ac:dyDescent="0.2">
      <c r="Y605886" s="5"/>
      <c r="AB605886" s="5"/>
      <c r="AE605886" s="5"/>
      <c r="AH605886" s="5"/>
      <c r="AK605886" s="5"/>
    </row>
    <row r="605896" spans="25:37" x14ac:dyDescent="0.2">
      <c r="Y605896" s="251"/>
      <c r="AB605896" s="251"/>
      <c r="AE605896" s="251"/>
      <c r="AH605896" s="251"/>
      <c r="AK605896" s="251"/>
    </row>
    <row r="606011" spans="25:37" x14ac:dyDescent="0.2">
      <c r="Y606011" s="5"/>
      <c r="AB606011" s="5"/>
      <c r="AE606011" s="5"/>
      <c r="AH606011" s="5"/>
      <c r="AK606011" s="5"/>
    </row>
    <row r="606021" spans="25:37" x14ac:dyDescent="0.2">
      <c r="Y606021" s="251"/>
      <c r="AB606021" s="251"/>
      <c r="AE606021" s="251"/>
      <c r="AH606021" s="251"/>
      <c r="AK606021" s="251"/>
    </row>
    <row r="606136" spans="25:37" x14ac:dyDescent="0.2">
      <c r="Y606136" s="5"/>
      <c r="AB606136" s="5"/>
      <c r="AE606136" s="5"/>
      <c r="AH606136" s="5"/>
      <c r="AK606136" s="5"/>
    </row>
    <row r="606146" spans="25:37" x14ac:dyDescent="0.2">
      <c r="Y606146" s="251"/>
      <c r="AB606146" s="251"/>
      <c r="AE606146" s="251"/>
      <c r="AH606146" s="251"/>
      <c r="AK606146" s="251"/>
    </row>
    <row r="606261" spans="25:37" x14ac:dyDescent="0.2">
      <c r="Y606261" s="5"/>
      <c r="AB606261" s="5"/>
      <c r="AE606261" s="5"/>
      <c r="AH606261" s="5"/>
      <c r="AK606261" s="5"/>
    </row>
    <row r="606271" spans="25:37" x14ac:dyDescent="0.2">
      <c r="Y606271" s="251"/>
      <c r="AB606271" s="251"/>
      <c r="AE606271" s="251"/>
      <c r="AH606271" s="251"/>
      <c r="AK606271" s="251"/>
    </row>
    <row r="606386" spans="25:37" x14ac:dyDescent="0.2">
      <c r="Y606386" s="5"/>
      <c r="AB606386" s="5"/>
      <c r="AE606386" s="5"/>
      <c r="AH606386" s="5"/>
      <c r="AK606386" s="5"/>
    </row>
    <row r="606396" spans="25:37" x14ac:dyDescent="0.2">
      <c r="Y606396" s="251"/>
      <c r="AB606396" s="251"/>
      <c r="AE606396" s="251"/>
      <c r="AH606396" s="251"/>
      <c r="AK606396" s="251"/>
    </row>
    <row r="606511" spans="25:37" x14ac:dyDescent="0.2">
      <c r="Y606511" s="5"/>
      <c r="AB606511" s="5"/>
      <c r="AE606511" s="5"/>
      <c r="AH606511" s="5"/>
      <c r="AK606511" s="5"/>
    </row>
    <row r="606521" spans="25:37" x14ac:dyDescent="0.2">
      <c r="Y606521" s="251"/>
      <c r="AB606521" s="251"/>
      <c r="AE606521" s="251"/>
      <c r="AH606521" s="251"/>
      <c r="AK606521" s="251"/>
    </row>
    <row r="606636" spans="25:37" x14ac:dyDescent="0.2">
      <c r="Y606636" s="5"/>
      <c r="AB606636" s="5"/>
      <c r="AE606636" s="5"/>
      <c r="AH606636" s="5"/>
      <c r="AK606636" s="5"/>
    </row>
    <row r="606646" spans="25:37" x14ac:dyDescent="0.2">
      <c r="Y606646" s="251"/>
      <c r="AB606646" s="251"/>
      <c r="AE606646" s="251"/>
      <c r="AH606646" s="251"/>
      <c r="AK606646" s="251"/>
    </row>
    <row r="606761" spans="25:37" x14ac:dyDescent="0.2">
      <c r="Y606761" s="5"/>
      <c r="AB606761" s="5"/>
      <c r="AE606761" s="5"/>
      <c r="AH606761" s="5"/>
      <c r="AK606761" s="5"/>
    </row>
    <row r="606771" spans="25:37" x14ac:dyDescent="0.2">
      <c r="Y606771" s="251"/>
      <c r="AB606771" s="251"/>
      <c r="AE606771" s="251"/>
      <c r="AH606771" s="251"/>
      <c r="AK606771" s="251"/>
    </row>
    <row r="606886" spans="25:37" x14ac:dyDescent="0.2">
      <c r="Y606886" s="5"/>
      <c r="AB606886" s="5"/>
      <c r="AE606886" s="5"/>
      <c r="AH606886" s="5"/>
      <c r="AK606886" s="5"/>
    </row>
    <row r="606896" spans="25:37" x14ac:dyDescent="0.2">
      <c r="Y606896" s="251"/>
      <c r="AB606896" s="251"/>
      <c r="AE606896" s="251"/>
      <c r="AH606896" s="251"/>
      <c r="AK606896" s="251"/>
    </row>
    <row r="607011" spans="25:37" x14ac:dyDescent="0.2">
      <c r="Y607011" s="5"/>
      <c r="AB607011" s="5"/>
      <c r="AE607011" s="5"/>
      <c r="AH607011" s="5"/>
      <c r="AK607011" s="5"/>
    </row>
    <row r="607021" spans="25:37" x14ac:dyDescent="0.2">
      <c r="Y607021" s="251"/>
      <c r="AB607021" s="251"/>
      <c r="AE607021" s="251"/>
      <c r="AH607021" s="251"/>
      <c r="AK607021" s="251"/>
    </row>
    <row r="607136" spans="25:37" x14ac:dyDescent="0.2">
      <c r="Y607136" s="5"/>
      <c r="AB607136" s="5"/>
      <c r="AE607136" s="5"/>
      <c r="AH607136" s="5"/>
      <c r="AK607136" s="5"/>
    </row>
    <row r="607146" spans="25:37" x14ac:dyDescent="0.2">
      <c r="Y607146" s="251"/>
      <c r="AB607146" s="251"/>
      <c r="AE607146" s="251"/>
      <c r="AH607146" s="251"/>
      <c r="AK607146" s="251"/>
    </row>
    <row r="607261" spans="25:37" x14ac:dyDescent="0.2">
      <c r="Y607261" s="5"/>
      <c r="AB607261" s="5"/>
      <c r="AE607261" s="5"/>
      <c r="AH607261" s="5"/>
      <c r="AK607261" s="5"/>
    </row>
    <row r="607271" spans="25:37" x14ac:dyDescent="0.2">
      <c r="Y607271" s="251"/>
      <c r="AB607271" s="251"/>
      <c r="AE607271" s="251"/>
      <c r="AH607271" s="251"/>
      <c r="AK607271" s="251"/>
    </row>
    <row r="607386" spans="25:37" x14ac:dyDescent="0.2">
      <c r="Y607386" s="5"/>
      <c r="AB607386" s="5"/>
      <c r="AE607386" s="5"/>
      <c r="AH607386" s="5"/>
      <c r="AK607386" s="5"/>
    </row>
    <row r="607396" spans="25:37" x14ac:dyDescent="0.2">
      <c r="Y607396" s="251"/>
      <c r="AB607396" s="251"/>
      <c r="AE607396" s="251"/>
      <c r="AH607396" s="251"/>
      <c r="AK607396" s="251"/>
    </row>
    <row r="607511" spans="25:37" x14ac:dyDescent="0.2">
      <c r="Y607511" s="5"/>
      <c r="AB607511" s="5"/>
      <c r="AE607511" s="5"/>
      <c r="AH607511" s="5"/>
      <c r="AK607511" s="5"/>
    </row>
    <row r="607521" spans="25:37" x14ac:dyDescent="0.2">
      <c r="Y607521" s="251"/>
      <c r="AB607521" s="251"/>
      <c r="AE607521" s="251"/>
      <c r="AH607521" s="251"/>
      <c r="AK607521" s="251"/>
    </row>
    <row r="607636" spans="25:37" x14ac:dyDescent="0.2">
      <c r="Y607636" s="5"/>
      <c r="AB607636" s="5"/>
      <c r="AE607636" s="5"/>
      <c r="AH607636" s="5"/>
      <c r="AK607636" s="5"/>
    </row>
    <row r="607646" spans="25:37" x14ac:dyDescent="0.2">
      <c r="Y607646" s="251"/>
      <c r="AB607646" s="251"/>
      <c r="AE607646" s="251"/>
      <c r="AH607646" s="251"/>
      <c r="AK607646" s="251"/>
    </row>
    <row r="607761" spans="25:37" x14ac:dyDescent="0.2">
      <c r="Y607761" s="5"/>
      <c r="AB607761" s="5"/>
      <c r="AE607761" s="5"/>
      <c r="AH607761" s="5"/>
      <c r="AK607761" s="5"/>
    </row>
    <row r="607771" spans="25:37" x14ac:dyDescent="0.2">
      <c r="Y607771" s="251"/>
      <c r="AB607771" s="251"/>
      <c r="AE607771" s="251"/>
      <c r="AH607771" s="251"/>
      <c r="AK607771" s="251"/>
    </row>
    <row r="607886" spans="25:37" x14ac:dyDescent="0.2">
      <c r="Y607886" s="5"/>
      <c r="AB607886" s="5"/>
      <c r="AE607886" s="5"/>
      <c r="AH607886" s="5"/>
      <c r="AK607886" s="5"/>
    </row>
    <row r="607896" spans="25:37" x14ac:dyDescent="0.2">
      <c r="Y607896" s="251"/>
      <c r="AB607896" s="251"/>
      <c r="AE607896" s="251"/>
      <c r="AH607896" s="251"/>
      <c r="AK607896" s="251"/>
    </row>
    <row r="608011" spans="25:37" x14ac:dyDescent="0.2">
      <c r="Y608011" s="5"/>
      <c r="AB608011" s="5"/>
      <c r="AE608011" s="5"/>
      <c r="AH608011" s="5"/>
      <c r="AK608011" s="5"/>
    </row>
    <row r="608021" spans="25:37" x14ac:dyDescent="0.2">
      <c r="Y608021" s="251"/>
      <c r="AB608021" s="251"/>
      <c r="AE608021" s="251"/>
      <c r="AH608021" s="251"/>
      <c r="AK608021" s="251"/>
    </row>
    <row r="608136" spans="25:37" x14ac:dyDescent="0.2">
      <c r="Y608136" s="5"/>
      <c r="AB608136" s="5"/>
      <c r="AE608136" s="5"/>
      <c r="AH608136" s="5"/>
      <c r="AK608136" s="5"/>
    </row>
    <row r="608146" spans="25:37" x14ac:dyDescent="0.2">
      <c r="Y608146" s="251"/>
      <c r="AB608146" s="251"/>
      <c r="AE608146" s="251"/>
      <c r="AH608146" s="251"/>
      <c r="AK608146" s="251"/>
    </row>
    <row r="608261" spans="25:37" x14ac:dyDescent="0.2">
      <c r="Y608261" s="5"/>
      <c r="AB608261" s="5"/>
      <c r="AE608261" s="5"/>
      <c r="AH608261" s="5"/>
      <c r="AK608261" s="5"/>
    </row>
    <row r="608271" spans="25:37" x14ac:dyDescent="0.2">
      <c r="Y608271" s="251"/>
      <c r="AB608271" s="251"/>
      <c r="AE608271" s="251"/>
      <c r="AH608271" s="251"/>
      <c r="AK608271" s="251"/>
    </row>
    <row r="608386" spans="25:37" x14ac:dyDescent="0.2">
      <c r="Y608386" s="5"/>
      <c r="AB608386" s="5"/>
      <c r="AE608386" s="5"/>
      <c r="AH608386" s="5"/>
      <c r="AK608386" s="5"/>
    </row>
    <row r="608396" spans="25:37" x14ac:dyDescent="0.2">
      <c r="Y608396" s="251"/>
      <c r="AB608396" s="251"/>
      <c r="AE608396" s="251"/>
      <c r="AH608396" s="251"/>
      <c r="AK608396" s="251"/>
    </row>
    <row r="608511" spans="25:37" x14ac:dyDescent="0.2">
      <c r="Y608511" s="5"/>
      <c r="AB608511" s="5"/>
      <c r="AE608511" s="5"/>
      <c r="AH608511" s="5"/>
      <c r="AK608511" s="5"/>
    </row>
    <row r="608521" spans="25:37" x14ac:dyDescent="0.2">
      <c r="Y608521" s="251"/>
      <c r="AB608521" s="251"/>
      <c r="AE608521" s="251"/>
      <c r="AH608521" s="251"/>
      <c r="AK608521" s="251"/>
    </row>
    <row r="608636" spans="25:37" x14ac:dyDescent="0.2">
      <c r="Y608636" s="5"/>
      <c r="AB608636" s="5"/>
      <c r="AE608636" s="5"/>
      <c r="AH608636" s="5"/>
      <c r="AK608636" s="5"/>
    </row>
    <row r="608646" spans="25:37" x14ac:dyDescent="0.2">
      <c r="Y608646" s="251"/>
      <c r="AB608646" s="251"/>
      <c r="AE608646" s="251"/>
      <c r="AH608646" s="251"/>
      <c r="AK608646" s="251"/>
    </row>
    <row r="608761" spans="25:37" x14ac:dyDescent="0.2">
      <c r="Y608761" s="5"/>
      <c r="AB608761" s="5"/>
      <c r="AE608761" s="5"/>
      <c r="AH608761" s="5"/>
      <c r="AK608761" s="5"/>
    </row>
    <row r="608771" spans="25:37" x14ac:dyDescent="0.2">
      <c r="Y608771" s="251"/>
      <c r="AB608771" s="251"/>
      <c r="AE608771" s="251"/>
      <c r="AH608771" s="251"/>
      <c r="AK608771" s="251"/>
    </row>
    <row r="608886" spans="25:37" x14ac:dyDescent="0.2">
      <c r="Y608886" s="5"/>
      <c r="AB608886" s="5"/>
      <c r="AE608886" s="5"/>
      <c r="AH608886" s="5"/>
      <c r="AK608886" s="5"/>
    </row>
    <row r="608896" spans="25:37" x14ac:dyDescent="0.2">
      <c r="Y608896" s="251"/>
      <c r="AB608896" s="251"/>
      <c r="AE608896" s="251"/>
      <c r="AH608896" s="251"/>
      <c r="AK608896" s="251"/>
    </row>
    <row r="609011" spans="25:37" x14ac:dyDescent="0.2">
      <c r="Y609011" s="5"/>
      <c r="AB609011" s="5"/>
      <c r="AE609011" s="5"/>
      <c r="AH609011" s="5"/>
      <c r="AK609011" s="5"/>
    </row>
    <row r="609021" spans="25:37" x14ac:dyDescent="0.2">
      <c r="Y609021" s="251"/>
      <c r="AB609021" s="251"/>
      <c r="AE609021" s="251"/>
      <c r="AH609021" s="251"/>
      <c r="AK609021" s="251"/>
    </row>
    <row r="609136" spans="25:37" x14ac:dyDescent="0.2">
      <c r="Y609136" s="5"/>
      <c r="AB609136" s="5"/>
      <c r="AE609136" s="5"/>
      <c r="AH609136" s="5"/>
      <c r="AK609136" s="5"/>
    </row>
    <row r="609146" spans="25:37" x14ac:dyDescent="0.2">
      <c r="Y609146" s="251"/>
      <c r="AB609146" s="251"/>
      <c r="AE609146" s="251"/>
      <c r="AH609146" s="251"/>
      <c r="AK609146" s="251"/>
    </row>
    <row r="609261" spans="25:37" x14ac:dyDescent="0.2">
      <c r="Y609261" s="5"/>
      <c r="AB609261" s="5"/>
      <c r="AE609261" s="5"/>
      <c r="AH609261" s="5"/>
      <c r="AK609261" s="5"/>
    </row>
    <row r="609271" spans="25:37" x14ac:dyDescent="0.2">
      <c r="Y609271" s="251"/>
      <c r="AB609271" s="251"/>
      <c r="AE609271" s="251"/>
      <c r="AH609271" s="251"/>
      <c r="AK609271" s="251"/>
    </row>
    <row r="609386" spans="25:37" x14ac:dyDescent="0.2">
      <c r="Y609386" s="5"/>
      <c r="AB609386" s="5"/>
      <c r="AE609386" s="5"/>
      <c r="AH609386" s="5"/>
      <c r="AK609386" s="5"/>
    </row>
    <row r="609396" spans="25:37" x14ac:dyDescent="0.2">
      <c r="Y609396" s="251"/>
      <c r="AB609396" s="251"/>
      <c r="AE609396" s="251"/>
      <c r="AH609396" s="251"/>
      <c r="AK609396" s="251"/>
    </row>
    <row r="609511" spans="25:37" x14ac:dyDescent="0.2">
      <c r="Y609511" s="5"/>
      <c r="AB609511" s="5"/>
      <c r="AE609511" s="5"/>
      <c r="AH609511" s="5"/>
      <c r="AK609511" s="5"/>
    </row>
    <row r="609521" spans="25:37" x14ac:dyDescent="0.2">
      <c r="Y609521" s="251"/>
      <c r="AB609521" s="251"/>
      <c r="AE609521" s="251"/>
      <c r="AH609521" s="251"/>
      <c r="AK609521" s="251"/>
    </row>
    <row r="609636" spans="25:37" x14ac:dyDescent="0.2">
      <c r="Y609636" s="5"/>
      <c r="AB609636" s="5"/>
      <c r="AE609636" s="5"/>
      <c r="AH609636" s="5"/>
      <c r="AK609636" s="5"/>
    </row>
    <row r="609646" spans="25:37" x14ac:dyDescent="0.2">
      <c r="Y609646" s="251"/>
      <c r="AB609646" s="251"/>
      <c r="AE609646" s="251"/>
      <c r="AH609646" s="251"/>
      <c r="AK609646" s="251"/>
    </row>
    <row r="609761" spans="25:37" x14ac:dyDescent="0.2">
      <c r="Y609761" s="5"/>
      <c r="AB609761" s="5"/>
      <c r="AE609761" s="5"/>
      <c r="AH609761" s="5"/>
      <c r="AK609761" s="5"/>
    </row>
    <row r="609771" spans="25:37" x14ac:dyDescent="0.2">
      <c r="Y609771" s="251"/>
      <c r="AB609771" s="251"/>
      <c r="AE609771" s="251"/>
      <c r="AH609771" s="251"/>
      <c r="AK609771" s="251"/>
    </row>
    <row r="609886" spans="25:37" x14ac:dyDescent="0.2">
      <c r="Y609886" s="5"/>
      <c r="AB609886" s="5"/>
      <c r="AE609886" s="5"/>
      <c r="AH609886" s="5"/>
      <c r="AK609886" s="5"/>
    </row>
    <row r="609896" spans="25:37" x14ac:dyDescent="0.2">
      <c r="Y609896" s="251"/>
      <c r="AB609896" s="251"/>
      <c r="AE609896" s="251"/>
      <c r="AH609896" s="251"/>
      <c r="AK609896" s="251"/>
    </row>
    <row r="610011" spans="25:37" x14ac:dyDescent="0.2">
      <c r="Y610011" s="5"/>
      <c r="AB610011" s="5"/>
      <c r="AE610011" s="5"/>
      <c r="AH610011" s="5"/>
      <c r="AK610011" s="5"/>
    </row>
    <row r="610021" spans="25:37" x14ac:dyDescent="0.2">
      <c r="Y610021" s="251"/>
      <c r="AB610021" s="251"/>
      <c r="AE610021" s="251"/>
      <c r="AH610021" s="251"/>
      <c r="AK610021" s="251"/>
    </row>
    <row r="610136" spans="25:37" x14ac:dyDescent="0.2">
      <c r="Y610136" s="5"/>
      <c r="AB610136" s="5"/>
      <c r="AE610136" s="5"/>
      <c r="AH610136" s="5"/>
      <c r="AK610136" s="5"/>
    </row>
    <row r="610146" spans="25:37" x14ac:dyDescent="0.2">
      <c r="Y610146" s="251"/>
      <c r="AB610146" s="251"/>
      <c r="AE610146" s="251"/>
      <c r="AH610146" s="251"/>
      <c r="AK610146" s="251"/>
    </row>
    <row r="610261" spans="25:37" x14ac:dyDescent="0.2">
      <c r="Y610261" s="5"/>
      <c r="AB610261" s="5"/>
      <c r="AE610261" s="5"/>
      <c r="AH610261" s="5"/>
      <c r="AK610261" s="5"/>
    </row>
    <row r="610271" spans="25:37" x14ac:dyDescent="0.2">
      <c r="Y610271" s="251"/>
      <c r="AB610271" s="251"/>
      <c r="AE610271" s="251"/>
      <c r="AH610271" s="251"/>
      <c r="AK610271" s="251"/>
    </row>
    <row r="610386" spans="25:37" x14ac:dyDescent="0.2">
      <c r="Y610386" s="5"/>
      <c r="AB610386" s="5"/>
      <c r="AE610386" s="5"/>
      <c r="AH610386" s="5"/>
      <c r="AK610386" s="5"/>
    </row>
    <row r="610396" spans="25:37" x14ac:dyDescent="0.2">
      <c r="Y610396" s="251"/>
      <c r="AB610396" s="251"/>
      <c r="AE610396" s="251"/>
      <c r="AH610396" s="251"/>
      <c r="AK610396" s="251"/>
    </row>
    <row r="610511" spans="25:37" x14ac:dyDescent="0.2">
      <c r="Y610511" s="5"/>
      <c r="AB610511" s="5"/>
      <c r="AE610511" s="5"/>
      <c r="AH610511" s="5"/>
      <c r="AK610511" s="5"/>
    </row>
    <row r="610521" spans="25:37" x14ac:dyDescent="0.2">
      <c r="Y610521" s="251"/>
      <c r="AB610521" s="251"/>
      <c r="AE610521" s="251"/>
      <c r="AH610521" s="251"/>
      <c r="AK610521" s="251"/>
    </row>
    <row r="610636" spans="25:37" x14ac:dyDescent="0.2">
      <c r="Y610636" s="5"/>
      <c r="AB610636" s="5"/>
      <c r="AE610636" s="5"/>
      <c r="AH610636" s="5"/>
      <c r="AK610636" s="5"/>
    </row>
    <row r="610646" spans="25:37" x14ac:dyDescent="0.2">
      <c r="Y610646" s="251"/>
      <c r="AB610646" s="251"/>
      <c r="AE610646" s="251"/>
      <c r="AH610646" s="251"/>
      <c r="AK610646" s="251"/>
    </row>
    <row r="610761" spans="25:37" x14ac:dyDescent="0.2">
      <c r="Y610761" s="5"/>
      <c r="AB610761" s="5"/>
      <c r="AE610761" s="5"/>
      <c r="AH610761" s="5"/>
      <c r="AK610761" s="5"/>
    </row>
    <row r="610771" spans="25:37" x14ac:dyDescent="0.2">
      <c r="Y610771" s="251"/>
      <c r="AB610771" s="251"/>
      <c r="AE610771" s="251"/>
      <c r="AH610771" s="251"/>
      <c r="AK610771" s="251"/>
    </row>
    <row r="610886" spans="25:37" x14ac:dyDescent="0.2">
      <c r="Y610886" s="5"/>
      <c r="AB610886" s="5"/>
      <c r="AE610886" s="5"/>
      <c r="AH610886" s="5"/>
      <c r="AK610886" s="5"/>
    </row>
    <row r="610896" spans="25:37" x14ac:dyDescent="0.2">
      <c r="Y610896" s="251"/>
      <c r="AB610896" s="251"/>
      <c r="AE610896" s="251"/>
      <c r="AH610896" s="251"/>
      <c r="AK610896" s="251"/>
    </row>
    <row r="611011" spans="25:37" x14ac:dyDescent="0.2">
      <c r="Y611011" s="5"/>
      <c r="AB611011" s="5"/>
      <c r="AE611011" s="5"/>
      <c r="AH611011" s="5"/>
      <c r="AK611011" s="5"/>
    </row>
    <row r="611021" spans="25:37" x14ac:dyDescent="0.2">
      <c r="Y611021" s="251"/>
      <c r="AB611021" s="251"/>
      <c r="AE611021" s="251"/>
      <c r="AH611021" s="251"/>
      <c r="AK611021" s="251"/>
    </row>
    <row r="611136" spans="25:37" x14ac:dyDescent="0.2">
      <c r="Y611136" s="5"/>
      <c r="AB611136" s="5"/>
      <c r="AE611136" s="5"/>
      <c r="AH611136" s="5"/>
      <c r="AK611136" s="5"/>
    </row>
    <row r="611146" spans="25:37" x14ac:dyDescent="0.2">
      <c r="Y611146" s="251"/>
      <c r="AB611146" s="251"/>
      <c r="AE611146" s="251"/>
      <c r="AH611146" s="251"/>
      <c r="AK611146" s="251"/>
    </row>
    <row r="611261" spans="25:37" x14ac:dyDescent="0.2">
      <c r="Y611261" s="5"/>
      <c r="AB611261" s="5"/>
      <c r="AE611261" s="5"/>
      <c r="AH611261" s="5"/>
      <c r="AK611261" s="5"/>
    </row>
    <row r="611271" spans="25:37" x14ac:dyDescent="0.2">
      <c r="Y611271" s="251"/>
      <c r="AB611271" s="251"/>
      <c r="AE611271" s="251"/>
      <c r="AH611271" s="251"/>
      <c r="AK611271" s="251"/>
    </row>
    <row r="611386" spans="25:37" x14ac:dyDescent="0.2">
      <c r="Y611386" s="5"/>
      <c r="AB611386" s="5"/>
      <c r="AE611386" s="5"/>
      <c r="AH611386" s="5"/>
      <c r="AK611386" s="5"/>
    </row>
    <row r="611396" spans="25:37" x14ac:dyDescent="0.2">
      <c r="Y611396" s="251"/>
      <c r="AB611396" s="251"/>
      <c r="AE611396" s="251"/>
      <c r="AH611396" s="251"/>
      <c r="AK611396" s="251"/>
    </row>
    <row r="611511" spans="25:37" x14ac:dyDescent="0.2">
      <c r="Y611511" s="5"/>
      <c r="AB611511" s="5"/>
      <c r="AE611511" s="5"/>
      <c r="AH611511" s="5"/>
      <c r="AK611511" s="5"/>
    </row>
    <row r="611521" spans="25:37" x14ac:dyDescent="0.2">
      <c r="Y611521" s="251"/>
      <c r="AB611521" s="251"/>
      <c r="AE611521" s="251"/>
      <c r="AH611521" s="251"/>
      <c r="AK611521" s="251"/>
    </row>
    <row r="611636" spans="25:37" x14ac:dyDescent="0.2">
      <c r="Y611636" s="5"/>
      <c r="AB611636" s="5"/>
      <c r="AE611636" s="5"/>
      <c r="AH611636" s="5"/>
      <c r="AK611636" s="5"/>
    </row>
    <row r="611646" spans="25:37" x14ac:dyDescent="0.2">
      <c r="Y611646" s="251"/>
      <c r="AB611646" s="251"/>
      <c r="AE611646" s="251"/>
      <c r="AH611646" s="251"/>
      <c r="AK611646" s="251"/>
    </row>
    <row r="611761" spans="25:37" x14ac:dyDescent="0.2">
      <c r="Y611761" s="5"/>
      <c r="AB611761" s="5"/>
      <c r="AE611761" s="5"/>
      <c r="AH611761" s="5"/>
      <c r="AK611761" s="5"/>
    </row>
    <row r="611771" spans="25:37" x14ac:dyDescent="0.2">
      <c r="Y611771" s="251"/>
      <c r="AB611771" s="251"/>
      <c r="AE611771" s="251"/>
      <c r="AH611771" s="251"/>
      <c r="AK611771" s="251"/>
    </row>
    <row r="611886" spans="25:37" x14ac:dyDescent="0.2">
      <c r="Y611886" s="5"/>
      <c r="AB611886" s="5"/>
      <c r="AE611886" s="5"/>
      <c r="AH611886" s="5"/>
      <c r="AK611886" s="5"/>
    </row>
    <row r="611896" spans="25:37" x14ac:dyDescent="0.2">
      <c r="Y611896" s="251"/>
      <c r="AB611896" s="251"/>
      <c r="AE611896" s="251"/>
      <c r="AH611896" s="251"/>
      <c r="AK611896" s="251"/>
    </row>
    <row r="612011" spans="25:37" x14ac:dyDescent="0.2">
      <c r="Y612011" s="5"/>
      <c r="AB612011" s="5"/>
      <c r="AE612011" s="5"/>
      <c r="AH612011" s="5"/>
      <c r="AK612011" s="5"/>
    </row>
    <row r="612021" spans="25:37" x14ac:dyDescent="0.2">
      <c r="Y612021" s="251"/>
      <c r="AB612021" s="251"/>
      <c r="AE612021" s="251"/>
      <c r="AH612021" s="251"/>
      <c r="AK612021" s="251"/>
    </row>
    <row r="612136" spans="25:37" x14ac:dyDescent="0.2">
      <c r="Y612136" s="5"/>
      <c r="AB612136" s="5"/>
      <c r="AE612136" s="5"/>
      <c r="AH612136" s="5"/>
      <c r="AK612136" s="5"/>
    </row>
    <row r="612146" spans="25:37" x14ac:dyDescent="0.2">
      <c r="Y612146" s="251"/>
      <c r="AB612146" s="251"/>
      <c r="AE612146" s="251"/>
      <c r="AH612146" s="251"/>
      <c r="AK612146" s="251"/>
    </row>
    <row r="612261" spans="25:37" x14ac:dyDescent="0.2">
      <c r="Y612261" s="5"/>
      <c r="AB612261" s="5"/>
      <c r="AE612261" s="5"/>
      <c r="AH612261" s="5"/>
      <c r="AK612261" s="5"/>
    </row>
    <row r="612271" spans="25:37" x14ac:dyDescent="0.2">
      <c r="Y612271" s="251"/>
      <c r="AB612271" s="251"/>
      <c r="AE612271" s="251"/>
      <c r="AH612271" s="251"/>
      <c r="AK612271" s="251"/>
    </row>
    <row r="612386" spans="25:37" x14ac:dyDescent="0.2">
      <c r="Y612386" s="5"/>
      <c r="AB612386" s="5"/>
      <c r="AE612386" s="5"/>
      <c r="AH612386" s="5"/>
      <c r="AK612386" s="5"/>
    </row>
    <row r="612396" spans="25:37" x14ac:dyDescent="0.2">
      <c r="Y612396" s="251"/>
      <c r="AB612396" s="251"/>
      <c r="AE612396" s="251"/>
      <c r="AH612396" s="251"/>
      <c r="AK612396" s="251"/>
    </row>
    <row r="612511" spans="25:37" x14ac:dyDescent="0.2">
      <c r="Y612511" s="5"/>
      <c r="AB612511" s="5"/>
      <c r="AE612511" s="5"/>
      <c r="AH612511" s="5"/>
      <c r="AK612511" s="5"/>
    </row>
    <row r="612521" spans="25:37" x14ac:dyDescent="0.2">
      <c r="Y612521" s="251"/>
      <c r="AB612521" s="251"/>
      <c r="AE612521" s="251"/>
      <c r="AH612521" s="251"/>
      <c r="AK612521" s="251"/>
    </row>
    <row r="612636" spans="25:37" x14ac:dyDescent="0.2">
      <c r="Y612636" s="5"/>
      <c r="AB612636" s="5"/>
      <c r="AE612636" s="5"/>
      <c r="AH612636" s="5"/>
      <c r="AK612636" s="5"/>
    </row>
    <row r="612646" spans="25:37" x14ac:dyDescent="0.2">
      <c r="Y612646" s="251"/>
      <c r="AB612646" s="251"/>
      <c r="AE612646" s="251"/>
      <c r="AH612646" s="251"/>
      <c r="AK612646" s="251"/>
    </row>
    <row r="612761" spans="25:37" x14ac:dyDescent="0.2">
      <c r="Y612761" s="5"/>
      <c r="AB612761" s="5"/>
      <c r="AE612761" s="5"/>
      <c r="AH612761" s="5"/>
      <c r="AK612761" s="5"/>
    </row>
    <row r="612771" spans="25:37" x14ac:dyDescent="0.2">
      <c r="Y612771" s="251"/>
      <c r="AB612771" s="251"/>
      <c r="AE612771" s="251"/>
      <c r="AH612771" s="251"/>
      <c r="AK612771" s="251"/>
    </row>
    <row r="612886" spans="25:37" x14ac:dyDescent="0.2">
      <c r="Y612886" s="5"/>
      <c r="AB612886" s="5"/>
      <c r="AE612886" s="5"/>
      <c r="AH612886" s="5"/>
      <c r="AK612886" s="5"/>
    </row>
    <row r="612896" spans="25:37" x14ac:dyDescent="0.2">
      <c r="Y612896" s="251"/>
      <c r="AB612896" s="251"/>
      <c r="AE612896" s="251"/>
      <c r="AH612896" s="251"/>
      <c r="AK612896" s="251"/>
    </row>
    <row r="613011" spans="25:37" x14ac:dyDescent="0.2">
      <c r="Y613011" s="5"/>
      <c r="AB613011" s="5"/>
      <c r="AE613011" s="5"/>
      <c r="AH613011" s="5"/>
      <c r="AK613011" s="5"/>
    </row>
    <row r="613021" spans="25:37" x14ac:dyDescent="0.2">
      <c r="Y613021" s="251"/>
      <c r="AB613021" s="251"/>
      <c r="AE613021" s="251"/>
      <c r="AH613021" s="251"/>
      <c r="AK613021" s="251"/>
    </row>
    <row r="613136" spans="25:37" x14ac:dyDescent="0.2">
      <c r="Y613136" s="5"/>
      <c r="AB613136" s="5"/>
      <c r="AE613136" s="5"/>
      <c r="AH613136" s="5"/>
      <c r="AK613136" s="5"/>
    </row>
    <row r="613146" spans="25:37" x14ac:dyDescent="0.2">
      <c r="Y613146" s="251"/>
      <c r="AB613146" s="251"/>
      <c r="AE613146" s="251"/>
      <c r="AH613146" s="251"/>
      <c r="AK613146" s="251"/>
    </row>
    <row r="613261" spans="25:37" x14ac:dyDescent="0.2">
      <c r="Y613261" s="5"/>
      <c r="AB613261" s="5"/>
      <c r="AE613261" s="5"/>
      <c r="AH613261" s="5"/>
      <c r="AK613261" s="5"/>
    </row>
    <row r="613271" spans="25:37" x14ac:dyDescent="0.2">
      <c r="Y613271" s="251"/>
      <c r="AB613271" s="251"/>
      <c r="AE613271" s="251"/>
      <c r="AH613271" s="251"/>
      <c r="AK613271" s="251"/>
    </row>
    <row r="613386" spans="25:37" x14ac:dyDescent="0.2">
      <c r="Y613386" s="5"/>
      <c r="AB613386" s="5"/>
      <c r="AE613386" s="5"/>
      <c r="AH613386" s="5"/>
      <c r="AK613386" s="5"/>
    </row>
    <row r="613396" spans="25:37" x14ac:dyDescent="0.2">
      <c r="Y613396" s="251"/>
      <c r="AB613396" s="251"/>
      <c r="AE613396" s="251"/>
      <c r="AH613396" s="251"/>
      <c r="AK613396" s="251"/>
    </row>
    <row r="613511" spans="25:37" x14ac:dyDescent="0.2">
      <c r="Y613511" s="5"/>
      <c r="AB613511" s="5"/>
      <c r="AE613511" s="5"/>
      <c r="AH613511" s="5"/>
      <c r="AK613511" s="5"/>
    </row>
    <row r="613521" spans="25:37" x14ac:dyDescent="0.2">
      <c r="Y613521" s="251"/>
      <c r="AB613521" s="251"/>
      <c r="AE613521" s="251"/>
      <c r="AH613521" s="251"/>
      <c r="AK613521" s="251"/>
    </row>
    <row r="613636" spans="25:37" x14ac:dyDescent="0.2">
      <c r="Y613636" s="5"/>
      <c r="AB613636" s="5"/>
      <c r="AE613636" s="5"/>
      <c r="AH613636" s="5"/>
      <c r="AK613636" s="5"/>
    </row>
    <row r="613646" spans="25:37" x14ac:dyDescent="0.2">
      <c r="Y613646" s="251"/>
      <c r="AB613646" s="251"/>
      <c r="AE613646" s="251"/>
      <c r="AH613646" s="251"/>
      <c r="AK613646" s="251"/>
    </row>
    <row r="613761" spans="25:37" x14ac:dyDescent="0.2">
      <c r="Y613761" s="5"/>
      <c r="AB613761" s="5"/>
      <c r="AE613761" s="5"/>
      <c r="AH613761" s="5"/>
      <c r="AK613761" s="5"/>
    </row>
    <row r="613771" spans="25:37" x14ac:dyDescent="0.2">
      <c r="Y613771" s="251"/>
      <c r="AB613771" s="251"/>
      <c r="AE613771" s="251"/>
      <c r="AH613771" s="251"/>
      <c r="AK613771" s="251"/>
    </row>
    <row r="613886" spans="25:37" x14ac:dyDescent="0.2">
      <c r="Y613886" s="5"/>
      <c r="AB613886" s="5"/>
      <c r="AE613886" s="5"/>
      <c r="AH613886" s="5"/>
      <c r="AK613886" s="5"/>
    </row>
    <row r="613896" spans="25:37" x14ac:dyDescent="0.2">
      <c r="Y613896" s="251"/>
      <c r="AB613896" s="251"/>
      <c r="AE613896" s="251"/>
      <c r="AH613896" s="251"/>
      <c r="AK613896" s="251"/>
    </row>
    <row r="614011" spans="25:37" x14ac:dyDescent="0.2">
      <c r="Y614011" s="5"/>
      <c r="AB614011" s="5"/>
      <c r="AE614011" s="5"/>
      <c r="AH614011" s="5"/>
      <c r="AK614011" s="5"/>
    </row>
    <row r="614021" spans="25:37" x14ac:dyDescent="0.2">
      <c r="Y614021" s="251"/>
      <c r="AB614021" s="251"/>
      <c r="AE614021" s="251"/>
      <c r="AH614021" s="251"/>
      <c r="AK614021" s="251"/>
    </row>
    <row r="614136" spans="25:37" x14ac:dyDescent="0.2">
      <c r="Y614136" s="5"/>
      <c r="AB614136" s="5"/>
      <c r="AE614136" s="5"/>
      <c r="AH614136" s="5"/>
      <c r="AK614136" s="5"/>
    </row>
    <row r="614146" spans="25:37" x14ac:dyDescent="0.2">
      <c r="Y614146" s="251"/>
      <c r="AB614146" s="251"/>
      <c r="AE614146" s="251"/>
      <c r="AH614146" s="251"/>
      <c r="AK614146" s="251"/>
    </row>
    <row r="614261" spans="25:37" x14ac:dyDescent="0.2">
      <c r="Y614261" s="5"/>
      <c r="AB614261" s="5"/>
      <c r="AE614261" s="5"/>
      <c r="AH614261" s="5"/>
      <c r="AK614261" s="5"/>
    </row>
    <row r="614271" spans="25:37" x14ac:dyDescent="0.2">
      <c r="Y614271" s="251"/>
      <c r="AB614271" s="251"/>
      <c r="AE614271" s="251"/>
      <c r="AH614271" s="251"/>
      <c r="AK614271" s="251"/>
    </row>
    <row r="614386" spans="25:37" x14ac:dyDescent="0.2">
      <c r="Y614386" s="5"/>
      <c r="AB614386" s="5"/>
      <c r="AE614386" s="5"/>
      <c r="AH614386" s="5"/>
      <c r="AK614386" s="5"/>
    </row>
    <row r="614396" spans="25:37" x14ac:dyDescent="0.2">
      <c r="Y614396" s="251"/>
      <c r="AB614396" s="251"/>
      <c r="AE614396" s="251"/>
      <c r="AH614396" s="251"/>
      <c r="AK614396" s="251"/>
    </row>
    <row r="614511" spans="25:37" x14ac:dyDescent="0.2">
      <c r="Y614511" s="5"/>
      <c r="AB614511" s="5"/>
      <c r="AE614511" s="5"/>
      <c r="AH614511" s="5"/>
      <c r="AK614511" s="5"/>
    </row>
    <row r="614521" spans="25:37" x14ac:dyDescent="0.2">
      <c r="Y614521" s="251"/>
      <c r="AB614521" s="251"/>
      <c r="AE614521" s="251"/>
      <c r="AH614521" s="251"/>
      <c r="AK614521" s="251"/>
    </row>
    <row r="614636" spans="25:37" x14ac:dyDescent="0.2">
      <c r="Y614636" s="5"/>
      <c r="AB614636" s="5"/>
      <c r="AE614636" s="5"/>
      <c r="AH614636" s="5"/>
      <c r="AK614636" s="5"/>
    </row>
    <row r="614646" spans="25:37" x14ac:dyDescent="0.2">
      <c r="Y614646" s="251"/>
      <c r="AB614646" s="251"/>
      <c r="AE614646" s="251"/>
      <c r="AH614646" s="251"/>
      <c r="AK614646" s="251"/>
    </row>
    <row r="614761" spans="25:37" x14ac:dyDescent="0.2">
      <c r="Y614761" s="5"/>
      <c r="AB614761" s="5"/>
      <c r="AE614761" s="5"/>
      <c r="AH614761" s="5"/>
      <c r="AK614761" s="5"/>
    </row>
    <row r="614771" spans="25:37" x14ac:dyDescent="0.2">
      <c r="Y614771" s="251"/>
      <c r="AB614771" s="251"/>
      <c r="AE614771" s="251"/>
      <c r="AH614771" s="251"/>
      <c r="AK614771" s="251"/>
    </row>
    <row r="614886" spans="25:37" x14ac:dyDescent="0.2">
      <c r="Y614886" s="5"/>
      <c r="AB614886" s="5"/>
      <c r="AE614886" s="5"/>
      <c r="AH614886" s="5"/>
      <c r="AK614886" s="5"/>
    </row>
    <row r="614896" spans="25:37" x14ac:dyDescent="0.2">
      <c r="Y614896" s="251"/>
      <c r="AB614896" s="251"/>
      <c r="AE614896" s="251"/>
      <c r="AH614896" s="251"/>
      <c r="AK614896" s="251"/>
    </row>
    <row r="615011" spans="25:37" x14ac:dyDescent="0.2">
      <c r="Y615011" s="5"/>
      <c r="AB615011" s="5"/>
      <c r="AE615011" s="5"/>
      <c r="AH615011" s="5"/>
      <c r="AK615011" s="5"/>
    </row>
    <row r="615021" spans="25:37" x14ac:dyDescent="0.2">
      <c r="Y615021" s="251"/>
      <c r="AB615021" s="251"/>
      <c r="AE615021" s="251"/>
      <c r="AH615021" s="251"/>
      <c r="AK615021" s="251"/>
    </row>
    <row r="615136" spans="25:37" x14ac:dyDescent="0.2">
      <c r="Y615136" s="5"/>
      <c r="AB615136" s="5"/>
      <c r="AE615136" s="5"/>
      <c r="AH615136" s="5"/>
      <c r="AK615136" s="5"/>
    </row>
    <row r="615146" spans="25:37" x14ac:dyDescent="0.2">
      <c r="Y615146" s="251"/>
      <c r="AB615146" s="251"/>
      <c r="AE615146" s="251"/>
      <c r="AH615146" s="251"/>
      <c r="AK615146" s="251"/>
    </row>
    <row r="615261" spans="25:37" x14ac:dyDescent="0.2">
      <c r="Y615261" s="5"/>
      <c r="AB615261" s="5"/>
      <c r="AE615261" s="5"/>
      <c r="AH615261" s="5"/>
      <c r="AK615261" s="5"/>
    </row>
    <row r="615271" spans="25:37" x14ac:dyDescent="0.2">
      <c r="Y615271" s="251"/>
      <c r="AB615271" s="251"/>
      <c r="AE615271" s="251"/>
      <c r="AH615271" s="251"/>
      <c r="AK615271" s="251"/>
    </row>
    <row r="615386" spans="25:37" x14ac:dyDescent="0.2">
      <c r="Y615386" s="5"/>
      <c r="AB615386" s="5"/>
      <c r="AE615386" s="5"/>
      <c r="AH615386" s="5"/>
      <c r="AK615386" s="5"/>
    </row>
    <row r="615396" spans="25:37" x14ac:dyDescent="0.2">
      <c r="Y615396" s="251"/>
      <c r="AB615396" s="251"/>
      <c r="AE615396" s="251"/>
      <c r="AH615396" s="251"/>
      <c r="AK615396" s="251"/>
    </row>
    <row r="615511" spans="25:37" x14ac:dyDescent="0.2">
      <c r="Y615511" s="5"/>
      <c r="AB615511" s="5"/>
      <c r="AE615511" s="5"/>
      <c r="AH615511" s="5"/>
      <c r="AK615511" s="5"/>
    </row>
    <row r="615521" spans="25:37" x14ac:dyDescent="0.2">
      <c r="Y615521" s="251"/>
      <c r="AB615521" s="251"/>
      <c r="AE615521" s="251"/>
      <c r="AH615521" s="251"/>
      <c r="AK615521" s="251"/>
    </row>
    <row r="615636" spans="25:37" x14ac:dyDescent="0.2">
      <c r="Y615636" s="5"/>
      <c r="AB615636" s="5"/>
      <c r="AE615636" s="5"/>
      <c r="AH615636" s="5"/>
      <c r="AK615636" s="5"/>
    </row>
    <row r="615646" spans="25:37" x14ac:dyDescent="0.2">
      <c r="Y615646" s="251"/>
      <c r="AB615646" s="251"/>
      <c r="AE615646" s="251"/>
      <c r="AH615646" s="251"/>
      <c r="AK615646" s="251"/>
    </row>
    <row r="615761" spans="25:37" x14ac:dyDescent="0.2">
      <c r="Y615761" s="5"/>
      <c r="AB615761" s="5"/>
      <c r="AE615761" s="5"/>
      <c r="AH615761" s="5"/>
      <c r="AK615761" s="5"/>
    </row>
    <row r="615771" spans="25:37" x14ac:dyDescent="0.2">
      <c r="Y615771" s="251"/>
      <c r="AB615771" s="251"/>
      <c r="AE615771" s="251"/>
      <c r="AH615771" s="251"/>
      <c r="AK615771" s="251"/>
    </row>
    <row r="615886" spans="25:37" x14ac:dyDescent="0.2">
      <c r="Y615886" s="5"/>
      <c r="AB615886" s="5"/>
      <c r="AE615886" s="5"/>
      <c r="AH615886" s="5"/>
      <c r="AK615886" s="5"/>
    </row>
    <row r="615896" spans="25:37" x14ac:dyDescent="0.2">
      <c r="Y615896" s="251"/>
      <c r="AB615896" s="251"/>
      <c r="AE615896" s="251"/>
      <c r="AH615896" s="251"/>
      <c r="AK615896" s="251"/>
    </row>
    <row r="616011" spans="25:37" x14ac:dyDescent="0.2">
      <c r="Y616011" s="5"/>
      <c r="AB616011" s="5"/>
      <c r="AE616011" s="5"/>
      <c r="AH616011" s="5"/>
      <c r="AK616011" s="5"/>
    </row>
    <row r="616021" spans="25:37" x14ac:dyDescent="0.2">
      <c r="Y616021" s="251"/>
      <c r="AB616021" s="251"/>
      <c r="AE616021" s="251"/>
      <c r="AH616021" s="251"/>
      <c r="AK616021" s="251"/>
    </row>
    <row r="616136" spans="25:37" x14ac:dyDescent="0.2">
      <c r="Y616136" s="5"/>
      <c r="AB616136" s="5"/>
      <c r="AE616136" s="5"/>
      <c r="AH616136" s="5"/>
      <c r="AK616136" s="5"/>
    </row>
    <row r="616146" spans="25:37" x14ac:dyDescent="0.2">
      <c r="Y616146" s="251"/>
      <c r="AB616146" s="251"/>
      <c r="AE616146" s="251"/>
      <c r="AH616146" s="251"/>
      <c r="AK616146" s="251"/>
    </row>
    <row r="616261" spans="25:37" x14ac:dyDescent="0.2">
      <c r="Y616261" s="5"/>
      <c r="AB616261" s="5"/>
      <c r="AE616261" s="5"/>
      <c r="AH616261" s="5"/>
      <c r="AK616261" s="5"/>
    </row>
    <row r="616271" spans="25:37" x14ac:dyDescent="0.2">
      <c r="Y616271" s="251"/>
      <c r="AB616271" s="251"/>
      <c r="AE616271" s="251"/>
      <c r="AH616271" s="251"/>
      <c r="AK616271" s="251"/>
    </row>
    <row r="616386" spans="25:37" x14ac:dyDescent="0.2">
      <c r="Y616386" s="5"/>
      <c r="AB616386" s="5"/>
      <c r="AE616386" s="5"/>
      <c r="AH616386" s="5"/>
      <c r="AK616386" s="5"/>
    </row>
    <row r="616396" spans="25:37" x14ac:dyDescent="0.2">
      <c r="Y616396" s="251"/>
      <c r="AB616396" s="251"/>
      <c r="AE616396" s="251"/>
      <c r="AH616396" s="251"/>
      <c r="AK616396" s="251"/>
    </row>
    <row r="616511" spans="25:37" x14ac:dyDescent="0.2">
      <c r="Y616511" s="5"/>
      <c r="AB616511" s="5"/>
      <c r="AE616511" s="5"/>
      <c r="AH616511" s="5"/>
      <c r="AK616511" s="5"/>
    </row>
    <row r="616521" spans="25:37" x14ac:dyDescent="0.2">
      <c r="Y616521" s="251"/>
      <c r="AB616521" s="251"/>
      <c r="AE616521" s="251"/>
      <c r="AH616521" s="251"/>
      <c r="AK616521" s="251"/>
    </row>
    <row r="616636" spans="25:37" x14ac:dyDescent="0.2">
      <c r="Y616636" s="5"/>
      <c r="AB616636" s="5"/>
      <c r="AE616636" s="5"/>
      <c r="AH616636" s="5"/>
      <c r="AK616636" s="5"/>
    </row>
    <row r="616646" spans="25:37" x14ac:dyDescent="0.2">
      <c r="Y616646" s="251"/>
      <c r="AB616646" s="251"/>
      <c r="AE616646" s="251"/>
      <c r="AH616646" s="251"/>
      <c r="AK616646" s="251"/>
    </row>
    <row r="616761" spans="25:37" x14ac:dyDescent="0.2">
      <c r="Y616761" s="5"/>
      <c r="AB616761" s="5"/>
      <c r="AE616761" s="5"/>
      <c r="AH616761" s="5"/>
      <c r="AK616761" s="5"/>
    </row>
    <row r="616771" spans="25:37" x14ac:dyDescent="0.2">
      <c r="Y616771" s="251"/>
      <c r="AB616771" s="251"/>
      <c r="AE616771" s="251"/>
      <c r="AH616771" s="251"/>
      <c r="AK616771" s="251"/>
    </row>
    <row r="616886" spans="25:37" x14ac:dyDescent="0.2">
      <c r="Y616886" s="5"/>
      <c r="AB616886" s="5"/>
      <c r="AE616886" s="5"/>
      <c r="AH616886" s="5"/>
      <c r="AK616886" s="5"/>
    </row>
    <row r="616896" spans="25:37" x14ac:dyDescent="0.2">
      <c r="Y616896" s="251"/>
      <c r="AB616896" s="251"/>
      <c r="AE616896" s="251"/>
      <c r="AH616896" s="251"/>
      <c r="AK616896" s="251"/>
    </row>
    <row r="617011" spans="25:37" x14ac:dyDescent="0.2">
      <c r="Y617011" s="5"/>
      <c r="AB617011" s="5"/>
      <c r="AE617011" s="5"/>
      <c r="AH617011" s="5"/>
      <c r="AK617011" s="5"/>
    </row>
    <row r="617021" spans="25:37" x14ac:dyDescent="0.2">
      <c r="Y617021" s="251"/>
      <c r="AB617021" s="251"/>
      <c r="AE617021" s="251"/>
      <c r="AH617021" s="251"/>
      <c r="AK617021" s="251"/>
    </row>
    <row r="617136" spans="25:37" x14ac:dyDescent="0.2">
      <c r="Y617136" s="5"/>
      <c r="AB617136" s="5"/>
      <c r="AE617136" s="5"/>
      <c r="AH617136" s="5"/>
      <c r="AK617136" s="5"/>
    </row>
    <row r="617146" spans="25:37" x14ac:dyDescent="0.2">
      <c r="Y617146" s="251"/>
      <c r="AB617146" s="251"/>
      <c r="AE617146" s="251"/>
      <c r="AH617146" s="251"/>
      <c r="AK617146" s="251"/>
    </row>
    <row r="617261" spans="25:37" x14ac:dyDescent="0.2">
      <c r="Y617261" s="5"/>
      <c r="AB617261" s="5"/>
      <c r="AE617261" s="5"/>
      <c r="AH617261" s="5"/>
      <c r="AK617261" s="5"/>
    </row>
    <row r="617271" spans="25:37" x14ac:dyDescent="0.2">
      <c r="Y617271" s="251"/>
      <c r="AB617271" s="251"/>
      <c r="AE617271" s="251"/>
      <c r="AH617271" s="251"/>
      <c r="AK617271" s="251"/>
    </row>
    <row r="617386" spans="25:37" x14ac:dyDescent="0.2">
      <c r="Y617386" s="5"/>
      <c r="AB617386" s="5"/>
      <c r="AE617386" s="5"/>
      <c r="AH617386" s="5"/>
      <c r="AK617386" s="5"/>
    </row>
    <row r="617396" spans="25:37" x14ac:dyDescent="0.2">
      <c r="Y617396" s="251"/>
      <c r="AB617396" s="251"/>
      <c r="AE617396" s="251"/>
      <c r="AH617396" s="251"/>
      <c r="AK617396" s="251"/>
    </row>
    <row r="617511" spans="25:37" x14ac:dyDescent="0.2">
      <c r="Y617511" s="5"/>
      <c r="AB617511" s="5"/>
      <c r="AE617511" s="5"/>
      <c r="AH617511" s="5"/>
      <c r="AK617511" s="5"/>
    </row>
    <row r="617521" spans="25:37" x14ac:dyDescent="0.2">
      <c r="Y617521" s="251"/>
      <c r="AB617521" s="251"/>
      <c r="AE617521" s="251"/>
      <c r="AH617521" s="251"/>
      <c r="AK617521" s="251"/>
    </row>
    <row r="617636" spans="25:37" x14ac:dyDescent="0.2">
      <c r="Y617636" s="5"/>
      <c r="AB617636" s="5"/>
      <c r="AE617636" s="5"/>
      <c r="AH617636" s="5"/>
      <c r="AK617636" s="5"/>
    </row>
    <row r="617646" spans="25:37" x14ac:dyDescent="0.2">
      <c r="Y617646" s="251"/>
      <c r="AB617646" s="251"/>
      <c r="AE617646" s="251"/>
      <c r="AH617646" s="251"/>
      <c r="AK617646" s="251"/>
    </row>
    <row r="617761" spans="25:37" x14ac:dyDescent="0.2">
      <c r="Y617761" s="5"/>
      <c r="AB617761" s="5"/>
      <c r="AE617761" s="5"/>
      <c r="AH617761" s="5"/>
      <c r="AK617761" s="5"/>
    </row>
    <row r="617771" spans="25:37" x14ac:dyDescent="0.2">
      <c r="Y617771" s="251"/>
      <c r="AB617771" s="251"/>
      <c r="AE617771" s="251"/>
      <c r="AH617771" s="251"/>
      <c r="AK617771" s="251"/>
    </row>
    <row r="617886" spans="25:37" x14ac:dyDescent="0.2">
      <c r="Y617886" s="5"/>
      <c r="AB617886" s="5"/>
      <c r="AE617886" s="5"/>
      <c r="AH617886" s="5"/>
      <c r="AK617886" s="5"/>
    </row>
    <row r="617896" spans="25:37" x14ac:dyDescent="0.2">
      <c r="Y617896" s="251"/>
      <c r="AB617896" s="251"/>
      <c r="AE617896" s="251"/>
      <c r="AH617896" s="251"/>
      <c r="AK617896" s="251"/>
    </row>
    <row r="618011" spans="25:37" x14ac:dyDescent="0.2">
      <c r="Y618011" s="5"/>
      <c r="AB618011" s="5"/>
      <c r="AE618011" s="5"/>
      <c r="AH618011" s="5"/>
      <c r="AK618011" s="5"/>
    </row>
    <row r="618021" spans="25:37" x14ac:dyDescent="0.2">
      <c r="Y618021" s="251"/>
      <c r="AB618021" s="251"/>
      <c r="AE618021" s="251"/>
      <c r="AH618021" s="251"/>
      <c r="AK618021" s="251"/>
    </row>
    <row r="618136" spans="25:37" x14ac:dyDescent="0.2">
      <c r="Y618136" s="5"/>
      <c r="AB618136" s="5"/>
      <c r="AE618136" s="5"/>
      <c r="AH618136" s="5"/>
      <c r="AK618136" s="5"/>
    </row>
    <row r="618146" spans="25:37" x14ac:dyDescent="0.2">
      <c r="Y618146" s="251"/>
      <c r="AB618146" s="251"/>
      <c r="AE618146" s="251"/>
      <c r="AH618146" s="251"/>
      <c r="AK618146" s="251"/>
    </row>
    <row r="618261" spans="25:37" x14ac:dyDescent="0.2">
      <c r="Y618261" s="5"/>
      <c r="AB618261" s="5"/>
      <c r="AE618261" s="5"/>
      <c r="AH618261" s="5"/>
      <c r="AK618261" s="5"/>
    </row>
    <row r="618271" spans="25:37" x14ac:dyDescent="0.2">
      <c r="Y618271" s="251"/>
      <c r="AB618271" s="251"/>
      <c r="AE618271" s="251"/>
      <c r="AH618271" s="251"/>
      <c r="AK618271" s="251"/>
    </row>
    <row r="618386" spans="25:37" x14ac:dyDescent="0.2">
      <c r="Y618386" s="5"/>
      <c r="AB618386" s="5"/>
      <c r="AE618386" s="5"/>
      <c r="AH618386" s="5"/>
      <c r="AK618386" s="5"/>
    </row>
    <row r="618396" spans="25:37" x14ac:dyDescent="0.2">
      <c r="Y618396" s="251"/>
      <c r="AB618396" s="251"/>
      <c r="AE618396" s="251"/>
      <c r="AH618396" s="251"/>
      <c r="AK618396" s="251"/>
    </row>
    <row r="618511" spans="25:37" x14ac:dyDescent="0.2">
      <c r="Y618511" s="5"/>
      <c r="AB618511" s="5"/>
      <c r="AE618511" s="5"/>
      <c r="AH618511" s="5"/>
      <c r="AK618511" s="5"/>
    </row>
    <row r="618521" spans="25:37" x14ac:dyDescent="0.2">
      <c r="Y618521" s="251"/>
      <c r="AB618521" s="251"/>
      <c r="AE618521" s="251"/>
      <c r="AH618521" s="251"/>
      <c r="AK618521" s="251"/>
    </row>
    <row r="618636" spans="25:37" x14ac:dyDescent="0.2">
      <c r="Y618636" s="5"/>
      <c r="AB618636" s="5"/>
      <c r="AE618636" s="5"/>
      <c r="AH618636" s="5"/>
      <c r="AK618636" s="5"/>
    </row>
    <row r="618646" spans="25:37" x14ac:dyDescent="0.2">
      <c r="Y618646" s="251"/>
      <c r="AB618646" s="251"/>
      <c r="AE618646" s="251"/>
      <c r="AH618646" s="251"/>
      <c r="AK618646" s="251"/>
    </row>
    <row r="618761" spans="25:37" x14ac:dyDescent="0.2">
      <c r="Y618761" s="5"/>
      <c r="AB618761" s="5"/>
      <c r="AE618761" s="5"/>
      <c r="AH618761" s="5"/>
      <c r="AK618761" s="5"/>
    </row>
    <row r="618771" spans="25:37" x14ac:dyDescent="0.2">
      <c r="Y618771" s="251"/>
      <c r="AB618771" s="251"/>
      <c r="AE618771" s="251"/>
      <c r="AH618771" s="251"/>
      <c r="AK618771" s="251"/>
    </row>
    <row r="618886" spans="25:37" x14ac:dyDescent="0.2">
      <c r="Y618886" s="5"/>
      <c r="AB618886" s="5"/>
      <c r="AE618886" s="5"/>
      <c r="AH618886" s="5"/>
      <c r="AK618886" s="5"/>
    </row>
    <row r="618896" spans="25:37" x14ac:dyDescent="0.2">
      <c r="Y618896" s="251"/>
      <c r="AB618896" s="251"/>
      <c r="AE618896" s="251"/>
      <c r="AH618896" s="251"/>
      <c r="AK618896" s="251"/>
    </row>
    <row r="619011" spans="25:37" x14ac:dyDescent="0.2">
      <c r="Y619011" s="5"/>
      <c r="AB619011" s="5"/>
      <c r="AE619011" s="5"/>
      <c r="AH619011" s="5"/>
      <c r="AK619011" s="5"/>
    </row>
    <row r="619021" spans="25:37" x14ac:dyDescent="0.2">
      <c r="Y619021" s="251"/>
      <c r="AB619021" s="251"/>
      <c r="AE619021" s="251"/>
      <c r="AH619021" s="251"/>
      <c r="AK619021" s="251"/>
    </row>
    <row r="619136" spans="25:37" x14ac:dyDescent="0.2">
      <c r="Y619136" s="5"/>
      <c r="AB619136" s="5"/>
      <c r="AE619136" s="5"/>
      <c r="AH619136" s="5"/>
      <c r="AK619136" s="5"/>
    </row>
    <row r="619146" spans="25:37" x14ac:dyDescent="0.2">
      <c r="Y619146" s="251"/>
      <c r="AB619146" s="251"/>
      <c r="AE619146" s="251"/>
      <c r="AH619146" s="251"/>
      <c r="AK619146" s="251"/>
    </row>
    <row r="619261" spans="25:37" x14ac:dyDescent="0.2">
      <c r="Y619261" s="5"/>
      <c r="AB619261" s="5"/>
      <c r="AE619261" s="5"/>
      <c r="AH619261" s="5"/>
      <c r="AK619261" s="5"/>
    </row>
    <row r="619271" spans="25:37" x14ac:dyDescent="0.2">
      <c r="Y619271" s="251"/>
      <c r="AB619271" s="251"/>
      <c r="AE619271" s="251"/>
      <c r="AH619271" s="251"/>
      <c r="AK619271" s="251"/>
    </row>
    <row r="619386" spans="25:37" x14ac:dyDescent="0.2">
      <c r="Y619386" s="5"/>
      <c r="AB619386" s="5"/>
      <c r="AE619386" s="5"/>
      <c r="AH619386" s="5"/>
      <c r="AK619386" s="5"/>
    </row>
    <row r="619396" spans="25:37" x14ac:dyDescent="0.2">
      <c r="Y619396" s="251"/>
      <c r="AB619396" s="251"/>
      <c r="AE619396" s="251"/>
      <c r="AH619396" s="251"/>
      <c r="AK619396" s="251"/>
    </row>
    <row r="619511" spans="25:37" x14ac:dyDescent="0.2">
      <c r="Y619511" s="5"/>
      <c r="AB619511" s="5"/>
      <c r="AE619511" s="5"/>
      <c r="AH619511" s="5"/>
      <c r="AK619511" s="5"/>
    </row>
    <row r="619521" spans="25:37" x14ac:dyDescent="0.2">
      <c r="Y619521" s="251"/>
      <c r="AB619521" s="251"/>
      <c r="AE619521" s="251"/>
      <c r="AH619521" s="251"/>
      <c r="AK619521" s="251"/>
    </row>
    <row r="619636" spans="25:37" x14ac:dyDescent="0.2">
      <c r="Y619636" s="5"/>
      <c r="AB619636" s="5"/>
      <c r="AE619636" s="5"/>
      <c r="AH619636" s="5"/>
      <c r="AK619636" s="5"/>
    </row>
    <row r="619646" spans="25:37" x14ac:dyDescent="0.2">
      <c r="Y619646" s="251"/>
      <c r="AB619646" s="251"/>
      <c r="AE619646" s="251"/>
      <c r="AH619646" s="251"/>
      <c r="AK619646" s="251"/>
    </row>
    <row r="619761" spans="25:37" x14ac:dyDescent="0.2">
      <c r="Y619761" s="5"/>
      <c r="AB619761" s="5"/>
      <c r="AE619761" s="5"/>
      <c r="AH619761" s="5"/>
      <c r="AK619761" s="5"/>
    </row>
    <row r="619771" spans="25:37" x14ac:dyDescent="0.2">
      <c r="Y619771" s="251"/>
      <c r="AB619771" s="251"/>
      <c r="AE619771" s="251"/>
      <c r="AH619771" s="251"/>
      <c r="AK619771" s="251"/>
    </row>
    <row r="619886" spans="25:37" x14ac:dyDescent="0.2">
      <c r="Y619886" s="5"/>
      <c r="AB619886" s="5"/>
      <c r="AE619886" s="5"/>
      <c r="AH619886" s="5"/>
      <c r="AK619886" s="5"/>
    </row>
    <row r="619896" spans="25:37" x14ac:dyDescent="0.2">
      <c r="Y619896" s="251"/>
      <c r="AB619896" s="251"/>
      <c r="AE619896" s="251"/>
      <c r="AH619896" s="251"/>
      <c r="AK619896" s="251"/>
    </row>
    <row r="620011" spans="25:37" x14ac:dyDescent="0.2">
      <c r="Y620011" s="5"/>
      <c r="AB620011" s="5"/>
      <c r="AE620011" s="5"/>
      <c r="AH620011" s="5"/>
      <c r="AK620011" s="5"/>
    </row>
    <row r="620021" spans="25:37" x14ac:dyDescent="0.2">
      <c r="Y620021" s="251"/>
      <c r="AB620021" s="251"/>
      <c r="AE620021" s="251"/>
      <c r="AH620021" s="251"/>
      <c r="AK620021" s="251"/>
    </row>
    <row r="620136" spans="25:37" x14ac:dyDescent="0.2">
      <c r="Y620136" s="5"/>
      <c r="AB620136" s="5"/>
      <c r="AE620136" s="5"/>
      <c r="AH620136" s="5"/>
      <c r="AK620136" s="5"/>
    </row>
    <row r="620146" spans="25:37" x14ac:dyDescent="0.2">
      <c r="Y620146" s="251"/>
      <c r="AB620146" s="251"/>
      <c r="AE620146" s="251"/>
      <c r="AH620146" s="251"/>
      <c r="AK620146" s="251"/>
    </row>
    <row r="620261" spans="25:37" x14ac:dyDescent="0.2">
      <c r="Y620261" s="5"/>
      <c r="AB620261" s="5"/>
      <c r="AE620261" s="5"/>
      <c r="AH620261" s="5"/>
      <c r="AK620261" s="5"/>
    </row>
    <row r="620271" spans="25:37" x14ac:dyDescent="0.2">
      <c r="Y620271" s="251"/>
      <c r="AB620271" s="251"/>
      <c r="AE620271" s="251"/>
      <c r="AH620271" s="251"/>
      <c r="AK620271" s="251"/>
    </row>
    <row r="620386" spans="25:37" x14ac:dyDescent="0.2">
      <c r="Y620386" s="5"/>
      <c r="AB620386" s="5"/>
      <c r="AE620386" s="5"/>
      <c r="AH620386" s="5"/>
      <c r="AK620386" s="5"/>
    </row>
    <row r="620396" spans="25:37" x14ac:dyDescent="0.2">
      <c r="Y620396" s="251"/>
      <c r="AB620396" s="251"/>
      <c r="AE620396" s="251"/>
      <c r="AH620396" s="251"/>
      <c r="AK620396" s="251"/>
    </row>
    <row r="620511" spans="25:37" x14ac:dyDescent="0.2">
      <c r="Y620511" s="5"/>
      <c r="AB620511" s="5"/>
      <c r="AE620511" s="5"/>
      <c r="AH620511" s="5"/>
      <c r="AK620511" s="5"/>
    </row>
    <row r="620521" spans="25:37" x14ac:dyDescent="0.2">
      <c r="Y620521" s="251"/>
      <c r="AB620521" s="251"/>
      <c r="AE620521" s="251"/>
      <c r="AH620521" s="251"/>
      <c r="AK620521" s="251"/>
    </row>
    <row r="620636" spans="25:37" x14ac:dyDescent="0.2">
      <c r="Y620636" s="5"/>
      <c r="AB620636" s="5"/>
      <c r="AE620636" s="5"/>
      <c r="AH620636" s="5"/>
      <c r="AK620636" s="5"/>
    </row>
    <row r="620646" spans="25:37" x14ac:dyDescent="0.2">
      <c r="Y620646" s="251"/>
      <c r="AB620646" s="251"/>
      <c r="AE620646" s="251"/>
      <c r="AH620646" s="251"/>
      <c r="AK620646" s="251"/>
    </row>
    <row r="620761" spans="25:37" x14ac:dyDescent="0.2">
      <c r="Y620761" s="5"/>
      <c r="AB620761" s="5"/>
      <c r="AE620761" s="5"/>
      <c r="AH620761" s="5"/>
      <c r="AK620761" s="5"/>
    </row>
    <row r="620771" spans="25:37" x14ac:dyDescent="0.2">
      <c r="Y620771" s="251"/>
      <c r="AB620771" s="251"/>
      <c r="AE620771" s="251"/>
      <c r="AH620771" s="251"/>
      <c r="AK620771" s="251"/>
    </row>
    <row r="620886" spans="25:37" x14ac:dyDescent="0.2">
      <c r="Y620886" s="5"/>
      <c r="AB620886" s="5"/>
      <c r="AE620886" s="5"/>
      <c r="AH620886" s="5"/>
      <c r="AK620886" s="5"/>
    </row>
    <row r="620896" spans="25:37" x14ac:dyDescent="0.2">
      <c r="Y620896" s="251"/>
      <c r="AB620896" s="251"/>
      <c r="AE620896" s="251"/>
      <c r="AH620896" s="251"/>
      <c r="AK620896" s="251"/>
    </row>
    <row r="621011" spans="25:37" x14ac:dyDescent="0.2">
      <c r="Y621011" s="5"/>
      <c r="AB621011" s="5"/>
      <c r="AE621011" s="5"/>
      <c r="AH621011" s="5"/>
      <c r="AK621011" s="5"/>
    </row>
    <row r="621021" spans="25:37" x14ac:dyDescent="0.2">
      <c r="Y621021" s="251"/>
      <c r="AB621021" s="251"/>
      <c r="AE621021" s="251"/>
      <c r="AH621021" s="251"/>
      <c r="AK621021" s="251"/>
    </row>
    <row r="621136" spans="25:37" x14ac:dyDescent="0.2">
      <c r="Y621136" s="5"/>
      <c r="AB621136" s="5"/>
      <c r="AE621136" s="5"/>
      <c r="AH621136" s="5"/>
      <c r="AK621136" s="5"/>
    </row>
    <row r="621146" spans="25:37" x14ac:dyDescent="0.2">
      <c r="Y621146" s="251"/>
      <c r="AB621146" s="251"/>
      <c r="AE621146" s="251"/>
      <c r="AH621146" s="251"/>
      <c r="AK621146" s="251"/>
    </row>
    <row r="621261" spans="25:37" x14ac:dyDescent="0.2">
      <c r="Y621261" s="5"/>
      <c r="AB621261" s="5"/>
      <c r="AE621261" s="5"/>
      <c r="AH621261" s="5"/>
      <c r="AK621261" s="5"/>
    </row>
    <row r="621271" spans="25:37" x14ac:dyDescent="0.2">
      <c r="Y621271" s="251"/>
      <c r="AB621271" s="251"/>
      <c r="AE621271" s="251"/>
      <c r="AH621271" s="251"/>
      <c r="AK621271" s="251"/>
    </row>
    <row r="621386" spans="25:37" x14ac:dyDescent="0.2">
      <c r="Y621386" s="5"/>
      <c r="AB621386" s="5"/>
      <c r="AE621386" s="5"/>
      <c r="AH621386" s="5"/>
      <c r="AK621386" s="5"/>
    </row>
    <row r="621396" spans="25:37" x14ac:dyDescent="0.2">
      <c r="Y621396" s="251"/>
      <c r="AB621396" s="251"/>
      <c r="AE621396" s="251"/>
      <c r="AH621396" s="251"/>
      <c r="AK621396" s="251"/>
    </row>
    <row r="621511" spans="25:37" x14ac:dyDescent="0.2">
      <c r="Y621511" s="5"/>
      <c r="AB621511" s="5"/>
      <c r="AE621511" s="5"/>
      <c r="AH621511" s="5"/>
      <c r="AK621511" s="5"/>
    </row>
    <row r="621521" spans="25:37" x14ac:dyDescent="0.2">
      <c r="Y621521" s="251"/>
      <c r="AB621521" s="251"/>
      <c r="AE621521" s="251"/>
      <c r="AH621521" s="251"/>
      <c r="AK621521" s="251"/>
    </row>
    <row r="621636" spans="25:37" x14ac:dyDescent="0.2">
      <c r="Y621636" s="5"/>
      <c r="AB621636" s="5"/>
      <c r="AE621636" s="5"/>
      <c r="AH621636" s="5"/>
      <c r="AK621636" s="5"/>
    </row>
    <row r="621646" spans="25:37" x14ac:dyDescent="0.2">
      <c r="Y621646" s="251"/>
      <c r="AB621646" s="251"/>
      <c r="AE621646" s="251"/>
      <c r="AH621646" s="251"/>
      <c r="AK621646" s="251"/>
    </row>
    <row r="621761" spans="25:37" x14ac:dyDescent="0.2">
      <c r="Y621761" s="5"/>
      <c r="AB621761" s="5"/>
      <c r="AE621761" s="5"/>
      <c r="AH621761" s="5"/>
      <c r="AK621761" s="5"/>
    </row>
    <row r="621771" spans="25:37" x14ac:dyDescent="0.2">
      <c r="Y621771" s="251"/>
      <c r="AB621771" s="251"/>
      <c r="AE621771" s="251"/>
      <c r="AH621771" s="251"/>
      <c r="AK621771" s="251"/>
    </row>
    <row r="621886" spans="25:37" x14ac:dyDescent="0.2">
      <c r="Y621886" s="5"/>
      <c r="AB621886" s="5"/>
      <c r="AE621886" s="5"/>
      <c r="AH621886" s="5"/>
      <c r="AK621886" s="5"/>
    </row>
    <row r="621896" spans="25:37" x14ac:dyDescent="0.2">
      <c r="Y621896" s="251"/>
      <c r="AB621896" s="251"/>
      <c r="AE621896" s="251"/>
      <c r="AH621896" s="251"/>
      <c r="AK621896" s="251"/>
    </row>
    <row r="622011" spans="25:37" x14ac:dyDescent="0.2">
      <c r="Y622011" s="5"/>
      <c r="AB622011" s="5"/>
      <c r="AE622011" s="5"/>
      <c r="AH622011" s="5"/>
      <c r="AK622011" s="5"/>
    </row>
    <row r="622021" spans="25:37" x14ac:dyDescent="0.2">
      <c r="Y622021" s="251"/>
      <c r="AB622021" s="251"/>
      <c r="AE622021" s="251"/>
      <c r="AH622021" s="251"/>
      <c r="AK622021" s="251"/>
    </row>
    <row r="622136" spans="25:37" x14ac:dyDescent="0.2">
      <c r="Y622136" s="5"/>
      <c r="AB622136" s="5"/>
      <c r="AE622136" s="5"/>
      <c r="AH622136" s="5"/>
      <c r="AK622136" s="5"/>
    </row>
    <row r="622146" spans="25:37" x14ac:dyDescent="0.2">
      <c r="Y622146" s="251"/>
      <c r="AB622146" s="251"/>
      <c r="AE622146" s="251"/>
      <c r="AH622146" s="251"/>
      <c r="AK622146" s="251"/>
    </row>
    <row r="622261" spans="25:37" x14ac:dyDescent="0.2">
      <c r="Y622261" s="5"/>
      <c r="AB622261" s="5"/>
      <c r="AE622261" s="5"/>
      <c r="AH622261" s="5"/>
      <c r="AK622261" s="5"/>
    </row>
    <row r="622271" spans="25:37" x14ac:dyDescent="0.2">
      <c r="Y622271" s="251"/>
      <c r="AB622271" s="251"/>
      <c r="AE622271" s="251"/>
      <c r="AH622271" s="251"/>
      <c r="AK622271" s="251"/>
    </row>
    <row r="622386" spans="25:37" x14ac:dyDescent="0.2">
      <c r="Y622386" s="5"/>
      <c r="AB622386" s="5"/>
      <c r="AE622386" s="5"/>
      <c r="AH622386" s="5"/>
      <c r="AK622386" s="5"/>
    </row>
    <row r="622396" spans="25:37" x14ac:dyDescent="0.2">
      <c r="Y622396" s="251"/>
      <c r="AB622396" s="251"/>
      <c r="AE622396" s="251"/>
      <c r="AH622396" s="251"/>
      <c r="AK622396" s="251"/>
    </row>
    <row r="622511" spans="25:37" x14ac:dyDescent="0.2">
      <c r="Y622511" s="5"/>
      <c r="AB622511" s="5"/>
      <c r="AE622511" s="5"/>
      <c r="AH622511" s="5"/>
      <c r="AK622511" s="5"/>
    </row>
    <row r="622521" spans="25:37" x14ac:dyDescent="0.2">
      <c r="Y622521" s="251"/>
      <c r="AB622521" s="251"/>
      <c r="AE622521" s="251"/>
      <c r="AH622521" s="251"/>
      <c r="AK622521" s="251"/>
    </row>
    <row r="622636" spans="25:37" x14ac:dyDescent="0.2">
      <c r="Y622636" s="5"/>
      <c r="AB622636" s="5"/>
      <c r="AE622636" s="5"/>
      <c r="AH622636" s="5"/>
      <c r="AK622636" s="5"/>
    </row>
    <row r="622646" spans="25:37" x14ac:dyDescent="0.2">
      <c r="Y622646" s="251"/>
      <c r="AB622646" s="251"/>
      <c r="AE622646" s="251"/>
      <c r="AH622646" s="251"/>
      <c r="AK622646" s="251"/>
    </row>
    <row r="622761" spans="25:37" x14ac:dyDescent="0.2">
      <c r="Y622761" s="5"/>
      <c r="AB622761" s="5"/>
      <c r="AE622761" s="5"/>
      <c r="AH622761" s="5"/>
      <c r="AK622761" s="5"/>
    </row>
    <row r="622771" spans="25:37" x14ac:dyDescent="0.2">
      <c r="Y622771" s="251"/>
      <c r="AB622771" s="251"/>
      <c r="AE622771" s="251"/>
      <c r="AH622771" s="251"/>
      <c r="AK622771" s="251"/>
    </row>
    <row r="622886" spans="25:37" x14ac:dyDescent="0.2">
      <c r="Y622886" s="5"/>
      <c r="AB622886" s="5"/>
      <c r="AE622886" s="5"/>
      <c r="AH622886" s="5"/>
      <c r="AK622886" s="5"/>
    </row>
    <row r="622896" spans="25:37" x14ac:dyDescent="0.2">
      <c r="Y622896" s="251"/>
      <c r="AB622896" s="251"/>
      <c r="AE622896" s="251"/>
      <c r="AH622896" s="251"/>
      <c r="AK622896" s="251"/>
    </row>
    <row r="623011" spans="25:37" x14ac:dyDescent="0.2">
      <c r="Y623011" s="5"/>
      <c r="AB623011" s="5"/>
      <c r="AE623011" s="5"/>
      <c r="AH623011" s="5"/>
      <c r="AK623011" s="5"/>
    </row>
    <row r="623021" spans="25:37" x14ac:dyDescent="0.2">
      <c r="Y623021" s="251"/>
      <c r="AB623021" s="251"/>
      <c r="AE623021" s="251"/>
      <c r="AH623021" s="251"/>
      <c r="AK623021" s="251"/>
    </row>
    <row r="623136" spans="25:37" x14ac:dyDescent="0.2">
      <c r="Y623136" s="5"/>
      <c r="AB623136" s="5"/>
      <c r="AE623136" s="5"/>
      <c r="AH623136" s="5"/>
      <c r="AK623136" s="5"/>
    </row>
    <row r="623146" spans="25:37" x14ac:dyDescent="0.2">
      <c r="Y623146" s="251"/>
      <c r="AB623146" s="251"/>
      <c r="AE623146" s="251"/>
      <c r="AH623146" s="251"/>
      <c r="AK623146" s="251"/>
    </row>
    <row r="623261" spans="25:37" x14ac:dyDescent="0.2">
      <c r="Y623261" s="5"/>
      <c r="AB623261" s="5"/>
      <c r="AE623261" s="5"/>
      <c r="AH623261" s="5"/>
      <c r="AK623261" s="5"/>
    </row>
    <row r="623271" spans="25:37" x14ac:dyDescent="0.2">
      <c r="Y623271" s="251"/>
      <c r="AB623271" s="251"/>
      <c r="AE623271" s="251"/>
      <c r="AH623271" s="251"/>
      <c r="AK623271" s="251"/>
    </row>
    <row r="623386" spans="25:37" x14ac:dyDescent="0.2">
      <c r="Y623386" s="5"/>
      <c r="AB623386" s="5"/>
      <c r="AE623386" s="5"/>
      <c r="AH623386" s="5"/>
      <c r="AK623386" s="5"/>
    </row>
    <row r="623396" spans="25:37" x14ac:dyDescent="0.2">
      <c r="Y623396" s="251"/>
      <c r="AB623396" s="251"/>
      <c r="AE623396" s="251"/>
      <c r="AH623396" s="251"/>
      <c r="AK623396" s="251"/>
    </row>
    <row r="623511" spans="25:37" x14ac:dyDescent="0.2">
      <c r="Y623511" s="5"/>
      <c r="AB623511" s="5"/>
      <c r="AE623511" s="5"/>
      <c r="AH623511" s="5"/>
      <c r="AK623511" s="5"/>
    </row>
    <row r="623521" spans="25:37" x14ac:dyDescent="0.2">
      <c r="Y623521" s="251"/>
      <c r="AB623521" s="251"/>
      <c r="AE623521" s="251"/>
      <c r="AH623521" s="251"/>
      <c r="AK623521" s="251"/>
    </row>
    <row r="623636" spans="25:37" x14ac:dyDescent="0.2">
      <c r="Y623636" s="5"/>
      <c r="AB623636" s="5"/>
      <c r="AE623636" s="5"/>
      <c r="AH623636" s="5"/>
      <c r="AK623636" s="5"/>
    </row>
    <row r="623646" spans="25:37" x14ac:dyDescent="0.2">
      <c r="Y623646" s="251"/>
      <c r="AB623646" s="251"/>
      <c r="AE623646" s="251"/>
      <c r="AH623646" s="251"/>
      <c r="AK623646" s="251"/>
    </row>
    <row r="623761" spans="25:37" x14ac:dyDescent="0.2">
      <c r="Y623761" s="5"/>
      <c r="AB623761" s="5"/>
      <c r="AE623761" s="5"/>
      <c r="AH623761" s="5"/>
      <c r="AK623761" s="5"/>
    </row>
    <row r="623771" spans="25:37" x14ac:dyDescent="0.2">
      <c r="Y623771" s="251"/>
      <c r="AB623771" s="251"/>
      <c r="AE623771" s="251"/>
      <c r="AH623771" s="251"/>
      <c r="AK623771" s="251"/>
    </row>
    <row r="623886" spans="25:37" x14ac:dyDescent="0.2">
      <c r="Y623886" s="5"/>
      <c r="AB623886" s="5"/>
      <c r="AE623886" s="5"/>
      <c r="AH623886" s="5"/>
      <c r="AK623886" s="5"/>
    </row>
    <row r="623896" spans="25:37" x14ac:dyDescent="0.2">
      <c r="Y623896" s="251"/>
      <c r="AB623896" s="251"/>
      <c r="AE623896" s="251"/>
      <c r="AH623896" s="251"/>
      <c r="AK623896" s="251"/>
    </row>
    <row r="624011" spans="25:37" x14ac:dyDescent="0.2">
      <c r="Y624011" s="5"/>
      <c r="AB624011" s="5"/>
      <c r="AE624011" s="5"/>
      <c r="AH624011" s="5"/>
      <c r="AK624011" s="5"/>
    </row>
    <row r="624021" spans="25:37" x14ac:dyDescent="0.2">
      <c r="Y624021" s="251"/>
      <c r="AB624021" s="251"/>
      <c r="AE624021" s="251"/>
      <c r="AH624021" s="251"/>
      <c r="AK624021" s="251"/>
    </row>
    <row r="624136" spans="25:37" x14ac:dyDescent="0.2">
      <c r="Y624136" s="5"/>
      <c r="AB624136" s="5"/>
      <c r="AE624136" s="5"/>
      <c r="AH624136" s="5"/>
      <c r="AK624136" s="5"/>
    </row>
    <row r="624146" spans="25:37" x14ac:dyDescent="0.2">
      <c r="Y624146" s="251"/>
      <c r="AB624146" s="251"/>
      <c r="AE624146" s="251"/>
      <c r="AH624146" s="251"/>
      <c r="AK624146" s="251"/>
    </row>
    <row r="624261" spans="25:37" x14ac:dyDescent="0.2">
      <c r="Y624261" s="5"/>
      <c r="AB624261" s="5"/>
      <c r="AE624261" s="5"/>
      <c r="AH624261" s="5"/>
      <c r="AK624261" s="5"/>
    </row>
    <row r="624271" spans="25:37" x14ac:dyDescent="0.2">
      <c r="Y624271" s="251"/>
      <c r="AB624271" s="251"/>
      <c r="AE624271" s="251"/>
      <c r="AH624271" s="251"/>
      <c r="AK624271" s="251"/>
    </row>
    <row r="624386" spans="25:37" x14ac:dyDescent="0.2">
      <c r="Y624386" s="5"/>
      <c r="AB624386" s="5"/>
      <c r="AE624386" s="5"/>
      <c r="AH624386" s="5"/>
      <c r="AK624386" s="5"/>
    </row>
    <row r="624396" spans="25:37" x14ac:dyDescent="0.2">
      <c r="Y624396" s="251"/>
      <c r="AB624396" s="251"/>
      <c r="AE624396" s="251"/>
      <c r="AH624396" s="251"/>
      <c r="AK624396" s="251"/>
    </row>
    <row r="624511" spans="25:37" x14ac:dyDescent="0.2">
      <c r="Y624511" s="5"/>
      <c r="AB624511" s="5"/>
      <c r="AE624511" s="5"/>
      <c r="AH624511" s="5"/>
      <c r="AK624511" s="5"/>
    </row>
    <row r="624521" spans="25:37" x14ac:dyDescent="0.2">
      <c r="Y624521" s="251"/>
      <c r="AB624521" s="251"/>
      <c r="AE624521" s="251"/>
      <c r="AH624521" s="251"/>
      <c r="AK624521" s="251"/>
    </row>
    <row r="624636" spans="25:37" x14ac:dyDescent="0.2">
      <c r="Y624636" s="5"/>
      <c r="AB624636" s="5"/>
      <c r="AE624636" s="5"/>
      <c r="AH624636" s="5"/>
      <c r="AK624636" s="5"/>
    </row>
    <row r="624646" spans="25:37" x14ac:dyDescent="0.2">
      <c r="Y624646" s="251"/>
      <c r="AB624646" s="251"/>
      <c r="AE624646" s="251"/>
      <c r="AH624646" s="251"/>
      <c r="AK624646" s="251"/>
    </row>
    <row r="624761" spans="25:37" x14ac:dyDescent="0.2">
      <c r="Y624761" s="5"/>
      <c r="AB624761" s="5"/>
      <c r="AE624761" s="5"/>
      <c r="AH624761" s="5"/>
      <c r="AK624761" s="5"/>
    </row>
    <row r="624771" spans="25:37" x14ac:dyDescent="0.2">
      <c r="Y624771" s="251"/>
      <c r="AB624771" s="251"/>
      <c r="AE624771" s="251"/>
      <c r="AH624771" s="251"/>
      <c r="AK624771" s="251"/>
    </row>
    <row r="624886" spans="25:37" x14ac:dyDescent="0.2">
      <c r="Y624886" s="5"/>
      <c r="AB624886" s="5"/>
      <c r="AE624886" s="5"/>
      <c r="AH624886" s="5"/>
      <c r="AK624886" s="5"/>
    </row>
    <row r="624896" spans="25:37" x14ac:dyDescent="0.2">
      <c r="Y624896" s="251"/>
      <c r="AB624896" s="251"/>
      <c r="AE624896" s="251"/>
      <c r="AH624896" s="251"/>
      <c r="AK624896" s="251"/>
    </row>
    <row r="625011" spans="25:37" x14ac:dyDescent="0.2">
      <c r="Y625011" s="5"/>
      <c r="AB625011" s="5"/>
      <c r="AE625011" s="5"/>
      <c r="AH625011" s="5"/>
      <c r="AK625011" s="5"/>
    </row>
    <row r="625021" spans="25:37" x14ac:dyDescent="0.2">
      <c r="Y625021" s="251"/>
      <c r="AB625021" s="251"/>
      <c r="AE625021" s="251"/>
      <c r="AH625021" s="251"/>
      <c r="AK625021" s="251"/>
    </row>
    <row r="625136" spans="25:37" x14ac:dyDescent="0.2">
      <c r="Y625136" s="5"/>
      <c r="AB625136" s="5"/>
      <c r="AE625136" s="5"/>
      <c r="AH625136" s="5"/>
      <c r="AK625136" s="5"/>
    </row>
    <row r="625146" spans="25:37" x14ac:dyDescent="0.2">
      <c r="Y625146" s="251"/>
      <c r="AB625146" s="251"/>
      <c r="AE625146" s="251"/>
      <c r="AH625146" s="251"/>
      <c r="AK625146" s="251"/>
    </row>
    <row r="625261" spans="25:37" x14ac:dyDescent="0.2">
      <c r="Y625261" s="5"/>
      <c r="AB625261" s="5"/>
      <c r="AE625261" s="5"/>
      <c r="AH625261" s="5"/>
      <c r="AK625261" s="5"/>
    </row>
    <row r="625271" spans="25:37" x14ac:dyDescent="0.2">
      <c r="Y625271" s="251"/>
      <c r="AB625271" s="251"/>
      <c r="AE625271" s="251"/>
      <c r="AH625271" s="251"/>
      <c r="AK625271" s="251"/>
    </row>
    <row r="625386" spans="25:37" x14ac:dyDescent="0.2">
      <c r="Y625386" s="5"/>
      <c r="AB625386" s="5"/>
      <c r="AE625386" s="5"/>
      <c r="AH625386" s="5"/>
      <c r="AK625386" s="5"/>
    </row>
    <row r="625396" spans="25:37" x14ac:dyDescent="0.2">
      <c r="Y625396" s="251"/>
      <c r="AB625396" s="251"/>
      <c r="AE625396" s="251"/>
      <c r="AH625396" s="251"/>
      <c r="AK625396" s="251"/>
    </row>
    <row r="625511" spans="25:37" x14ac:dyDescent="0.2">
      <c r="Y625511" s="5"/>
      <c r="AB625511" s="5"/>
      <c r="AE625511" s="5"/>
      <c r="AH625511" s="5"/>
      <c r="AK625511" s="5"/>
    </row>
    <row r="625521" spans="25:37" x14ac:dyDescent="0.2">
      <c r="Y625521" s="251"/>
      <c r="AB625521" s="251"/>
      <c r="AE625521" s="251"/>
      <c r="AH625521" s="251"/>
      <c r="AK625521" s="251"/>
    </row>
    <row r="625636" spans="25:37" x14ac:dyDescent="0.2">
      <c r="Y625636" s="5"/>
      <c r="AB625636" s="5"/>
      <c r="AE625636" s="5"/>
      <c r="AH625636" s="5"/>
      <c r="AK625636" s="5"/>
    </row>
    <row r="625646" spans="25:37" x14ac:dyDescent="0.2">
      <c r="Y625646" s="251"/>
      <c r="AB625646" s="251"/>
      <c r="AE625646" s="251"/>
      <c r="AH625646" s="251"/>
      <c r="AK625646" s="251"/>
    </row>
    <row r="625761" spans="25:37" x14ac:dyDescent="0.2">
      <c r="Y625761" s="5"/>
      <c r="AB625761" s="5"/>
      <c r="AE625761" s="5"/>
      <c r="AH625761" s="5"/>
      <c r="AK625761" s="5"/>
    </row>
    <row r="625771" spans="25:37" x14ac:dyDescent="0.2">
      <c r="Y625771" s="251"/>
      <c r="AB625771" s="251"/>
      <c r="AE625771" s="251"/>
      <c r="AH625771" s="251"/>
      <c r="AK625771" s="251"/>
    </row>
    <row r="625886" spans="25:37" x14ac:dyDescent="0.2">
      <c r="Y625886" s="5"/>
      <c r="AB625886" s="5"/>
      <c r="AE625886" s="5"/>
      <c r="AH625886" s="5"/>
      <c r="AK625886" s="5"/>
    </row>
    <row r="625896" spans="25:37" x14ac:dyDescent="0.2">
      <c r="Y625896" s="251"/>
      <c r="AB625896" s="251"/>
      <c r="AE625896" s="251"/>
      <c r="AH625896" s="251"/>
      <c r="AK625896" s="251"/>
    </row>
    <row r="626011" spans="25:37" x14ac:dyDescent="0.2">
      <c r="Y626011" s="5"/>
      <c r="AB626011" s="5"/>
      <c r="AE626011" s="5"/>
      <c r="AH626011" s="5"/>
      <c r="AK626011" s="5"/>
    </row>
    <row r="626021" spans="25:37" x14ac:dyDescent="0.2">
      <c r="Y626021" s="251"/>
      <c r="AB626021" s="251"/>
      <c r="AE626021" s="251"/>
      <c r="AH626021" s="251"/>
      <c r="AK626021" s="251"/>
    </row>
    <row r="626136" spans="25:37" x14ac:dyDescent="0.2">
      <c r="Y626136" s="5"/>
      <c r="AB626136" s="5"/>
      <c r="AE626136" s="5"/>
      <c r="AH626136" s="5"/>
      <c r="AK626136" s="5"/>
    </row>
    <row r="626146" spans="25:37" x14ac:dyDescent="0.2">
      <c r="Y626146" s="251"/>
      <c r="AB626146" s="251"/>
      <c r="AE626146" s="251"/>
      <c r="AH626146" s="251"/>
      <c r="AK626146" s="251"/>
    </row>
    <row r="626261" spans="25:37" x14ac:dyDescent="0.2">
      <c r="Y626261" s="5"/>
      <c r="AB626261" s="5"/>
      <c r="AE626261" s="5"/>
      <c r="AH626261" s="5"/>
      <c r="AK626261" s="5"/>
    </row>
    <row r="626271" spans="25:37" x14ac:dyDescent="0.2">
      <c r="Y626271" s="251"/>
      <c r="AB626271" s="251"/>
      <c r="AE626271" s="251"/>
      <c r="AH626271" s="251"/>
      <c r="AK626271" s="251"/>
    </row>
    <row r="626386" spans="25:37" x14ac:dyDescent="0.2">
      <c r="Y626386" s="5"/>
      <c r="AB626386" s="5"/>
      <c r="AE626386" s="5"/>
      <c r="AH626386" s="5"/>
      <c r="AK626386" s="5"/>
    </row>
    <row r="626396" spans="25:37" x14ac:dyDescent="0.2">
      <c r="Y626396" s="251"/>
      <c r="AB626396" s="251"/>
      <c r="AE626396" s="251"/>
      <c r="AH626396" s="251"/>
      <c r="AK626396" s="251"/>
    </row>
    <row r="626511" spans="25:37" x14ac:dyDescent="0.2">
      <c r="Y626511" s="5"/>
      <c r="AB626511" s="5"/>
      <c r="AE626511" s="5"/>
      <c r="AH626511" s="5"/>
      <c r="AK626511" s="5"/>
    </row>
    <row r="626521" spans="25:37" x14ac:dyDescent="0.2">
      <c r="Y626521" s="251"/>
      <c r="AB626521" s="251"/>
      <c r="AE626521" s="251"/>
      <c r="AH626521" s="251"/>
      <c r="AK626521" s="251"/>
    </row>
    <row r="626636" spans="25:37" x14ac:dyDescent="0.2">
      <c r="Y626636" s="5"/>
      <c r="AB626636" s="5"/>
      <c r="AE626636" s="5"/>
      <c r="AH626636" s="5"/>
      <c r="AK626636" s="5"/>
    </row>
    <row r="626646" spans="25:37" x14ac:dyDescent="0.2">
      <c r="Y626646" s="251"/>
      <c r="AB626646" s="251"/>
      <c r="AE626646" s="251"/>
      <c r="AH626646" s="251"/>
      <c r="AK626646" s="251"/>
    </row>
    <row r="626761" spans="25:37" x14ac:dyDescent="0.2">
      <c r="Y626761" s="5"/>
      <c r="AB626761" s="5"/>
      <c r="AE626761" s="5"/>
      <c r="AH626761" s="5"/>
      <c r="AK626761" s="5"/>
    </row>
    <row r="626771" spans="25:37" x14ac:dyDescent="0.2">
      <c r="Y626771" s="251"/>
      <c r="AB626771" s="251"/>
      <c r="AE626771" s="251"/>
      <c r="AH626771" s="251"/>
      <c r="AK626771" s="251"/>
    </row>
    <row r="626886" spans="25:37" x14ac:dyDescent="0.2">
      <c r="Y626886" s="5"/>
      <c r="AB626886" s="5"/>
      <c r="AE626886" s="5"/>
      <c r="AH626886" s="5"/>
      <c r="AK626886" s="5"/>
    </row>
    <row r="626896" spans="25:37" x14ac:dyDescent="0.2">
      <c r="Y626896" s="251"/>
      <c r="AB626896" s="251"/>
      <c r="AE626896" s="251"/>
      <c r="AH626896" s="251"/>
      <c r="AK626896" s="251"/>
    </row>
    <row r="627011" spans="25:37" x14ac:dyDescent="0.2">
      <c r="Y627011" s="5"/>
      <c r="AB627011" s="5"/>
      <c r="AE627011" s="5"/>
      <c r="AH627011" s="5"/>
      <c r="AK627011" s="5"/>
    </row>
    <row r="627021" spans="25:37" x14ac:dyDescent="0.2">
      <c r="Y627021" s="251"/>
      <c r="AB627021" s="251"/>
      <c r="AE627021" s="251"/>
      <c r="AH627021" s="251"/>
      <c r="AK627021" s="251"/>
    </row>
    <row r="627136" spans="25:37" x14ac:dyDescent="0.2">
      <c r="Y627136" s="5"/>
      <c r="AB627136" s="5"/>
      <c r="AE627136" s="5"/>
      <c r="AH627136" s="5"/>
      <c r="AK627136" s="5"/>
    </row>
    <row r="627146" spans="25:37" x14ac:dyDescent="0.2">
      <c r="Y627146" s="251"/>
      <c r="AB627146" s="251"/>
      <c r="AE627146" s="251"/>
      <c r="AH627146" s="251"/>
      <c r="AK627146" s="251"/>
    </row>
    <row r="627261" spans="25:37" x14ac:dyDescent="0.2">
      <c r="Y627261" s="5"/>
      <c r="AB627261" s="5"/>
      <c r="AE627261" s="5"/>
      <c r="AH627261" s="5"/>
      <c r="AK627261" s="5"/>
    </row>
    <row r="627271" spans="25:37" x14ac:dyDescent="0.2">
      <c r="Y627271" s="251"/>
      <c r="AB627271" s="251"/>
      <c r="AE627271" s="251"/>
      <c r="AH627271" s="251"/>
      <c r="AK627271" s="251"/>
    </row>
    <row r="627386" spans="25:37" x14ac:dyDescent="0.2">
      <c r="Y627386" s="5"/>
      <c r="AB627386" s="5"/>
      <c r="AE627386" s="5"/>
      <c r="AH627386" s="5"/>
      <c r="AK627386" s="5"/>
    </row>
    <row r="627396" spans="25:37" x14ac:dyDescent="0.2">
      <c r="Y627396" s="251"/>
      <c r="AB627396" s="251"/>
      <c r="AE627396" s="251"/>
      <c r="AH627396" s="251"/>
      <c r="AK627396" s="251"/>
    </row>
    <row r="627511" spans="25:37" x14ac:dyDescent="0.2">
      <c r="Y627511" s="5"/>
      <c r="AB627511" s="5"/>
      <c r="AE627511" s="5"/>
      <c r="AH627511" s="5"/>
      <c r="AK627511" s="5"/>
    </row>
    <row r="627521" spans="25:37" x14ac:dyDescent="0.2">
      <c r="Y627521" s="251"/>
      <c r="AB627521" s="251"/>
      <c r="AE627521" s="251"/>
      <c r="AH627521" s="251"/>
      <c r="AK627521" s="251"/>
    </row>
    <row r="627636" spans="25:37" x14ac:dyDescent="0.2">
      <c r="Y627636" s="5"/>
      <c r="AB627636" s="5"/>
      <c r="AE627636" s="5"/>
      <c r="AH627636" s="5"/>
      <c r="AK627636" s="5"/>
    </row>
    <row r="627646" spans="25:37" x14ac:dyDescent="0.2">
      <c r="Y627646" s="251"/>
      <c r="AB627646" s="251"/>
      <c r="AE627646" s="251"/>
      <c r="AH627646" s="251"/>
      <c r="AK627646" s="251"/>
    </row>
    <row r="627761" spans="25:37" x14ac:dyDescent="0.2">
      <c r="Y627761" s="5"/>
      <c r="AB627761" s="5"/>
      <c r="AE627761" s="5"/>
      <c r="AH627761" s="5"/>
      <c r="AK627761" s="5"/>
    </row>
    <row r="627771" spans="25:37" x14ac:dyDescent="0.2">
      <c r="Y627771" s="251"/>
      <c r="AB627771" s="251"/>
      <c r="AE627771" s="251"/>
      <c r="AH627771" s="251"/>
      <c r="AK627771" s="251"/>
    </row>
    <row r="627886" spans="25:37" x14ac:dyDescent="0.2">
      <c r="Y627886" s="5"/>
      <c r="AB627886" s="5"/>
      <c r="AE627886" s="5"/>
      <c r="AH627886" s="5"/>
      <c r="AK627886" s="5"/>
    </row>
    <row r="627896" spans="25:37" x14ac:dyDescent="0.2">
      <c r="Y627896" s="251"/>
      <c r="AB627896" s="251"/>
      <c r="AE627896" s="251"/>
      <c r="AH627896" s="251"/>
      <c r="AK627896" s="251"/>
    </row>
    <row r="628011" spans="25:37" x14ac:dyDescent="0.2">
      <c r="Y628011" s="5"/>
      <c r="AB628011" s="5"/>
      <c r="AE628011" s="5"/>
      <c r="AH628011" s="5"/>
      <c r="AK628011" s="5"/>
    </row>
    <row r="628021" spans="25:37" x14ac:dyDescent="0.2">
      <c r="Y628021" s="251"/>
      <c r="AB628021" s="251"/>
      <c r="AE628021" s="251"/>
      <c r="AH628021" s="251"/>
      <c r="AK628021" s="251"/>
    </row>
    <row r="628136" spans="25:37" x14ac:dyDescent="0.2">
      <c r="Y628136" s="5"/>
      <c r="AB628136" s="5"/>
      <c r="AE628136" s="5"/>
      <c r="AH628136" s="5"/>
      <c r="AK628136" s="5"/>
    </row>
    <row r="628146" spans="25:37" x14ac:dyDescent="0.2">
      <c r="Y628146" s="251"/>
      <c r="AB628146" s="251"/>
      <c r="AE628146" s="251"/>
      <c r="AH628146" s="251"/>
      <c r="AK628146" s="251"/>
    </row>
    <row r="628261" spans="25:37" x14ac:dyDescent="0.2">
      <c r="Y628261" s="5"/>
      <c r="AB628261" s="5"/>
      <c r="AE628261" s="5"/>
      <c r="AH628261" s="5"/>
      <c r="AK628261" s="5"/>
    </row>
    <row r="628271" spans="25:37" x14ac:dyDescent="0.2">
      <c r="Y628271" s="251"/>
      <c r="AB628271" s="251"/>
      <c r="AE628271" s="251"/>
      <c r="AH628271" s="251"/>
      <c r="AK628271" s="251"/>
    </row>
    <row r="628386" spans="25:37" x14ac:dyDescent="0.2">
      <c r="Y628386" s="5"/>
      <c r="AB628386" s="5"/>
      <c r="AE628386" s="5"/>
      <c r="AH628386" s="5"/>
      <c r="AK628386" s="5"/>
    </row>
    <row r="628396" spans="25:37" x14ac:dyDescent="0.2">
      <c r="Y628396" s="251"/>
      <c r="AB628396" s="251"/>
      <c r="AE628396" s="251"/>
      <c r="AH628396" s="251"/>
      <c r="AK628396" s="251"/>
    </row>
    <row r="628511" spans="25:37" x14ac:dyDescent="0.2">
      <c r="Y628511" s="5"/>
      <c r="AB628511" s="5"/>
      <c r="AE628511" s="5"/>
      <c r="AH628511" s="5"/>
      <c r="AK628511" s="5"/>
    </row>
    <row r="628521" spans="25:37" x14ac:dyDescent="0.2">
      <c r="Y628521" s="251"/>
      <c r="AB628521" s="251"/>
      <c r="AE628521" s="251"/>
      <c r="AH628521" s="251"/>
      <c r="AK628521" s="251"/>
    </row>
    <row r="628636" spans="25:37" x14ac:dyDescent="0.2">
      <c r="Y628636" s="5"/>
      <c r="AB628636" s="5"/>
      <c r="AE628636" s="5"/>
      <c r="AH628636" s="5"/>
      <c r="AK628636" s="5"/>
    </row>
    <row r="628646" spans="25:37" x14ac:dyDescent="0.2">
      <c r="Y628646" s="251"/>
      <c r="AB628646" s="251"/>
      <c r="AE628646" s="251"/>
      <c r="AH628646" s="251"/>
      <c r="AK628646" s="251"/>
    </row>
    <row r="628761" spans="25:37" x14ac:dyDescent="0.2">
      <c r="Y628761" s="5"/>
      <c r="AB628761" s="5"/>
      <c r="AE628761" s="5"/>
      <c r="AH628761" s="5"/>
      <c r="AK628761" s="5"/>
    </row>
    <row r="628771" spans="25:37" x14ac:dyDescent="0.2">
      <c r="Y628771" s="251"/>
      <c r="AB628771" s="251"/>
      <c r="AE628771" s="251"/>
      <c r="AH628771" s="251"/>
      <c r="AK628771" s="251"/>
    </row>
    <row r="628886" spans="25:37" x14ac:dyDescent="0.2">
      <c r="Y628886" s="5"/>
      <c r="AB628886" s="5"/>
      <c r="AE628886" s="5"/>
      <c r="AH628886" s="5"/>
      <c r="AK628886" s="5"/>
    </row>
    <row r="628896" spans="25:37" x14ac:dyDescent="0.2">
      <c r="Y628896" s="251"/>
      <c r="AB628896" s="251"/>
      <c r="AE628896" s="251"/>
      <c r="AH628896" s="251"/>
      <c r="AK628896" s="251"/>
    </row>
    <row r="629011" spans="25:37" x14ac:dyDescent="0.2">
      <c r="Y629011" s="5"/>
      <c r="AB629011" s="5"/>
      <c r="AE629011" s="5"/>
      <c r="AH629011" s="5"/>
      <c r="AK629011" s="5"/>
    </row>
    <row r="629021" spans="25:37" x14ac:dyDescent="0.2">
      <c r="Y629021" s="251"/>
      <c r="AB629021" s="251"/>
      <c r="AE629021" s="251"/>
      <c r="AH629021" s="251"/>
      <c r="AK629021" s="251"/>
    </row>
    <row r="629136" spans="25:37" x14ac:dyDescent="0.2">
      <c r="Y629136" s="5"/>
      <c r="AB629136" s="5"/>
      <c r="AE629136" s="5"/>
      <c r="AH629136" s="5"/>
      <c r="AK629136" s="5"/>
    </row>
    <row r="629146" spans="25:37" x14ac:dyDescent="0.2">
      <c r="Y629146" s="251"/>
      <c r="AB629146" s="251"/>
      <c r="AE629146" s="251"/>
      <c r="AH629146" s="251"/>
      <c r="AK629146" s="251"/>
    </row>
    <row r="629261" spans="25:37" x14ac:dyDescent="0.2">
      <c r="Y629261" s="5"/>
      <c r="AB629261" s="5"/>
      <c r="AE629261" s="5"/>
      <c r="AH629261" s="5"/>
      <c r="AK629261" s="5"/>
    </row>
    <row r="629271" spans="25:37" x14ac:dyDescent="0.2">
      <c r="Y629271" s="251"/>
      <c r="AB629271" s="251"/>
      <c r="AE629271" s="251"/>
      <c r="AH629271" s="251"/>
      <c r="AK629271" s="251"/>
    </row>
    <row r="629386" spans="25:37" x14ac:dyDescent="0.2">
      <c r="Y629386" s="5"/>
      <c r="AB629386" s="5"/>
      <c r="AE629386" s="5"/>
      <c r="AH629386" s="5"/>
      <c r="AK629386" s="5"/>
    </row>
    <row r="629396" spans="25:37" x14ac:dyDescent="0.2">
      <c r="Y629396" s="251"/>
      <c r="AB629396" s="251"/>
      <c r="AE629396" s="251"/>
      <c r="AH629396" s="251"/>
      <c r="AK629396" s="251"/>
    </row>
    <row r="629511" spans="25:37" x14ac:dyDescent="0.2">
      <c r="Y629511" s="5"/>
      <c r="AB629511" s="5"/>
      <c r="AE629511" s="5"/>
      <c r="AH629511" s="5"/>
      <c r="AK629511" s="5"/>
    </row>
    <row r="629521" spans="25:37" x14ac:dyDescent="0.2">
      <c r="Y629521" s="251"/>
      <c r="AB629521" s="251"/>
      <c r="AE629521" s="251"/>
      <c r="AH629521" s="251"/>
      <c r="AK629521" s="251"/>
    </row>
    <row r="629636" spans="25:37" x14ac:dyDescent="0.2">
      <c r="Y629636" s="5"/>
      <c r="AB629636" s="5"/>
      <c r="AE629636" s="5"/>
      <c r="AH629636" s="5"/>
      <c r="AK629636" s="5"/>
    </row>
    <row r="629646" spans="25:37" x14ac:dyDescent="0.2">
      <c r="Y629646" s="251"/>
      <c r="AB629646" s="251"/>
      <c r="AE629646" s="251"/>
      <c r="AH629646" s="251"/>
      <c r="AK629646" s="251"/>
    </row>
    <row r="629761" spans="25:37" x14ac:dyDescent="0.2">
      <c r="Y629761" s="5"/>
      <c r="AB629761" s="5"/>
      <c r="AE629761" s="5"/>
      <c r="AH629761" s="5"/>
      <c r="AK629761" s="5"/>
    </row>
    <row r="629771" spans="25:37" x14ac:dyDescent="0.2">
      <c r="Y629771" s="251"/>
      <c r="AB629771" s="251"/>
      <c r="AE629771" s="251"/>
      <c r="AH629771" s="251"/>
      <c r="AK629771" s="251"/>
    </row>
    <row r="629886" spans="25:37" x14ac:dyDescent="0.2">
      <c r="Y629886" s="5"/>
      <c r="AB629886" s="5"/>
      <c r="AE629886" s="5"/>
      <c r="AH629886" s="5"/>
      <c r="AK629886" s="5"/>
    </row>
    <row r="629896" spans="25:37" x14ac:dyDescent="0.2">
      <c r="Y629896" s="251"/>
      <c r="AB629896" s="251"/>
      <c r="AE629896" s="251"/>
      <c r="AH629896" s="251"/>
      <c r="AK629896" s="251"/>
    </row>
    <row r="630011" spans="25:37" x14ac:dyDescent="0.2">
      <c r="Y630011" s="5"/>
      <c r="AB630011" s="5"/>
      <c r="AE630011" s="5"/>
      <c r="AH630011" s="5"/>
      <c r="AK630011" s="5"/>
    </row>
    <row r="630021" spans="25:37" x14ac:dyDescent="0.2">
      <c r="Y630021" s="251"/>
      <c r="AB630021" s="251"/>
      <c r="AE630021" s="251"/>
      <c r="AH630021" s="251"/>
      <c r="AK630021" s="251"/>
    </row>
    <row r="630136" spans="25:37" x14ac:dyDescent="0.2">
      <c r="Y630136" s="5"/>
      <c r="AB630136" s="5"/>
      <c r="AE630136" s="5"/>
      <c r="AH630136" s="5"/>
      <c r="AK630136" s="5"/>
    </row>
    <row r="630146" spans="25:37" x14ac:dyDescent="0.2">
      <c r="Y630146" s="251"/>
      <c r="AB630146" s="251"/>
      <c r="AE630146" s="251"/>
      <c r="AH630146" s="251"/>
      <c r="AK630146" s="251"/>
    </row>
    <row r="630261" spans="25:37" x14ac:dyDescent="0.2">
      <c r="Y630261" s="5"/>
      <c r="AB630261" s="5"/>
      <c r="AE630261" s="5"/>
      <c r="AH630261" s="5"/>
      <c r="AK630261" s="5"/>
    </row>
    <row r="630271" spans="25:37" x14ac:dyDescent="0.2">
      <c r="Y630271" s="251"/>
      <c r="AB630271" s="251"/>
      <c r="AE630271" s="251"/>
      <c r="AH630271" s="251"/>
      <c r="AK630271" s="251"/>
    </row>
    <row r="630386" spans="25:37" x14ac:dyDescent="0.2">
      <c r="Y630386" s="5"/>
      <c r="AB630386" s="5"/>
      <c r="AE630386" s="5"/>
      <c r="AH630386" s="5"/>
      <c r="AK630386" s="5"/>
    </row>
    <row r="630396" spans="25:37" x14ac:dyDescent="0.2">
      <c r="Y630396" s="251"/>
      <c r="AB630396" s="251"/>
      <c r="AE630396" s="251"/>
      <c r="AH630396" s="251"/>
      <c r="AK630396" s="251"/>
    </row>
    <row r="630511" spans="25:37" x14ac:dyDescent="0.2">
      <c r="Y630511" s="5"/>
      <c r="AB630511" s="5"/>
      <c r="AE630511" s="5"/>
      <c r="AH630511" s="5"/>
      <c r="AK630511" s="5"/>
    </row>
    <row r="630521" spans="25:37" x14ac:dyDescent="0.2">
      <c r="Y630521" s="251"/>
      <c r="AB630521" s="251"/>
      <c r="AE630521" s="251"/>
      <c r="AH630521" s="251"/>
      <c r="AK630521" s="251"/>
    </row>
    <row r="630636" spans="25:37" x14ac:dyDescent="0.2">
      <c r="Y630636" s="5"/>
      <c r="AB630636" s="5"/>
      <c r="AE630636" s="5"/>
      <c r="AH630636" s="5"/>
      <c r="AK630636" s="5"/>
    </row>
    <row r="630646" spans="25:37" x14ac:dyDescent="0.2">
      <c r="Y630646" s="251"/>
      <c r="AB630646" s="251"/>
      <c r="AE630646" s="251"/>
      <c r="AH630646" s="251"/>
      <c r="AK630646" s="251"/>
    </row>
    <row r="630761" spans="25:37" x14ac:dyDescent="0.2">
      <c r="Y630761" s="5"/>
      <c r="AB630761" s="5"/>
      <c r="AE630761" s="5"/>
      <c r="AH630761" s="5"/>
      <c r="AK630761" s="5"/>
    </row>
    <row r="630771" spans="25:37" x14ac:dyDescent="0.2">
      <c r="Y630771" s="251"/>
      <c r="AB630771" s="251"/>
      <c r="AE630771" s="251"/>
      <c r="AH630771" s="251"/>
      <c r="AK630771" s="251"/>
    </row>
    <row r="630886" spans="25:37" x14ac:dyDescent="0.2">
      <c r="Y630886" s="5"/>
      <c r="AB630886" s="5"/>
      <c r="AE630886" s="5"/>
      <c r="AH630886" s="5"/>
      <c r="AK630886" s="5"/>
    </row>
    <row r="630896" spans="25:37" x14ac:dyDescent="0.2">
      <c r="Y630896" s="251"/>
      <c r="AB630896" s="251"/>
      <c r="AE630896" s="251"/>
      <c r="AH630896" s="251"/>
      <c r="AK630896" s="251"/>
    </row>
    <row r="631011" spans="25:37" x14ac:dyDescent="0.2">
      <c r="Y631011" s="5"/>
      <c r="AB631011" s="5"/>
      <c r="AE631011" s="5"/>
      <c r="AH631011" s="5"/>
      <c r="AK631011" s="5"/>
    </row>
    <row r="631021" spans="25:37" x14ac:dyDescent="0.2">
      <c r="Y631021" s="251"/>
      <c r="AB631021" s="251"/>
      <c r="AE631021" s="251"/>
      <c r="AH631021" s="251"/>
      <c r="AK631021" s="251"/>
    </row>
    <row r="631136" spans="25:37" x14ac:dyDescent="0.2">
      <c r="Y631136" s="5"/>
      <c r="AB631136" s="5"/>
      <c r="AE631136" s="5"/>
      <c r="AH631136" s="5"/>
      <c r="AK631136" s="5"/>
    </row>
    <row r="631146" spans="25:37" x14ac:dyDescent="0.2">
      <c r="Y631146" s="251"/>
      <c r="AB631146" s="251"/>
      <c r="AE631146" s="251"/>
      <c r="AH631146" s="251"/>
      <c r="AK631146" s="251"/>
    </row>
    <row r="631261" spans="25:37" x14ac:dyDescent="0.2">
      <c r="Y631261" s="5"/>
      <c r="AB631261" s="5"/>
      <c r="AE631261" s="5"/>
      <c r="AH631261" s="5"/>
      <c r="AK631261" s="5"/>
    </row>
    <row r="631271" spans="25:37" x14ac:dyDescent="0.2">
      <c r="Y631271" s="251"/>
      <c r="AB631271" s="251"/>
      <c r="AE631271" s="251"/>
      <c r="AH631271" s="251"/>
      <c r="AK631271" s="251"/>
    </row>
    <row r="631386" spans="25:37" x14ac:dyDescent="0.2">
      <c r="Y631386" s="5"/>
      <c r="AB631386" s="5"/>
      <c r="AE631386" s="5"/>
      <c r="AH631386" s="5"/>
      <c r="AK631386" s="5"/>
    </row>
    <row r="631396" spans="25:37" x14ac:dyDescent="0.2">
      <c r="Y631396" s="251"/>
      <c r="AB631396" s="251"/>
      <c r="AE631396" s="251"/>
      <c r="AH631396" s="251"/>
      <c r="AK631396" s="251"/>
    </row>
    <row r="631511" spans="25:37" x14ac:dyDescent="0.2">
      <c r="Y631511" s="5"/>
      <c r="AB631511" s="5"/>
      <c r="AE631511" s="5"/>
      <c r="AH631511" s="5"/>
      <c r="AK631511" s="5"/>
    </row>
    <row r="631521" spans="25:37" x14ac:dyDescent="0.2">
      <c r="Y631521" s="251"/>
      <c r="AB631521" s="251"/>
      <c r="AE631521" s="251"/>
      <c r="AH631521" s="251"/>
      <c r="AK631521" s="251"/>
    </row>
    <row r="631636" spans="25:37" x14ac:dyDescent="0.2">
      <c r="Y631636" s="5"/>
      <c r="AB631636" s="5"/>
      <c r="AE631636" s="5"/>
      <c r="AH631636" s="5"/>
      <c r="AK631636" s="5"/>
    </row>
    <row r="631646" spans="25:37" x14ac:dyDescent="0.2">
      <c r="Y631646" s="251"/>
      <c r="AB631646" s="251"/>
      <c r="AE631646" s="251"/>
      <c r="AH631646" s="251"/>
      <c r="AK631646" s="251"/>
    </row>
    <row r="631761" spans="25:37" x14ac:dyDescent="0.2">
      <c r="Y631761" s="5"/>
      <c r="AB631761" s="5"/>
      <c r="AE631761" s="5"/>
      <c r="AH631761" s="5"/>
      <c r="AK631761" s="5"/>
    </row>
    <row r="631771" spans="25:37" x14ac:dyDescent="0.2">
      <c r="Y631771" s="251"/>
      <c r="AB631771" s="251"/>
      <c r="AE631771" s="251"/>
      <c r="AH631771" s="251"/>
      <c r="AK631771" s="251"/>
    </row>
    <row r="631886" spans="25:37" x14ac:dyDescent="0.2">
      <c r="Y631886" s="5"/>
      <c r="AB631886" s="5"/>
      <c r="AE631886" s="5"/>
      <c r="AH631886" s="5"/>
      <c r="AK631886" s="5"/>
    </row>
    <row r="631896" spans="25:37" x14ac:dyDescent="0.2">
      <c r="Y631896" s="251"/>
      <c r="AB631896" s="251"/>
      <c r="AE631896" s="251"/>
      <c r="AH631896" s="251"/>
      <c r="AK631896" s="251"/>
    </row>
    <row r="632011" spans="25:37" x14ac:dyDescent="0.2">
      <c r="Y632011" s="5"/>
      <c r="AB632011" s="5"/>
      <c r="AE632011" s="5"/>
      <c r="AH632011" s="5"/>
      <c r="AK632011" s="5"/>
    </row>
    <row r="632021" spans="25:37" x14ac:dyDescent="0.2">
      <c r="Y632021" s="251"/>
      <c r="AB632021" s="251"/>
      <c r="AE632021" s="251"/>
      <c r="AH632021" s="251"/>
      <c r="AK632021" s="251"/>
    </row>
    <row r="632136" spans="25:37" x14ac:dyDescent="0.2">
      <c r="Y632136" s="5"/>
      <c r="AB632136" s="5"/>
      <c r="AE632136" s="5"/>
      <c r="AH632136" s="5"/>
      <c r="AK632136" s="5"/>
    </row>
    <row r="632146" spans="25:37" x14ac:dyDescent="0.2">
      <c r="Y632146" s="251"/>
      <c r="AB632146" s="251"/>
      <c r="AE632146" s="251"/>
      <c r="AH632146" s="251"/>
      <c r="AK632146" s="251"/>
    </row>
    <row r="632261" spans="25:37" x14ac:dyDescent="0.2">
      <c r="Y632261" s="5"/>
      <c r="AB632261" s="5"/>
      <c r="AE632261" s="5"/>
      <c r="AH632261" s="5"/>
      <c r="AK632261" s="5"/>
    </row>
    <row r="632271" spans="25:37" x14ac:dyDescent="0.2">
      <c r="Y632271" s="251"/>
      <c r="AB632271" s="251"/>
      <c r="AE632271" s="251"/>
      <c r="AH632271" s="251"/>
      <c r="AK632271" s="251"/>
    </row>
    <row r="632386" spans="25:37" x14ac:dyDescent="0.2">
      <c r="Y632386" s="5"/>
      <c r="AB632386" s="5"/>
      <c r="AE632386" s="5"/>
      <c r="AH632386" s="5"/>
      <c r="AK632386" s="5"/>
    </row>
    <row r="632396" spans="25:37" x14ac:dyDescent="0.2">
      <c r="Y632396" s="251"/>
      <c r="AB632396" s="251"/>
      <c r="AE632396" s="251"/>
      <c r="AH632396" s="251"/>
      <c r="AK632396" s="251"/>
    </row>
    <row r="632511" spans="25:37" x14ac:dyDescent="0.2">
      <c r="Y632511" s="5"/>
      <c r="AB632511" s="5"/>
      <c r="AE632511" s="5"/>
      <c r="AH632511" s="5"/>
      <c r="AK632511" s="5"/>
    </row>
    <row r="632521" spans="25:37" x14ac:dyDescent="0.2">
      <c r="Y632521" s="251"/>
      <c r="AB632521" s="251"/>
      <c r="AE632521" s="251"/>
      <c r="AH632521" s="251"/>
      <c r="AK632521" s="251"/>
    </row>
    <row r="632636" spans="25:37" x14ac:dyDescent="0.2">
      <c r="Y632636" s="5"/>
      <c r="AB632636" s="5"/>
      <c r="AE632636" s="5"/>
      <c r="AH632636" s="5"/>
      <c r="AK632636" s="5"/>
    </row>
    <row r="632646" spans="25:37" x14ac:dyDescent="0.2">
      <c r="Y632646" s="251"/>
      <c r="AB632646" s="251"/>
      <c r="AE632646" s="251"/>
      <c r="AH632646" s="251"/>
      <c r="AK632646" s="251"/>
    </row>
    <row r="632761" spans="25:37" x14ac:dyDescent="0.2">
      <c r="Y632761" s="5"/>
      <c r="AB632761" s="5"/>
      <c r="AE632761" s="5"/>
      <c r="AH632761" s="5"/>
      <c r="AK632761" s="5"/>
    </row>
    <row r="632771" spans="25:37" x14ac:dyDescent="0.2">
      <c r="Y632771" s="251"/>
      <c r="AB632771" s="251"/>
      <c r="AE632771" s="251"/>
      <c r="AH632771" s="251"/>
      <c r="AK632771" s="251"/>
    </row>
    <row r="632886" spans="25:37" x14ac:dyDescent="0.2">
      <c r="Y632886" s="5"/>
      <c r="AB632886" s="5"/>
      <c r="AE632886" s="5"/>
      <c r="AH632886" s="5"/>
      <c r="AK632886" s="5"/>
    </row>
    <row r="632896" spans="25:37" x14ac:dyDescent="0.2">
      <c r="Y632896" s="251"/>
      <c r="AB632896" s="251"/>
      <c r="AE632896" s="251"/>
      <c r="AH632896" s="251"/>
      <c r="AK632896" s="251"/>
    </row>
    <row r="633011" spans="25:37" x14ac:dyDescent="0.2">
      <c r="Y633011" s="5"/>
      <c r="AB633011" s="5"/>
      <c r="AE633011" s="5"/>
      <c r="AH633011" s="5"/>
      <c r="AK633011" s="5"/>
    </row>
    <row r="633021" spans="25:37" x14ac:dyDescent="0.2">
      <c r="Y633021" s="251"/>
      <c r="AB633021" s="251"/>
      <c r="AE633021" s="251"/>
      <c r="AH633021" s="251"/>
      <c r="AK633021" s="251"/>
    </row>
    <row r="633136" spans="25:37" x14ac:dyDescent="0.2">
      <c r="Y633136" s="5"/>
      <c r="AB633136" s="5"/>
      <c r="AE633136" s="5"/>
      <c r="AH633136" s="5"/>
      <c r="AK633136" s="5"/>
    </row>
    <row r="633146" spans="25:37" x14ac:dyDescent="0.2">
      <c r="Y633146" s="251"/>
      <c r="AB633146" s="251"/>
      <c r="AE633146" s="251"/>
      <c r="AH633146" s="251"/>
      <c r="AK633146" s="251"/>
    </row>
    <row r="633261" spans="25:37" x14ac:dyDescent="0.2">
      <c r="Y633261" s="5"/>
      <c r="AB633261" s="5"/>
      <c r="AE633261" s="5"/>
      <c r="AH633261" s="5"/>
      <c r="AK633261" s="5"/>
    </row>
    <row r="633271" spans="25:37" x14ac:dyDescent="0.2">
      <c r="Y633271" s="251"/>
      <c r="AB633271" s="251"/>
      <c r="AE633271" s="251"/>
      <c r="AH633271" s="251"/>
      <c r="AK633271" s="251"/>
    </row>
    <row r="633386" spans="25:37" x14ac:dyDescent="0.2">
      <c r="Y633386" s="5"/>
      <c r="AB633386" s="5"/>
      <c r="AE633386" s="5"/>
      <c r="AH633386" s="5"/>
      <c r="AK633386" s="5"/>
    </row>
    <row r="633396" spans="25:37" x14ac:dyDescent="0.2">
      <c r="Y633396" s="251"/>
      <c r="AB633396" s="251"/>
      <c r="AE633396" s="251"/>
      <c r="AH633396" s="251"/>
      <c r="AK633396" s="251"/>
    </row>
    <row r="633511" spans="25:37" x14ac:dyDescent="0.2">
      <c r="Y633511" s="5"/>
      <c r="AB633511" s="5"/>
      <c r="AE633511" s="5"/>
      <c r="AH633511" s="5"/>
      <c r="AK633511" s="5"/>
    </row>
    <row r="633521" spans="25:37" x14ac:dyDescent="0.2">
      <c r="Y633521" s="251"/>
      <c r="AB633521" s="251"/>
      <c r="AE633521" s="251"/>
      <c r="AH633521" s="251"/>
      <c r="AK633521" s="251"/>
    </row>
    <row r="633636" spans="25:37" x14ac:dyDescent="0.2">
      <c r="Y633636" s="5"/>
      <c r="AB633636" s="5"/>
      <c r="AE633636" s="5"/>
      <c r="AH633636" s="5"/>
      <c r="AK633636" s="5"/>
    </row>
    <row r="633646" spans="25:37" x14ac:dyDescent="0.2">
      <c r="Y633646" s="251"/>
      <c r="AB633646" s="251"/>
      <c r="AE633646" s="251"/>
      <c r="AH633646" s="251"/>
      <c r="AK633646" s="251"/>
    </row>
    <row r="633761" spans="25:37" x14ac:dyDescent="0.2">
      <c r="Y633761" s="5"/>
      <c r="AB633761" s="5"/>
      <c r="AE633761" s="5"/>
      <c r="AH633761" s="5"/>
      <c r="AK633761" s="5"/>
    </row>
    <row r="633771" spans="25:37" x14ac:dyDescent="0.2">
      <c r="Y633771" s="251"/>
      <c r="AB633771" s="251"/>
      <c r="AE633771" s="251"/>
      <c r="AH633771" s="251"/>
      <c r="AK633771" s="251"/>
    </row>
    <row r="633886" spans="25:37" x14ac:dyDescent="0.2">
      <c r="Y633886" s="5"/>
      <c r="AB633886" s="5"/>
      <c r="AE633886" s="5"/>
      <c r="AH633886" s="5"/>
      <c r="AK633886" s="5"/>
    </row>
    <row r="633896" spans="25:37" x14ac:dyDescent="0.2">
      <c r="Y633896" s="251"/>
      <c r="AB633896" s="251"/>
      <c r="AE633896" s="251"/>
      <c r="AH633896" s="251"/>
      <c r="AK633896" s="251"/>
    </row>
    <row r="634011" spans="25:37" x14ac:dyDescent="0.2">
      <c r="Y634011" s="5"/>
      <c r="AB634011" s="5"/>
      <c r="AE634011" s="5"/>
      <c r="AH634011" s="5"/>
      <c r="AK634011" s="5"/>
    </row>
    <row r="634021" spans="25:37" x14ac:dyDescent="0.2">
      <c r="Y634021" s="251"/>
      <c r="AB634021" s="251"/>
      <c r="AE634021" s="251"/>
      <c r="AH634021" s="251"/>
      <c r="AK634021" s="251"/>
    </row>
    <row r="634136" spans="25:37" x14ac:dyDescent="0.2">
      <c r="Y634136" s="5"/>
      <c r="AB634136" s="5"/>
      <c r="AE634136" s="5"/>
      <c r="AH634136" s="5"/>
      <c r="AK634136" s="5"/>
    </row>
    <row r="634146" spans="25:37" x14ac:dyDescent="0.2">
      <c r="Y634146" s="251"/>
      <c r="AB634146" s="251"/>
      <c r="AE634146" s="251"/>
      <c r="AH634146" s="251"/>
      <c r="AK634146" s="251"/>
    </row>
    <row r="634261" spans="25:37" x14ac:dyDescent="0.2">
      <c r="Y634261" s="5"/>
      <c r="AB634261" s="5"/>
      <c r="AE634261" s="5"/>
      <c r="AH634261" s="5"/>
      <c r="AK634261" s="5"/>
    </row>
    <row r="634271" spans="25:37" x14ac:dyDescent="0.2">
      <c r="Y634271" s="251"/>
      <c r="AB634271" s="251"/>
      <c r="AE634271" s="251"/>
      <c r="AH634271" s="251"/>
      <c r="AK634271" s="251"/>
    </row>
    <row r="634386" spans="25:37" x14ac:dyDescent="0.2">
      <c r="Y634386" s="5"/>
      <c r="AB634386" s="5"/>
      <c r="AE634386" s="5"/>
      <c r="AH634386" s="5"/>
      <c r="AK634386" s="5"/>
    </row>
    <row r="634396" spans="25:37" x14ac:dyDescent="0.2">
      <c r="Y634396" s="251"/>
      <c r="AB634396" s="251"/>
      <c r="AE634396" s="251"/>
      <c r="AH634396" s="251"/>
      <c r="AK634396" s="251"/>
    </row>
    <row r="634511" spans="25:37" x14ac:dyDescent="0.2">
      <c r="Y634511" s="5"/>
      <c r="AB634511" s="5"/>
      <c r="AE634511" s="5"/>
      <c r="AH634511" s="5"/>
      <c r="AK634511" s="5"/>
    </row>
    <row r="634521" spans="25:37" x14ac:dyDescent="0.2">
      <c r="Y634521" s="251"/>
      <c r="AB634521" s="251"/>
      <c r="AE634521" s="251"/>
      <c r="AH634521" s="251"/>
      <c r="AK634521" s="251"/>
    </row>
    <row r="634636" spans="25:37" x14ac:dyDescent="0.2">
      <c r="Y634636" s="5"/>
      <c r="AB634636" s="5"/>
      <c r="AE634636" s="5"/>
      <c r="AH634636" s="5"/>
      <c r="AK634636" s="5"/>
    </row>
    <row r="634646" spans="25:37" x14ac:dyDescent="0.2">
      <c r="Y634646" s="251"/>
      <c r="AB634646" s="251"/>
      <c r="AE634646" s="251"/>
      <c r="AH634646" s="251"/>
      <c r="AK634646" s="251"/>
    </row>
    <row r="634761" spans="25:37" x14ac:dyDescent="0.2">
      <c r="Y634761" s="5"/>
      <c r="AB634761" s="5"/>
      <c r="AE634761" s="5"/>
      <c r="AH634761" s="5"/>
      <c r="AK634761" s="5"/>
    </row>
    <row r="634771" spans="25:37" x14ac:dyDescent="0.2">
      <c r="Y634771" s="251"/>
      <c r="AB634771" s="251"/>
      <c r="AE634771" s="251"/>
      <c r="AH634771" s="251"/>
      <c r="AK634771" s="251"/>
    </row>
    <row r="634886" spans="25:37" x14ac:dyDescent="0.2">
      <c r="Y634886" s="5"/>
      <c r="AB634886" s="5"/>
      <c r="AE634886" s="5"/>
      <c r="AH634886" s="5"/>
      <c r="AK634886" s="5"/>
    </row>
    <row r="634896" spans="25:37" x14ac:dyDescent="0.2">
      <c r="Y634896" s="251"/>
      <c r="AB634896" s="251"/>
      <c r="AE634896" s="251"/>
      <c r="AH634896" s="251"/>
      <c r="AK634896" s="251"/>
    </row>
    <row r="635011" spans="25:37" x14ac:dyDescent="0.2">
      <c r="Y635011" s="5"/>
      <c r="AB635011" s="5"/>
      <c r="AE635011" s="5"/>
      <c r="AH635011" s="5"/>
      <c r="AK635011" s="5"/>
    </row>
    <row r="635021" spans="25:37" x14ac:dyDescent="0.2">
      <c r="Y635021" s="251"/>
      <c r="AB635021" s="251"/>
      <c r="AE635021" s="251"/>
      <c r="AH635021" s="251"/>
      <c r="AK635021" s="251"/>
    </row>
    <row r="635136" spans="25:37" x14ac:dyDescent="0.2">
      <c r="Y635136" s="5"/>
      <c r="AB635136" s="5"/>
      <c r="AE635136" s="5"/>
      <c r="AH635136" s="5"/>
      <c r="AK635136" s="5"/>
    </row>
    <row r="635146" spans="25:37" x14ac:dyDescent="0.2">
      <c r="Y635146" s="251"/>
      <c r="AB635146" s="251"/>
      <c r="AE635146" s="251"/>
      <c r="AH635146" s="251"/>
      <c r="AK635146" s="251"/>
    </row>
    <row r="635261" spans="25:37" x14ac:dyDescent="0.2">
      <c r="Y635261" s="5"/>
      <c r="AB635261" s="5"/>
      <c r="AE635261" s="5"/>
      <c r="AH635261" s="5"/>
      <c r="AK635261" s="5"/>
    </row>
    <row r="635271" spans="25:37" x14ac:dyDescent="0.2">
      <c r="Y635271" s="251"/>
      <c r="AB635271" s="251"/>
      <c r="AE635271" s="251"/>
      <c r="AH635271" s="251"/>
      <c r="AK635271" s="251"/>
    </row>
    <row r="635386" spans="25:37" x14ac:dyDescent="0.2">
      <c r="Y635386" s="5"/>
      <c r="AB635386" s="5"/>
      <c r="AE635386" s="5"/>
      <c r="AH635386" s="5"/>
      <c r="AK635386" s="5"/>
    </row>
    <row r="635396" spans="25:37" x14ac:dyDescent="0.2">
      <c r="Y635396" s="251"/>
      <c r="AB635396" s="251"/>
      <c r="AE635396" s="251"/>
      <c r="AH635396" s="251"/>
      <c r="AK635396" s="251"/>
    </row>
    <row r="635511" spans="25:37" x14ac:dyDescent="0.2">
      <c r="Y635511" s="5"/>
      <c r="AB635511" s="5"/>
      <c r="AE635511" s="5"/>
      <c r="AH635511" s="5"/>
      <c r="AK635511" s="5"/>
    </row>
    <row r="635521" spans="25:37" x14ac:dyDescent="0.2">
      <c r="Y635521" s="251"/>
      <c r="AB635521" s="251"/>
      <c r="AE635521" s="251"/>
      <c r="AH635521" s="251"/>
      <c r="AK635521" s="251"/>
    </row>
    <row r="635636" spans="25:37" x14ac:dyDescent="0.2">
      <c r="Y635636" s="5"/>
      <c r="AB635636" s="5"/>
      <c r="AE635636" s="5"/>
      <c r="AH635636" s="5"/>
      <c r="AK635636" s="5"/>
    </row>
    <row r="635646" spans="25:37" x14ac:dyDescent="0.2">
      <c r="Y635646" s="251"/>
      <c r="AB635646" s="251"/>
      <c r="AE635646" s="251"/>
      <c r="AH635646" s="251"/>
      <c r="AK635646" s="251"/>
    </row>
    <row r="635761" spans="25:37" x14ac:dyDescent="0.2">
      <c r="Y635761" s="5"/>
      <c r="AB635761" s="5"/>
      <c r="AE635761" s="5"/>
      <c r="AH635761" s="5"/>
      <c r="AK635761" s="5"/>
    </row>
    <row r="635771" spans="25:37" x14ac:dyDescent="0.2">
      <c r="Y635771" s="251"/>
      <c r="AB635771" s="251"/>
      <c r="AE635771" s="251"/>
      <c r="AH635771" s="251"/>
      <c r="AK635771" s="251"/>
    </row>
    <row r="635886" spans="25:37" x14ac:dyDescent="0.2">
      <c r="Y635886" s="5"/>
      <c r="AB635886" s="5"/>
      <c r="AE635886" s="5"/>
      <c r="AH635886" s="5"/>
      <c r="AK635886" s="5"/>
    </row>
    <row r="635896" spans="25:37" x14ac:dyDescent="0.2">
      <c r="Y635896" s="251"/>
      <c r="AB635896" s="251"/>
      <c r="AE635896" s="251"/>
      <c r="AH635896" s="251"/>
      <c r="AK635896" s="251"/>
    </row>
    <row r="636011" spans="25:37" x14ac:dyDescent="0.2">
      <c r="Y636011" s="5"/>
      <c r="AB636011" s="5"/>
      <c r="AE636011" s="5"/>
      <c r="AH636011" s="5"/>
      <c r="AK636011" s="5"/>
    </row>
    <row r="636021" spans="25:37" x14ac:dyDescent="0.2">
      <c r="Y636021" s="251"/>
      <c r="AB636021" s="251"/>
      <c r="AE636021" s="251"/>
      <c r="AH636021" s="251"/>
      <c r="AK636021" s="251"/>
    </row>
    <row r="636136" spans="25:37" x14ac:dyDescent="0.2">
      <c r="Y636136" s="5"/>
      <c r="AB636136" s="5"/>
      <c r="AE636136" s="5"/>
      <c r="AH636136" s="5"/>
      <c r="AK636136" s="5"/>
    </row>
    <row r="636146" spans="25:37" x14ac:dyDescent="0.2">
      <c r="Y636146" s="251"/>
      <c r="AB636146" s="251"/>
      <c r="AE636146" s="251"/>
      <c r="AH636146" s="251"/>
      <c r="AK636146" s="251"/>
    </row>
    <row r="636261" spans="25:37" x14ac:dyDescent="0.2">
      <c r="Y636261" s="5"/>
      <c r="AB636261" s="5"/>
      <c r="AE636261" s="5"/>
      <c r="AH636261" s="5"/>
      <c r="AK636261" s="5"/>
    </row>
    <row r="636271" spans="25:37" x14ac:dyDescent="0.2">
      <c r="Y636271" s="251"/>
      <c r="AB636271" s="251"/>
      <c r="AE636271" s="251"/>
      <c r="AH636271" s="251"/>
      <c r="AK636271" s="251"/>
    </row>
    <row r="636386" spans="25:37" x14ac:dyDescent="0.2">
      <c r="Y636386" s="5"/>
      <c r="AB636386" s="5"/>
      <c r="AE636386" s="5"/>
      <c r="AH636386" s="5"/>
      <c r="AK636386" s="5"/>
    </row>
    <row r="636396" spans="25:37" x14ac:dyDescent="0.2">
      <c r="Y636396" s="251"/>
      <c r="AB636396" s="251"/>
      <c r="AE636396" s="251"/>
      <c r="AH636396" s="251"/>
      <c r="AK636396" s="251"/>
    </row>
    <row r="636511" spans="25:37" x14ac:dyDescent="0.2">
      <c r="Y636511" s="5"/>
      <c r="AB636511" s="5"/>
      <c r="AE636511" s="5"/>
      <c r="AH636511" s="5"/>
      <c r="AK636511" s="5"/>
    </row>
    <row r="636521" spans="25:37" x14ac:dyDescent="0.2">
      <c r="Y636521" s="251"/>
      <c r="AB636521" s="251"/>
      <c r="AE636521" s="251"/>
      <c r="AH636521" s="251"/>
      <c r="AK636521" s="251"/>
    </row>
    <row r="636636" spans="25:37" x14ac:dyDescent="0.2">
      <c r="Y636636" s="5"/>
      <c r="AB636636" s="5"/>
      <c r="AE636636" s="5"/>
      <c r="AH636636" s="5"/>
      <c r="AK636636" s="5"/>
    </row>
    <row r="636646" spans="25:37" x14ac:dyDescent="0.2">
      <c r="Y636646" s="251"/>
      <c r="AB636646" s="251"/>
      <c r="AE636646" s="251"/>
      <c r="AH636646" s="251"/>
      <c r="AK636646" s="251"/>
    </row>
    <row r="636761" spans="25:37" x14ac:dyDescent="0.2">
      <c r="Y636761" s="5"/>
      <c r="AB636761" s="5"/>
      <c r="AE636761" s="5"/>
      <c r="AH636761" s="5"/>
      <c r="AK636761" s="5"/>
    </row>
    <row r="636771" spans="25:37" x14ac:dyDescent="0.2">
      <c r="Y636771" s="251"/>
      <c r="AB636771" s="251"/>
      <c r="AE636771" s="251"/>
      <c r="AH636771" s="251"/>
      <c r="AK636771" s="251"/>
    </row>
    <row r="636886" spans="25:37" x14ac:dyDescent="0.2">
      <c r="Y636886" s="5"/>
      <c r="AB636886" s="5"/>
      <c r="AE636886" s="5"/>
      <c r="AH636886" s="5"/>
      <c r="AK636886" s="5"/>
    </row>
    <row r="636896" spans="25:37" x14ac:dyDescent="0.2">
      <c r="Y636896" s="251"/>
      <c r="AB636896" s="251"/>
      <c r="AE636896" s="251"/>
      <c r="AH636896" s="251"/>
      <c r="AK636896" s="251"/>
    </row>
    <row r="637011" spans="25:37" x14ac:dyDescent="0.2">
      <c r="Y637011" s="5"/>
      <c r="AB637011" s="5"/>
      <c r="AE637011" s="5"/>
      <c r="AH637011" s="5"/>
      <c r="AK637011" s="5"/>
    </row>
    <row r="637021" spans="25:37" x14ac:dyDescent="0.2">
      <c r="Y637021" s="251"/>
      <c r="AB637021" s="251"/>
      <c r="AE637021" s="251"/>
      <c r="AH637021" s="251"/>
      <c r="AK637021" s="251"/>
    </row>
    <row r="637136" spans="25:37" x14ac:dyDescent="0.2">
      <c r="Y637136" s="5"/>
      <c r="AB637136" s="5"/>
      <c r="AE637136" s="5"/>
      <c r="AH637136" s="5"/>
      <c r="AK637136" s="5"/>
    </row>
    <row r="637146" spans="25:37" x14ac:dyDescent="0.2">
      <c r="Y637146" s="251"/>
      <c r="AB637146" s="251"/>
      <c r="AE637146" s="251"/>
      <c r="AH637146" s="251"/>
      <c r="AK637146" s="251"/>
    </row>
    <row r="637261" spans="25:37" x14ac:dyDescent="0.2">
      <c r="Y637261" s="5"/>
      <c r="AB637261" s="5"/>
      <c r="AE637261" s="5"/>
      <c r="AH637261" s="5"/>
      <c r="AK637261" s="5"/>
    </row>
    <row r="637271" spans="25:37" x14ac:dyDescent="0.2">
      <c r="Y637271" s="251"/>
      <c r="AB637271" s="251"/>
      <c r="AE637271" s="251"/>
      <c r="AH637271" s="251"/>
      <c r="AK637271" s="251"/>
    </row>
    <row r="637386" spans="25:37" x14ac:dyDescent="0.2">
      <c r="Y637386" s="5"/>
      <c r="AB637386" s="5"/>
      <c r="AE637386" s="5"/>
      <c r="AH637386" s="5"/>
      <c r="AK637386" s="5"/>
    </row>
    <row r="637396" spans="25:37" x14ac:dyDescent="0.2">
      <c r="Y637396" s="251"/>
      <c r="AB637396" s="251"/>
      <c r="AE637396" s="251"/>
      <c r="AH637396" s="251"/>
      <c r="AK637396" s="251"/>
    </row>
    <row r="637511" spans="25:37" x14ac:dyDescent="0.2">
      <c r="Y637511" s="5"/>
      <c r="AB637511" s="5"/>
      <c r="AE637511" s="5"/>
      <c r="AH637511" s="5"/>
      <c r="AK637511" s="5"/>
    </row>
    <row r="637521" spans="25:37" x14ac:dyDescent="0.2">
      <c r="Y637521" s="251"/>
      <c r="AB637521" s="251"/>
      <c r="AE637521" s="251"/>
      <c r="AH637521" s="251"/>
      <c r="AK637521" s="251"/>
    </row>
    <row r="637636" spans="25:37" x14ac:dyDescent="0.2">
      <c r="Y637636" s="5"/>
      <c r="AB637636" s="5"/>
      <c r="AE637636" s="5"/>
      <c r="AH637636" s="5"/>
      <c r="AK637636" s="5"/>
    </row>
    <row r="637646" spans="25:37" x14ac:dyDescent="0.2">
      <c r="Y637646" s="251"/>
      <c r="AB637646" s="251"/>
      <c r="AE637646" s="251"/>
      <c r="AH637646" s="251"/>
      <c r="AK637646" s="251"/>
    </row>
    <row r="637761" spans="25:37" x14ac:dyDescent="0.2">
      <c r="Y637761" s="5"/>
      <c r="AB637761" s="5"/>
      <c r="AE637761" s="5"/>
      <c r="AH637761" s="5"/>
      <c r="AK637761" s="5"/>
    </row>
    <row r="637771" spans="25:37" x14ac:dyDescent="0.2">
      <c r="Y637771" s="251"/>
      <c r="AB637771" s="251"/>
      <c r="AE637771" s="251"/>
      <c r="AH637771" s="251"/>
      <c r="AK637771" s="251"/>
    </row>
    <row r="637886" spans="25:37" x14ac:dyDescent="0.2">
      <c r="Y637886" s="5"/>
      <c r="AB637886" s="5"/>
      <c r="AE637886" s="5"/>
      <c r="AH637886" s="5"/>
      <c r="AK637886" s="5"/>
    </row>
    <row r="637896" spans="25:37" x14ac:dyDescent="0.2">
      <c r="Y637896" s="251"/>
      <c r="AB637896" s="251"/>
      <c r="AE637896" s="251"/>
      <c r="AH637896" s="251"/>
      <c r="AK637896" s="251"/>
    </row>
    <row r="638011" spans="25:37" x14ac:dyDescent="0.2">
      <c r="Y638011" s="5"/>
      <c r="AB638011" s="5"/>
      <c r="AE638011" s="5"/>
      <c r="AH638011" s="5"/>
      <c r="AK638011" s="5"/>
    </row>
    <row r="638021" spans="25:37" x14ac:dyDescent="0.2">
      <c r="Y638021" s="251"/>
      <c r="AB638021" s="251"/>
      <c r="AE638021" s="251"/>
      <c r="AH638021" s="251"/>
      <c r="AK638021" s="251"/>
    </row>
    <row r="638136" spans="25:37" x14ac:dyDescent="0.2">
      <c r="Y638136" s="5"/>
      <c r="AB638136" s="5"/>
      <c r="AE638136" s="5"/>
      <c r="AH638136" s="5"/>
      <c r="AK638136" s="5"/>
    </row>
    <row r="638146" spans="25:37" x14ac:dyDescent="0.2">
      <c r="Y638146" s="251"/>
      <c r="AB638146" s="251"/>
      <c r="AE638146" s="251"/>
      <c r="AH638146" s="251"/>
      <c r="AK638146" s="251"/>
    </row>
    <row r="638261" spans="25:37" x14ac:dyDescent="0.2">
      <c r="Y638261" s="5"/>
      <c r="AB638261" s="5"/>
      <c r="AE638261" s="5"/>
      <c r="AH638261" s="5"/>
      <c r="AK638261" s="5"/>
    </row>
    <row r="638271" spans="25:37" x14ac:dyDescent="0.2">
      <c r="Y638271" s="251"/>
      <c r="AB638271" s="251"/>
      <c r="AE638271" s="251"/>
      <c r="AH638271" s="251"/>
      <c r="AK638271" s="251"/>
    </row>
    <row r="638386" spans="25:37" x14ac:dyDescent="0.2">
      <c r="Y638386" s="5"/>
      <c r="AB638386" s="5"/>
      <c r="AE638386" s="5"/>
      <c r="AH638386" s="5"/>
      <c r="AK638386" s="5"/>
    </row>
    <row r="638396" spans="25:37" x14ac:dyDescent="0.2">
      <c r="Y638396" s="251"/>
      <c r="AB638396" s="251"/>
      <c r="AE638396" s="251"/>
      <c r="AH638396" s="251"/>
      <c r="AK638396" s="251"/>
    </row>
    <row r="638511" spans="25:37" x14ac:dyDescent="0.2">
      <c r="Y638511" s="5"/>
      <c r="AB638511" s="5"/>
      <c r="AE638511" s="5"/>
      <c r="AH638511" s="5"/>
      <c r="AK638511" s="5"/>
    </row>
    <row r="638521" spans="25:37" x14ac:dyDescent="0.2">
      <c r="Y638521" s="251"/>
      <c r="AB638521" s="251"/>
      <c r="AE638521" s="251"/>
      <c r="AH638521" s="251"/>
      <c r="AK638521" s="251"/>
    </row>
    <row r="638636" spans="25:37" x14ac:dyDescent="0.2">
      <c r="Y638636" s="5"/>
      <c r="AB638636" s="5"/>
      <c r="AE638636" s="5"/>
      <c r="AH638636" s="5"/>
      <c r="AK638636" s="5"/>
    </row>
    <row r="638646" spans="25:37" x14ac:dyDescent="0.2">
      <c r="Y638646" s="251"/>
      <c r="AB638646" s="251"/>
      <c r="AE638646" s="251"/>
      <c r="AH638646" s="251"/>
      <c r="AK638646" s="251"/>
    </row>
    <row r="638761" spans="25:37" x14ac:dyDescent="0.2">
      <c r="Y638761" s="5"/>
      <c r="AB638761" s="5"/>
      <c r="AE638761" s="5"/>
      <c r="AH638761" s="5"/>
      <c r="AK638761" s="5"/>
    </row>
    <row r="638771" spans="25:37" x14ac:dyDescent="0.2">
      <c r="Y638771" s="251"/>
      <c r="AB638771" s="251"/>
      <c r="AE638771" s="251"/>
      <c r="AH638771" s="251"/>
      <c r="AK638771" s="251"/>
    </row>
    <row r="638886" spans="25:37" x14ac:dyDescent="0.2">
      <c r="Y638886" s="5"/>
      <c r="AB638886" s="5"/>
      <c r="AE638886" s="5"/>
      <c r="AH638886" s="5"/>
      <c r="AK638886" s="5"/>
    </row>
    <row r="638896" spans="25:37" x14ac:dyDescent="0.2">
      <c r="Y638896" s="251"/>
      <c r="AB638896" s="251"/>
      <c r="AE638896" s="251"/>
      <c r="AH638896" s="251"/>
      <c r="AK638896" s="251"/>
    </row>
    <row r="639011" spans="25:37" x14ac:dyDescent="0.2">
      <c r="Y639011" s="5"/>
      <c r="AB639011" s="5"/>
      <c r="AE639011" s="5"/>
      <c r="AH639011" s="5"/>
      <c r="AK639011" s="5"/>
    </row>
    <row r="639021" spans="25:37" x14ac:dyDescent="0.2">
      <c r="Y639021" s="251"/>
      <c r="AB639021" s="251"/>
      <c r="AE639021" s="251"/>
      <c r="AH639021" s="251"/>
      <c r="AK639021" s="251"/>
    </row>
    <row r="639136" spans="25:37" x14ac:dyDescent="0.2">
      <c r="Y639136" s="5"/>
      <c r="AB639136" s="5"/>
      <c r="AE639136" s="5"/>
      <c r="AH639136" s="5"/>
      <c r="AK639136" s="5"/>
    </row>
    <row r="639146" spans="25:37" x14ac:dyDescent="0.2">
      <c r="Y639146" s="251"/>
      <c r="AB639146" s="251"/>
      <c r="AE639146" s="251"/>
      <c r="AH639146" s="251"/>
      <c r="AK639146" s="251"/>
    </row>
    <row r="639261" spans="25:37" x14ac:dyDescent="0.2">
      <c r="Y639261" s="5"/>
      <c r="AB639261" s="5"/>
      <c r="AE639261" s="5"/>
      <c r="AH639261" s="5"/>
      <c r="AK639261" s="5"/>
    </row>
    <row r="639271" spans="25:37" x14ac:dyDescent="0.2">
      <c r="Y639271" s="251"/>
      <c r="AB639271" s="251"/>
      <c r="AE639271" s="251"/>
      <c r="AH639271" s="251"/>
      <c r="AK639271" s="251"/>
    </row>
    <row r="639386" spans="25:37" x14ac:dyDescent="0.2">
      <c r="Y639386" s="5"/>
      <c r="AB639386" s="5"/>
      <c r="AE639386" s="5"/>
      <c r="AH639386" s="5"/>
      <c r="AK639386" s="5"/>
    </row>
    <row r="639396" spans="25:37" x14ac:dyDescent="0.2">
      <c r="Y639396" s="251"/>
      <c r="AB639396" s="251"/>
      <c r="AE639396" s="251"/>
      <c r="AH639396" s="251"/>
      <c r="AK639396" s="251"/>
    </row>
    <row r="639511" spans="25:37" x14ac:dyDescent="0.2">
      <c r="Y639511" s="5"/>
      <c r="AB639511" s="5"/>
      <c r="AE639511" s="5"/>
      <c r="AH639511" s="5"/>
      <c r="AK639511" s="5"/>
    </row>
    <row r="639521" spans="25:37" x14ac:dyDescent="0.2">
      <c r="Y639521" s="251"/>
      <c r="AB639521" s="251"/>
      <c r="AE639521" s="251"/>
      <c r="AH639521" s="251"/>
      <c r="AK639521" s="251"/>
    </row>
    <row r="639636" spans="25:37" x14ac:dyDescent="0.2">
      <c r="Y639636" s="5"/>
      <c r="AB639636" s="5"/>
      <c r="AE639636" s="5"/>
      <c r="AH639636" s="5"/>
      <c r="AK639636" s="5"/>
    </row>
    <row r="639646" spans="25:37" x14ac:dyDescent="0.2">
      <c r="Y639646" s="251"/>
      <c r="AB639646" s="251"/>
      <c r="AE639646" s="251"/>
      <c r="AH639646" s="251"/>
      <c r="AK639646" s="251"/>
    </row>
    <row r="639761" spans="25:37" x14ac:dyDescent="0.2">
      <c r="Y639761" s="5"/>
      <c r="AB639761" s="5"/>
      <c r="AE639761" s="5"/>
      <c r="AH639761" s="5"/>
      <c r="AK639761" s="5"/>
    </row>
    <row r="639771" spans="25:37" x14ac:dyDescent="0.2">
      <c r="Y639771" s="251"/>
      <c r="AB639771" s="251"/>
      <c r="AE639771" s="251"/>
      <c r="AH639771" s="251"/>
      <c r="AK639771" s="251"/>
    </row>
    <row r="639886" spans="25:37" x14ac:dyDescent="0.2">
      <c r="Y639886" s="5"/>
      <c r="AB639886" s="5"/>
      <c r="AE639886" s="5"/>
      <c r="AH639886" s="5"/>
      <c r="AK639886" s="5"/>
    </row>
    <row r="639896" spans="25:37" x14ac:dyDescent="0.2">
      <c r="Y639896" s="251"/>
      <c r="AB639896" s="251"/>
      <c r="AE639896" s="251"/>
      <c r="AH639896" s="251"/>
      <c r="AK639896" s="251"/>
    </row>
    <row r="640011" spans="25:37" x14ac:dyDescent="0.2">
      <c r="Y640011" s="5"/>
      <c r="AB640011" s="5"/>
      <c r="AE640011" s="5"/>
      <c r="AH640011" s="5"/>
      <c r="AK640011" s="5"/>
    </row>
    <row r="640021" spans="25:37" x14ac:dyDescent="0.2">
      <c r="Y640021" s="251"/>
      <c r="AB640021" s="251"/>
      <c r="AE640021" s="251"/>
      <c r="AH640021" s="251"/>
      <c r="AK640021" s="251"/>
    </row>
    <row r="640136" spans="25:37" x14ac:dyDescent="0.2">
      <c r="Y640136" s="5"/>
      <c r="AB640136" s="5"/>
      <c r="AE640136" s="5"/>
      <c r="AH640136" s="5"/>
      <c r="AK640136" s="5"/>
    </row>
    <row r="640146" spans="25:37" x14ac:dyDescent="0.2">
      <c r="Y640146" s="251"/>
      <c r="AB640146" s="251"/>
      <c r="AE640146" s="251"/>
      <c r="AH640146" s="251"/>
      <c r="AK640146" s="251"/>
    </row>
    <row r="640261" spans="25:37" x14ac:dyDescent="0.2">
      <c r="Y640261" s="5"/>
      <c r="AB640261" s="5"/>
      <c r="AE640261" s="5"/>
      <c r="AH640261" s="5"/>
      <c r="AK640261" s="5"/>
    </row>
    <row r="640271" spans="25:37" x14ac:dyDescent="0.2">
      <c r="Y640271" s="251"/>
      <c r="AB640271" s="251"/>
      <c r="AE640271" s="251"/>
      <c r="AH640271" s="251"/>
      <c r="AK640271" s="251"/>
    </row>
    <row r="640386" spans="25:37" x14ac:dyDescent="0.2">
      <c r="Y640386" s="5"/>
      <c r="AB640386" s="5"/>
      <c r="AE640386" s="5"/>
      <c r="AH640386" s="5"/>
      <c r="AK640386" s="5"/>
    </row>
    <row r="640396" spans="25:37" x14ac:dyDescent="0.2">
      <c r="Y640396" s="251"/>
      <c r="AB640396" s="251"/>
      <c r="AE640396" s="251"/>
      <c r="AH640396" s="251"/>
      <c r="AK640396" s="251"/>
    </row>
    <row r="640511" spans="25:37" x14ac:dyDescent="0.2">
      <c r="Y640511" s="5"/>
      <c r="AB640511" s="5"/>
      <c r="AE640511" s="5"/>
      <c r="AH640511" s="5"/>
      <c r="AK640511" s="5"/>
    </row>
    <row r="640521" spans="25:37" x14ac:dyDescent="0.2">
      <c r="Y640521" s="251"/>
      <c r="AB640521" s="251"/>
      <c r="AE640521" s="251"/>
      <c r="AH640521" s="251"/>
      <c r="AK640521" s="251"/>
    </row>
    <row r="640636" spans="25:37" x14ac:dyDescent="0.2">
      <c r="Y640636" s="5"/>
      <c r="AB640636" s="5"/>
      <c r="AE640636" s="5"/>
      <c r="AH640636" s="5"/>
      <c r="AK640636" s="5"/>
    </row>
    <row r="640646" spans="25:37" x14ac:dyDescent="0.2">
      <c r="Y640646" s="251"/>
      <c r="AB640646" s="251"/>
      <c r="AE640646" s="251"/>
      <c r="AH640646" s="251"/>
      <c r="AK640646" s="251"/>
    </row>
    <row r="640761" spans="25:37" x14ac:dyDescent="0.2">
      <c r="Y640761" s="5"/>
      <c r="AB640761" s="5"/>
      <c r="AE640761" s="5"/>
      <c r="AH640761" s="5"/>
      <c r="AK640761" s="5"/>
    </row>
    <row r="640771" spans="25:37" x14ac:dyDescent="0.2">
      <c r="Y640771" s="251"/>
      <c r="AB640771" s="251"/>
      <c r="AE640771" s="251"/>
      <c r="AH640771" s="251"/>
      <c r="AK640771" s="251"/>
    </row>
    <row r="640886" spans="25:37" x14ac:dyDescent="0.2">
      <c r="Y640886" s="5"/>
      <c r="AB640886" s="5"/>
      <c r="AE640886" s="5"/>
      <c r="AH640886" s="5"/>
      <c r="AK640886" s="5"/>
    </row>
    <row r="640896" spans="25:37" x14ac:dyDescent="0.2">
      <c r="Y640896" s="251"/>
      <c r="AB640896" s="251"/>
      <c r="AE640896" s="251"/>
      <c r="AH640896" s="251"/>
      <c r="AK640896" s="251"/>
    </row>
    <row r="641011" spans="25:37" x14ac:dyDescent="0.2">
      <c r="Y641011" s="5"/>
      <c r="AB641011" s="5"/>
      <c r="AE641011" s="5"/>
      <c r="AH641011" s="5"/>
      <c r="AK641011" s="5"/>
    </row>
    <row r="641021" spans="25:37" x14ac:dyDescent="0.2">
      <c r="Y641021" s="251"/>
      <c r="AB641021" s="251"/>
      <c r="AE641021" s="251"/>
      <c r="AH641021" s="251"/>
      <c r="AK641021" s="251"/>
    </row>
    <row r="641136" spans="25:37" x14ac:dyDescent="0.2">
      <c r="Y641136" s="5"/>
      <c r="AB641136" s="5"/>
      <c r="AE641136" s="5"/>
      <c r="AH641136" s="5"/>
      <c r="AK641136" s="5"/>
    </row>
    <row r="641146" spans="25:37" x14ac:dyDescent="0.2">
      <c r="Y641146" s="251"/>
      <c r="AB641146" s="251"/>
      <c r="AE641146" s="251"/>
      <c r="AH641146" s="251"/>
      <c r="AK641146" s="251"/>
    </row>
    <row r="641261" spans="25:37" x14ac:dyDescent="0.2">
      <c r="Y641261" s="5"/>
      <c r="AB641261" s="5"/>
      <c r="AE641261" s="5"/>
      <c r="AH641261" s="5"/>
      <c r="AK641261" s="5"/>
    </row>
    <row r="641271" spans="25:37" x14ac:dyDescent="0.2">
      <c r="Y641271" s="251"/>
      <c r="AB641271" s="251"/>
      <c r="AE641271" s="251"/>
      <c r="AH641271" s="251"/>
      <c r="AK641271" s="251"/>
    </row>
    <row r="641386" spans="25:37" x14ac:dyDescent="0.2">
      <c r="Y641386" s="5"/>
      <c r="AB641386" s="5"/>
      <c r="AE641386" s="5"/>
      <c r="AH641386" s="5"/>
      <c r="AK641386" s="5"/>
    </row>
    <row r="641396" spans="25:37" x14ac:dyDescent="0.2">
      <c r="Y641396" s="251"/>
      <c r="AB641396" s="251"/>
      <c r="AE641396" s="251"/>
      <c r="AH641396" s="251"/>
      <c r="AK641396" s="251"/>
    </row>
    <row r="641511" spans="25:37" x14ac:dyDescent="0.2">
      <c r="Y641511" s="5"/>
      <c r="AB641511" s="5"/>
      <c r="AE641511" s="5"/>
      <c r="AH641511" s="5"/>
      <c r="AK641511" s="5"/>
    </row>
    <row r="641521" spans="25:37" x14ac:dyDescent="0.2">
      <c r="Y641521" s="251"/>
      <c r="AB641521" s="251"/>
      <c r="AE641521" s="251"/>
      <c r="AH641521" s="251"/>
      <c r="AK641521" s="251"/>
    </row>
    <row r="641636" spans="25:37" x14ac:dyDescent="0.2">
      <c r="Y641636" s="5"/>
      <c r="AB641636" s="5"/>
      <c r="AE641636" s="5"/>
      <c r="AH641636" s="5"/>
      <c r="AK641636" s="5"/>
    </row>
    <row r="641646" spans="25:37" x14ac:dyDescent="0.2">
      <c r="Y641646" s="251"/>
      <c r="AB641646" s="251"/>
      <c r="AE641646" s="251"/>
      <c r="AH641646" s="251"/>
      <c r="AK641646" s="251"/>
    </row>
    <row r="641761" spans="25:37" x14ac:dyDescent="0.2">
      <c r="Y641761" s="5"/>
      <c r="AB641761" s="5"/>
      <c r="AE641761" s="5"/>
      <c r="AH641761" s="5"/>
      <c r="AK641761" s="5"/>
    </row>
    <row r="641771" spans="25:37" x14ac:dyDescent="0.2">
      <c r="Y641771" s="251"/>
      <c r="AB641771" s="251"/>
      <c r="AE641771" s="251"/>
      <c r="AH641771" s="251"/>
      <c r="AK641771" s="251"/>
    </row>
    <row r="641886" spans="25:37" x14ac:dyDescent="0.2">
      <c r="Y641886" s="5"/>
      <c r="AB641886" s="5"/>
      <c r="AE641886" s="5"/>
      <c r="AH641886" s="5"/>
      <c r="AK641886" s="5"/>
    </row>
    <row r="641896" spans="25:37" x14ac:dyDescent="0.2">
      <c r="Y641896" s="251"/>
      <c r="AB641896" s="251"/>
      <c r="AE641896" s="251"/>
      <c r="AH641896" s="251"/>
      <c r="AK641896" s="251"/>
    </row>
    <row r="642011" spans="25:37" x14ac:dyDescent="0.2">
      <c r="Y642011" s="5"/>
      <c r="AB642011" s="5"/>
      <c r="AE642011" s="5"/>
      <c r="AH642011" s="5"/>
      <c r="AK642011" s="5"/>
    </row>
    <row r="642021" spans="25:37" x14ac:dyDescent="0.2">
      <c r="Y642021" s="251"/>
      <c r="AB642021" s="251"/>
      <c r="AE642021" s="251"/>
      <c r="AH642021" s="251"/>
      <c r="AK642021" s="251"/>
    </row>
    <row r="642136" spans="25:37" x14ac:dyDescent="0.2">
      <c r="Y642136" s="5"/>
      <c r="AB642136" s="5"/>
      <c r="AE642136" s="5"/>
      <c r="AH642136" s="5"/>
      <c r="AK642136" s="5"/>
    </row>
    <row r="642146" spans="25:37" x14ac:dyDescent="0.2">
      <c r="Y642146" s="251"/>
      <c r="AB642146" s="251"/>
      <c r="AE642146" s="251"/>
      <c r="AH642146" s="251"/>
      <c r="AK642146" s="251"/>
    </row>
    <row r="642261" spans="25:37" x14ac:dyDescent="0.2">
      <c r="Y642261" s="5"/>
      <c r="AB642261" s="5"/>
      <c r="AE642261" s="5"/>
      <c r="AH642261" s="5"/>
      <c r="AK642261" s="5"/>
    </row>
    <row r="642271" spans="25:37" x14ac:dyDescent="0.2">
      <c r="Y642271" s="251"/>
      <c r="AB642271" s="251"/>
      <c r="AE642271" s="251"/>
      <c r="AH642271" s="251"/>
      <c r="AK642271" s="251"/>
    </row>
    <row r="642386" spans="25:37" x14ac:dyDescent="0.2">
      <c r="Y642386" s="5"/>
      <c r="AB642386" s="5"/>
      <c r="AE642386" s="5"/>
      <c r="AH642386" s="5"/>
      <c r="AK642386" s="5"/>
    </row>
    <row r="642396" spans="25:37" x14ac:dyDescent="0.2">
      <c r="Y642396" s="251"/>
      <c r="AB642396" s="251"/>
      <c r="AE642396" s="251"/>
      <c r="AH642396" s="251"/>
      <c r="AK642396" s="251"/>
    </row>
    <row r="642511" spans="25:37" x14ac:dyDescent="0.2">
      <c r="Y642511" s="5"/>
      <c r="AB642511" s="5"/>
      <c r="AE642511" s="5"/>
      <c r="AH642511" s="5"/>
      <c r="AK642511" s="5"/>
    </row>
    <row r="642521" spans="25:37" x14ac:dyDescent="0.2">
      <c r="Y642521" s="251"/>
      <c r="AB642521" s="251"/>
      <c r="AE642521" s="251"/>
      <c r="AH642521" s="251"/>
      <c r="AK642521" s="251"/>
    </row>
    <row r="642636" spans="25:37" x14ac:dyDescent="0.2">
      <c r="Y642636" s="5"/>
      <c r="AB642636" s="5"/>
      <c r="AE642636" s="5"/>
      <c r="AH642636" s="5"/>
      <c r="AK642636" s="5"/>
    </row>
    <row r="642646" spans="25:37" x14ac:dyDescent="0.2">
      <c r="Y642646" s="251"/>
      <c r="AB642646" s="251"/>
      <c r="AE642646" s="251"/>
      <c r="AH642646" s="251"/>
      <c r="AK642646" s="251"/>
    </row>
    <row r="642761" spans="25:37" x14ac:dyDescent="0.2">
      <c r="Y642761" s="5"/>
      <c r="AB642761" s="5"/>
      <c r="AE642761" s="5"/>
      <c r="AH642761" s="5"/>
      <c r="AK642761" s="5"/>
    </row>
    <row r="642771" spans="25:37" x14ac:dyDescent="0.2">
      <c r="Y642771" s="251"/>
      <c r="AB642771" s="251"/>
      <c r="AE642771" s="251"/>
      <c r="AH642771" s="251"/>
      <c r="AK642771" s="251"/>
    </row>
    <row r="642886" spans="25:37" x14ac:dyDescent="0.2">
      <c r="Y642886" s="5"/>
      <c r="AB642886" s="5"/>
      <c r="AE642886" s="5"/>
      <c r="AH642886" s="5"/>
      <c r="AK642886" s="5"/>
    </row>
    <row r="642896" spans="25:37" x14ac:dyDescent="0.2">
      <c r="Y642896" s="251"/>
      <c r="AB642896" s="251"/>
      <c r="AE642896" s="251"/>
      <c r="AH642896" s="251"/>
      <c r="AK642896" s="251"/>
    </row>
    <row r="643011" spans="25:37" x14ac:dyDescent="0.2">
      <c r="Y643011" s="5"/>
      <c r="AB643011" s="5"/>
      <c r="AE643011" s="5"/>
      <c r="AH643011" s="5"/>
      <c r="AK643011" s="5"/>
    </row>
    <row r="643021" spans="25:37" x14ac:dyDescent="0.2">
      <c r="Y643021" s="251"/>
      <c r="AB643021" s="251"/>
      <c r="AE643021" s="251"/>
      <c r="AH643021" s="251"/>
      <c r="AK643021" s="251"/>
    </row>
    <row r="643136" spans="25:37" x14ac:dyDescent="0.2">
      <c r="Y643136" s="5"/>
      <c r="AB643136" s="5"/>
      <c r="AE643136" s="5"/>
      <c r="AH643136" s="5"/>
      <c r="AK643136" s="5"/>
    </row>
    <row r="643146" spans="25:37" x14ac:dyDescent="0.2">
      <c r="Y643146" s="251"/>
      <c r="AB643146" s="251"/>
      <c r="AE643146" s="251"/>
      <c r="AH643146" s="251"/>
      <c r="AK643146" s="251"/>
    </row>
    <row r="643261" spans="25:37" x14ac:dyDescent="0.2">
      <c r="Y643261" s="5"/>
      <c r="AB643261" s="5"/>
      <c r="AE643261" s="5"/>
      <c r="AH643261" s="5"/>
      <c r="AK643261" s="5"/>
    </row>
    <row r="643271" spans="25:37" x14ac:dyDescent="0.2">
      <c r="Y643271" s="251"/>
      <c r="AB643271" s="251"/>
      <c r="AE643271" s="251"/>
      <c r="AH643271" s="251"/>
      <c r="AK643271" s="251"/>
    </row>
    <row r="643386" spans="25:37" x14ac:dyDescent="0.2">
      <c r="Y643386" s="5"/>
      <c r="AB643386" s="5"/>
      <c r="AE643386" s="5"/>
      <c r="AH643386" s="5"/>
      <c r="AK643386" s="5"/>
    </row>
    <row r="643396" spans="25:37" x14ac:dyDescent="0.2">
      <c r="Y643396" s="251"/>
      <c r="AB643396" s="251"/>
      <c r="AE643396" s="251"/>
      <c r="AH643396" s="251"/>
      <c r="AK643396" s="251"/>
    </row>
    <row r="643511" spans="25:37" x14ac:dyDescent="0.2">
      <c r="Y643511" s="5"/>
      <c r="AB643511" s="5"/>
      <c r="AE643511" s="5"/>
      <c r="AH643511" s="5"/>
      <c r="AK643511" s="5"/>
    </row>
    <row r="643521" spans="25:37" x14ac:dyDescent="0.2">
      <c r="Y643521" s="251"/>
      <c r="AB643521" s="251"/>
      <c r="AE643521" s="251"/>
      <c r="AH643521" s="251"/>
      <c r="AK643521" s="251"/>
    </row>
    <row r="643636" spans="25:37" x14ac:dyDescent="0.2">
      <c r="Y643636" s="5"/>
      <c r="AB643636" s="5"/>
      <c r="AE643636" s="5"/>
      <c r="AH643636" s="5"/>
      <c r="AK643636" s="5"/>
    </row>
    <row r="643646" spans="25:37" x14ac:dyDescent="0.2">
      <c r="Y643646" s="251"/>
      <c r="AB643646" s="251"/>
      <c r="AE643646" s="251"/>
      <c r="AH643646" s="251"/>
      <c r="AK643646" s="251"/>
    </row>
    <row r="643761" spans="25:37" x14ac:dyDescent="0.2">
      <c r="Y643761" s="5"/>
      <c r="AB643761" s="5"/>
      <c r="AE643761" s="5"/>
      <c r="AH643761" s="5"/>
      <c r="AK643761" s="5"/>
    </row>
    <row r="643771" spans="25:37" x14ac:dyDescent="0.2">
      <c r="Y643771" s="251"/>
      <c r="AB643771" s="251"/>
      <c r="AE643771" s="251"/>
      <c r="AH643771" s="251"/>
      <c r="AK643771" s="251"/>
    </row>
    <row r="643886" spans="25:37" x14ac:dyDescent="0.2">
      <c r="Y643886" s="5"/>
      <c r="AB643886" s="5"/>
      <c r="AE643886" s="5"/>
      <c r="AH643886" s="5"/>
      <c r="AK643886" s="5"/>
    </row>
    <row r="643896" spans="25:37" x14ac:dyDescent="0.2">
      <c r="Y643896" s="251"/>
      <c r="AB643896" s="251"/>
      <c r="AE643896" s="251"/>
      <c r="AH643896" s="251"/>
      <c r="AK643896" s="251"/>
    </row>
    <row r="644011" spans="25:37" x14ac:dyDescent="0.2">
      <c r="Y644011" s="5"/>
      <c r="AB644011" s="5"/>
      <c r="AE644011" s="5"/>
      <c r="AH644011" s="5"/>
      <c r="AK644011" s="5"/>
    </row>
    <row r="644021" spans="25:37" x14ac:dyDescent="0.2">
      <c r="Y644021" s="251"/>
      <c r="AB644021" s="251"/>
      <c r="AE644021" s="251"/>
      <c r="AH644021" s="251"/>
      <c r="AK644021" s="251"/>
    </row>
    <row r="644136" spans="25:37" x14ac:dyDescent="0.2">
      <c r="Y644136" s="5"/>
      <c r="AB644136" s="5"/>
      <c r="AE644136" s="5"/>
      <c r="AH644136" s="5"/>
      <c r="AK644136" s="5"/>
    </row>
    <row r="644146" spans="25:37" x14ac:dyDescent="0.2">
      <c r="Y644146" s="251"/>
      <c r="AB644146" s="251"/>
      <c r="AE644146" s="251"/>
      <c r="AH644146" s="251"/>
      <c r="AK644146" s="251"/>
    </row>
    <row r="644261" spans="25:37" x14ac:dyDescent="0.2">
      <c r="Y644261" s="5"/>
      <c r="AB644261" s="5"/>
      <c r="AE644261" s="5"/>
      <c r="AH644261" s="5"/>
      <c r="AK644261" s="5"/>
    </row>
    <row r="644271" spans="25:37" x14ac:dyDescent="0.2">
      <c r="Y644271" s="251"/>
      <c r="AB644271" s="251"/>
      <c r="AE644271" s="251"/>
      <c r="AH644271" s="251"/>
      <c r="AK644271" s="251"/>
    </row>
    <row r="644386" spans="25:37" x14ac:dyDescent="0.2">
      <c r="Y644386" s="5"/>
      <c r="AB644386" s="5"/>
      <c r="AE644386" s="5"/>
      <c r="AH644386" s="5"/>
      <c r="AK644386" s="5"/>
    </row>
    <row r="644396" spans="25:37" x14ac:dyDescent="0.2">
      <c r="Y644396" s="251"/>
      <c r="AB644396" s="251"/>
      <c r="AE644396" s="251"/>
      <c r="AH644396" s="251"/>
      <c r="AK644396" s="251"/>
    </row>
    <row r="644511" spans="25:37" x14ac:dyDescent="0.2">
      <c r="Y644511" s="5"/>
      <c r="AB644511" s="5"/>
      <c r="AE644511" s="5"/>
      <c r="AH644511" s="5"/>
      <c r="AK644511" s="5"/>
    </row>
    <row r="644521" spans="25:37" x14ac:dyDescent="0.2">
      <c r="Y644521" s="251"/>
      <c r="AB644521" s="251"/>
      <c r="AE644521" s="251"/>
      <c r="AH644521" s="251"/>
      <c r="AK644521" s="251"/>
    </row>
    <row r="644636" spans="25:37" x14ac:dyDescent="0.2">
      <c r="Y644636" s="5"/>
      <c r="AB644636" s="5"/>
      <c r="AE644636" s="5"/>
      <c r="AH644636" s="5"/>
      <c r="AK644636" s="5"/>
    </row>
    <row r="644646" spans="25:37" x14ac:dyDescent="0.2">
      <c r="Y644646" s="251"/>
      <c r="AB644646" s="251"/>
      <c r="AE644646" s="251"/>
      <c r="AH644646" s="251"/>
      <c r="AK644646" s="251"/>
    </row>
    <row r="644761" spans="25:37" x14ac:dyDescent="0.2">
      <c r="Y644761" s="5"/>
      <c r="AB644761" s="5"/>
      <c r="AE644761" s="5"/>
      <c r="AH644761" s="5"/>
      <c r="AK644761" s="5"/>
    </row>
    <row r="644771" spans="25:37" x14ac:dyDescent="0.2">
      <c r="Y644771" s="251"/>
      <c r="AB644771" s="251"/>
      <c r="AE644771" s="251"/>
      <c r="AH644771" s="251"/>
      <c r="AK644771" s="251"/>
    </row>
    <row r="644886" spans="25:37" x14ac:dyDescent="0.2">
      <c r="Y644886" s="5"/>
      <c r="AB644886" s="5"/>
      <c r="AE644886" s="5"/>
      <c r="AH644886" s="5"/>
      <c r="AK644886" s="5"/>
    </row>
    <row r="644896" spans="25:37" x14ac:dyDescent="0.2">
      <c r="Y644896" s="251"/>
      <c r="AB644896" s="251"/>
      <c r="AE644896" s="251"/>
      <c r="AH644896" s="251"/>
      <c r="AK644896" s="251"/>
    </row>
    <row r="645011" spans="25:37" x14ac:dyDescent="0.2">
      <c r="Y645011" s="5"/>
      <c r="AB645011" s="5"/>
      <c r="AE645011" s="5"/>
      <c r="AH645011" s="5"/>
      <c r="AK645011" s="5"/>
    </row>
    <row r="645021" spans="25:37" x14ac:dyDescent="0.2">
      <c r="Y645021" s="251"/>
      <c r="AB645021" s="251"/>
      <c r="AE645021" s="251"/>
      <c r="AH645021" s="251"/>
      <c r="AK645021" s="251"/>
    </row>
    <row r="645136" spans="25:37" x14ac:dyDescent="0.2">
      <c r="Y645136" s="5"/>
      <c r="AB645136" s="5"/>
      <c r="AE645136" s="5"/>
      <c r="AH645136" s="5"/>
      <c r="AK645136" s="5"/>
    </row>
    <row r="645146" spans="25:37" x14ac:dyDescent="0.2">
      <c r="Y645146" s="251"/>
      <c r="AB645146" s="251"/>
      <c r="AE645146" s="251"/>
      <c r="AH645146" s="251"/>
      <c r="AK645146" s="251"/>
    </row>
    <row r="645261" spans="25:37" x14ac:dyDescent="0.2">
      <c r="Y645261" s="5"/>
      <c r="AB645261" s="5"/>
      <c r="AE645261" s="5"/>
      <c r="AH645261" s="5"/>
      <c r="AK645261" s="5"/>
    </row>
    <row r="645271" spans="25:37" x14ac:dyDescent="0.2">
      <c r="Y645271" s="251"/>
      <c r="AB645271" s="251"/>
      <c r="AE645271" s="251"/>
      <c r="AH645271" s="251"/>
      <c r="AK645271" s="251"/>
    </row>
    <row r="645386" spans="25:37" x14ac:dyDescent="0.2">
      <c r="Y645386" s="5"/>
      <c r="AB645386" s="5"/>
      <c r="AE645386" s="5"/>
      <c r="AH645386" s="5"/>
      <c r="AK645386" s="5"/>
    </row>
    <row r="645396" spans="25:37" x14ac:dyDescent="0.2">
      <c r="Y645396" s="251"/>
      <c r="AB645396" s="251"/>
      <c r="AE645396" s="251"/>
      <c r="AH645396" s="251"/>
      <c r="AK645396" s="251"/>
    </row>
    <row r="645511" spans="25:37" x14ac:dyDescent="0.2">
      <c r="Y645511" s="5"/>
      <c r="AB645511" s="5"/>
      <c r="AE645511" s="5"/>
      <c r="AH645511" s="5"/>
      <c r="AK645511" s="5"/>
    </row>
    <row r="645521" spans="25:37" x14ac:dyDescent="0.2">
      <c r="Y645521" s="251"/>
      <c r="AB645521" s="251"/>
      <c r="AE645521" s="251"/>
      <c r="AH645521" s="251"/>
      <c r="AK645521" s="251"/>
    </row>
    <row r="645636" spans="25:37" x14ac:dyDescent="0.2">
      <c r="Y645636" s="5"/>
      <c r="AB645636" s="5"/>
      <c r="AE645636" s="5"/>
      <c r="AH645636" s="5"/>
      <c r="AK645636" s="5"/>
    </row>
    <row r="645646" spans="25:37" x14ac:dyDescent="0.2">
      <c r="Y645646" s="251"/>
      <c r="AB645646" s="251"/>
      <c r="AE645646" s="251"/>
      <c r="AH645646" s="251"/>
      <c r="AK645646" s="251"/>
    </row>
    <row r="645761" spans="25:37" x14ac:dyDescent="0.2">
      <c r="Y645761" s="5"/>
      <c r="AB645761" s="5"/>
      <c r="AE645761" s="5"/>
      <c r="AH645761" s="5"/>
      <c r="AK645761" s="5"/>
    </row>
    <row r="645771" spans="25:37" x14ac:dyDescent="0.2">
      <c r="Y645771" s="251"/>
      <c r="AB645771" s="251"/>
      <c r="AE645771" s="251"/>
      <c r="AH645771" s="251"/>
      <c r="AK645771" s="251"/>
    </row>
    <row r="645886" spans="25:37" x14ac:dyDescent="0.2">
      <c r="Y645886" s="5"/>
      <c r="AB645886" s="5"/>
      <c r="AE645886" s="5"/>
      <c r="AH645886" s="5"/>
      <c r="AK645886" s="5"/>
    </row>
    <row r="645896" spans="25:37" x14ac:dyDescent="0.2">
      <c r="Y645896" s="251"/>
      <c r="AB645896" s="251"/>
      <c r="AE645896" s="251"/>
      <c r="AH645896" s="251"/>
      <c r="AK645896" s="251"/>
    </row>
    <row r="646011" spans="25:37" x14ac:dyDescent="0.2">
      <c r="Y646011" s="5"/>
      <c r="AB646011" s="5"/>
      <c r="AE646011" s="5"/>
      <c r="AH646011" s="5"/>
      <c r="AK646011" s="5"/>
    </row>
    <row r="646021" spans="25:37" x14ac:dyDescent="0.2">
      <c r="Y646021" s="251"/>
      <c r="AB646021" s="251"/>
      <c r="AE646021" s="251"/>
      <c r="AH646021" s="251"/>
      <c r="AK646021" s="251"/>
    </row>
    <row r="646136" spans="25:37" x14ac:dyDescent="0.2">
      <c r="Y646136" s="5"/>
      <c r="AB646136" s="5"/>
      <c r="AE646136" s="5"/>
      <c r="AH646136" s="5"/>
      <c r="AK646136" s="5"/>
    </row>
    <row r="646146" spans="25:37" x14ac:dyDescent="0.2">
      <c r="Y646146" s="251"/>
      <c r="AB646146" s="251"/>
      <c r="AE646146" s="251"/>
      <c r="AH646146" s="251"/>
      <c r="AK646146" s="251"/>
    </row>
    <row r="646261" spans="25:37" x14ac:dyDescent="0.2">
      <c r="Y646261" s="5"/>
      <c r="AB646261" s="5"/>
      <c r="AE646261" s="5"/>
      <c r="AH646261" s="5"/>
      <c r="AK646261" s="5"/>
    </row>
    <row r="646271" spans="25:37" x14ac:dyDescent="0.2">
      <c r="Y646271" s="251"/>
      <c r="AB646271" s="251"/>
      <c r="AE646271" s="251"/>
      <c r="AH646271" s="251"/>
      <c r="AK646271" s="251"/>
    </row>
    <row r="646386" spans="25:37" x14ac:dyDescent="0.2">
      <c r="Y646386" s="5"/>
      <c r="AB646386" s="5"/>
      <c r="AE646386" s="5"/>
      <c r="AH646386" s="5"/>
      <c r="AK646386" s="5"/>
    </row>
    <row r="646396" spans="25:37" x14ac:dyDescent="0.2">
      <c r="Y646396" s="251"/>
      <c r="AB646396" s="251"/>
      <c r="AE646396" s="251"/>
      <c r="AH646396" s="251"/>
      <c r="AK646396" s="251"/>
    </row>
    <row r="646511" spans="25:37" x14ac:dyDescent="0.2">
      <c r="Y646511" s="5"/>
      <c r="AB646511" s="5"/>
      <c r="AE646511" s="5"/>
      <c r="AH646511" s="5"/>
      <c r="AK646511" s="5"/>
    </row>
    <row r="646521" spans="25:37" x14ac:dyDescent="0.2">
      <c r="Y646521" s="251"/>
      <c r="AB646521" s="251"/>
      <c r="AE646521" s="251"/>
      <c r="AH646521" s="251"/>
      <c r="AK646521" s="251"/>
    </row>
    <row r="646636" spans="25:37" x14ac:dyDescent="0.2">
      <c r="Y646636" s="5"/>
      <c r="AB646636" s="5"/>
      <c r="AE646636" s="5"/>
      <c r="AH646636" s="5"/>
      <c r="AK646636" s="5"/>
    </row>
    <row r="646646" spans="25:37" x14ac:dyDescent="0.2">
      <c r="Y646646" s="251"/>
      <c r="AB646646" s="251"/>
      <c r="AE646646" s="251"/>
      <c r="AH646646" s="251"/>
      <c r="AK646646" s="251"/>
    </row>
    <row r="646761" spans="25:37" x14ac:dyDescent="0.2">
      <c r="Y646761" s="5"/>
      <c r="AB646761" s="5"/>
      <c r="AE646761" s="5"/>
      <c r="AH646761" s="5"/>
      <c r="AK646761" s="5"/>
    </row>
    <row r="646771" spans="25:37" x14ac:dyDescent="0.2">
      <c r="Y646771" s="251"/>
      <c r="AB646771" s="251"/>
      <c r="AE646771" s="251"/>
      <c r="AH646771" s="251"/>
      <c r="AK646771" s="251"/>
    </row>
    <row r="646886" spans="25:37" x14ac:dyDescent="0.2">
      <c r="Y646886" s="5"/>
      <c r="AB646886" s="5"/>
      <c r="AE646886" s="5"/>
      <c r="AH646886" s="5"/>
      <c r="AK646886" s="5"/>
    </row>
    <row r="646896" spans="25:37" x14ac:dyDescent="0.2">
      <c r="Y646896" s="251"/>
      <c r="AB646896" s="251"/>
      <c r="AE646896" s="251"/>
      <c r="AH646896" s="251"/>
      <c r="AK646896" s="251"/>
    </row>
    <row r="647011" spans="25:37" x14ac:dyDescent="0.2">
      <c r="Y647011" s="5"/>
      <c r="AB647011" s="5"/>
      <c r="AE647011" s="5"/>
      <c r="AH647011" s="5"/>
      <c r="AK647011" s="5"/>
    </row>
    <row r="647021" spans="25:37" x14ac:dyDescent="0.2">
      <c r="Y647021" s="251"/>
      <c r="AB647021" s="251"/>
      <c r="AE647021" s="251"/>
      <c r="AH647021" s="251"/>
      <c r="AK647021" s="251"/>
    </row>
    <row r="647136" spans="25:37" x14ac:dyDescent="0.2">
      <c r="Y647136" s="5"/>
      <c r="AB647136" s="5"/>
      <c r="AE647136" s="5"/>
      <c r="AH647136" s="5"/>
      <c r="AK647136" s="5"/>
    </row>
    <row r="647146" spans="25:37" x14ac:dyDescent="0.2">
      <c r="Y647146" s="251"/>
      <c r="AB647146" s="251"/>
      <c r="AE647146" s="251"/>
      <c r="AH647146" s="251"/>
      <c r="AK647146" s="251"/>
    </row>
    <row r="647261" spans="25:37" x14ac:dyDescent="0.2">
      <c r="Y647261" s="5"/>
      <c r="AB647261" s="5"/>
      <c r="AE647261" s="5"/>
      <c r="AH647261" s="5"/>
      <c r="AK647261" s="5"/>
    </row>
    <row r="647271" spans="25:37" x14ac:dyDescent="0.2">
      <c r="Y647271" s="251"/>
      <c r="AB647271" s="251"/>
      <c r="AE647271" s="251"/>
      <c r="AH647271" s="251"/>
      <c r="AK647271" s="251"/>
    </row>
    <row r="647386" spans="25:37" x14ac:dyDescent="0.2">
      <c r="Y647386" s="5"/>
      <c r="AB647386" s="5"/>
      <c r="AE647386" s="5"/>
      <c r="AH647386" s="5"/>
      <c r="AK647386" s="5"/>
    </row>
    <row r="647396" spans="25:37" x14ac:dyDescent="0.2">
      <c r="Y647396" s="251"/>
      <c r="AB647396" s="251"/>
      <c r="AE647396" s="251"/>
      <c r="AH647396" s="251"/>
      <c r="AK647396" s="251"/>
    </row>
    <row r="647511" spans="25:37" x14ac:dyDescent="0.2">
      <c r="Y647511" s="5"/>
      <c r="AB647511" s="5"/>
      <c r="AE647511" s="5"/>
      <c r="AH647511" s="5"/>
      <c r="AK647511" s="5"/>
    </row>
    <row r="647521" spans="25:37" x14ac:dyDescent="0.2">
      <c r="Y647521" s="251"/>
      <c r="AB647521" s="251"/>
      <c r="AE647521" s="251"/>
      <c r="AH647521" s="251"/>
      <c r="AK647521" s="251"/>
    </row>
    <row r="647636" spans="25:37" x14ac:dyDescent="0.2">
      <c r="Y647636" s="5"/>
      <c r="AB647636" s="5"/>
      <c r="AE647636" s="5"/>
      <c r="AH647636" s="5"/>
      <c r="AK647636" s="5"/>
    </row>
    <row r="647646" spans="25:37" x14ac:dyDescent="0.2">
      <c r="Y647646" s="251"/>
      <c r="AB647646" s="251"/>
      <c r="AE647646" s="251"/>
      <c r="AH647646" s="251"/>
      <c r="AK647646" s="251"/>
    </row>
    <row r="647761" spans="25:37" x14ac:dyDescent="0.2">
      <c r="Y647761" s="5"/>
      <c r="AB647761" s="5"/>
      <c r="AE647761" s="5"/>
      <c r="AH647761" s="5"/>
      <c r="AK647761" s="5"/>
    </row>
    <row r="647771" spans="25:37" x14ac:dyDescent="0.2">
      <c r="Y647771" s="251"/>
      <c r="AB647771" s="251"/>
      <c r="AE647771" s="251"/>
      <c r="AH647771" s="251"/>
      <c r="AK647771" s="251"/>
    </row>
    <row r="647886" spans="25:37" x14ac:dyDescent="0.2">
      <c r="Y647886" s="5"/>
      <c r="AB647886" s="5"/>
      <c r="AE647886" s="5"/>
      <c r="AH647886" s="5"/>
      <c r="AK647886" s="5"/>
    </row>
    <row r="647896" spans="25:37" x14ac:dyDescent="0.2">
      <c r="Y647896" s="251"/>
      <c r="AB647896" s="251"/>
      <c r="AE647896" s="251"/>
      <c r="AH647896" s="251"/>
      <c r="AK647896" s="251"/>
    </row>
    <row r="648011" spans="25:37" x14ac:dyDescent="0.2">
      <c r="Y648011" s="5"/>
      <c r="AB648011" s="5"/>
      <c r="AE648011" s="5"/>
      <c r="AH648011" s="5"/>
      <c r="AK648011" s="5"/>
    </row>
    <row r="648021" spans="25:37" x14ac:dyDescent="0.2">
      <c r="Y648021" s="251"/>
      <c r="AB648021" s="251"/>
      <c r="AE648021" s="251"/>
      <c r="AH648021" s="251"/>
      <c r="AK648021" s="251"/>
    </row>
    <row r="648136" spans="25:37" x14ac:dyDescent="0.2">
      <c r="Y648136" s="5"/>
      <c r="AB648136" s="5"/>
      <c r="AE648136" s="5"/>
      <c r="AH648136" s="5"/>
      <c r="AK648136" s="5"/>
    </row>
    <row r="648146" spans="25:37" x14ac:dyDescent="0.2">
      <c r="Y648146" s="251"/>
      <c r="AB648146" s="251"/>
      <c r="AE648146" s="251"/>
      <c r="AH648146" s="251"/>
      <c r="AK648146" s="251"/>
    </row>
    <row r="648261" spans="25:37" x14ac:dyDescent="0.2">
      <c r="Y648261" s="5"/>
      <c r="AB648261" s="5"/>
      <c r="AE648261" s="5"/>
      <c r="AH648261" s="5"/>
      <c r="AK648261" s="5"/>
    </row>
    <row r="648271" spans="25:37" x14ac:dyDescent="0.2">
      <c r="Y648271" s="251"/>
      <c r="AB648271" s="251"/>
      <c r="AE648271" s="251"/>
      <c r="AH648271" s="251"/>
      <c r="AK648271" s="251"/>
    </row>
    <row r="648386" spans="25:37" x14ac:dyDescent="0.2">
      <c r="Y648386" s="5"/>
      <c r="AB648386" s="5"/>
      <c r="AE648386" s="5"/>
      <c r="AH648386" s="5"/>
      <c r="AK648386" s="5"/>
    </row>
    <row r="648396" spans="25:37" x14ac:dyDescent="0.2">
      <c r="Y648396" s="251"/>
      <c r="AB648396" s="251"/>
      <c r="AE648396" s="251"/>
      <c r="AH648396" s="251"/>
      <c r="AK648396" s="251"/>
    </row>
    <row r="648511" spans="25:37" x14ac:dyDescent="0.2">
      <c r="Y648511" s="5"/>
      <c r="AB648511" s="5"/>
      <c r="AE648511" s="5"/>
      <c r="AH648511" s="5"/>
      <c r="AK648511" s="5"/>
    </row>
    <row r="648521" spans="25:37" x14ac:dyDescent="0.2">
      <c r="Y648521" s="251"/>
      <c r="AB648521" s="251"/>
      <c r="AE648521" s="251"/>
      <c r="AH648521" s="251"/>
      <c r="AK648521" s="251"/>
    </row>
    <row r="648636" spans="25:37" x14ac:dyDescent="0.2">
      <c r="Y648636" s="5"/>
      <c r="AB648636" s="5"/>
      <c r="AE648636" s="5"/>
      <c r="AH648636" s="5"/>
      <c r="AK648636" s="5"/>
    </row>
    <row r="648646" spans="25:37" x14ac:dyDescent="0.2">
      <c r="Y648646" s="251"/>
      <c r="AB648646" s="251"/>
      <c r="AE648646" s="251"/>
      <c r="AH648646" s="251"/>
      <c r="AK648646" s="251"/>
    </row>
    <row r="648761" spans="25:37" x14ac:dyDescent="0.2">
      <c r="Y648761" s="5"/>
      <c r="AB648761" s="5"/>
      <c r="AE648761" s="5"/>
      <c r="AH648761" s="5"/>
      <c r="AK648761" s="5"/>
    </row>
    <row r="648771" spans="25:37" x14ac:dyDescent="0.2">
      <c r="Y648771" s="251"/>
      <c r="AB648771" s="251"/>
      <c r="AE648771" s="251"/>
      <c r="AH648771" s="251"/>
      <c r="AK648771" s="251"/>
    </row>
    <row r="648886" spans="25:37" x14ac:dyDescent="0.2">
      <c r="Y648886" s="5"/>
      <c r="AB648886" s="5"/>
      <c r="AE648886" s="5"/>
      <c r="AH648886" s="5"/>
      <c r="AK648886" s="5"/>
    </row>
    <row r="648896" spans="25:37" x14ac:dyDescent="0.2">
      <c r="Y648896" s="251"/>
      <c r="AB648896" s="251"/>
      <c r="AE648896" s="251"/>
      <c r="AH648896" s="251"/>
      <c r="AK648896" s="251"/>
    </row>
    <row r="649011" spans="25:37" x14ac:dyDescent="0.2">
      <c r="Y649011" s="5"/>
      <c r="AB649011" s="5"/>
      <c r="AE649011" s="5"/>
      <c r="AH649011" s="5"/>
      <c r="AK649011" s="5"/>
    </row>
    <row r="649021" spans="25:37" x14ac:dyDescent="0.2">
      <c r="Y649021" s="251"/>
      <c r="AB649021" s="251"/>
      <c r="AE649021" s="251"/>
      <c r="AH649021" s="251"/>
      <c r="AK649021" s="251"/>
    </row>
    <row r="649136" spans="25:37" x14ac:dyDescent="0.2">
      <c r="Y649136" s="5"/>
      <c r="AB649136" s="5"/>
      <c r="AE649136" s="5"/>
      <c r="AH649136" s="5"/>
      <c r="AK649136" s="5"/>
    </row>
    <row r="649146" spans="25:37" x14ac:dyDescent="0.2">
      <c r="Y649146" s="251"/>
      <c r="AB649146" s="251"/>
      <c r="AE649146" s="251"/>
      <c r="AH649146" s="251"/>
      <c r="AK649146" s="251"/>
    </row>
    <row r="649261" spans="25:37" x14ac:dyDescent="0.2">
      <c r="Y649261" s="5"/>
      <c r="AB649261" s="5"/>
      <c r="AE649261" s="5"/>
      <c r="AH649261" s="5"/>
      <c r="AK649261" s="5"/>
    </row>
    <row r="649271" spans="25:37" x14ac:dyDescent="0.2">
      <c r="Y649271" s="251"/>
      <c r="AB649271" s="251"/>
      <c r="AE649271" s="251"/>
      <c r="AH649271" s="251"/>
      <c r="AK649271" s="251"/>
    </row>
    <row r="649386" spans="25:37" x14ac:dyDescent="0.2">
      <c r="Y649386" s="5"/>
      <c r="AB649386" s="5"/>
      <c r="AE649386" s="5"/>
      <c r="AH649386" s="5"/>
      <c r="AK649386" s="5"/>
    </row>
    <row r="649396" spans="25:37" x14ac:dyDescent="0.2">
      <c r="Y649396" s="251"/>
      <c r="AB649396" s="251"/>
      <c r="AE649396" s="251"/>
      <c r="AH649396" s="251"/>
      <c r="AK649396" s="251"/>
    </row>
    <row r="649511" spans="25:37" x14ac:dyDescent="0.2">
      <c r="Y649511" s="5"/>
      <c r="AB649511" s="5"/>
      <c r="AE649511" s="5"/>
      <c r="AH649511" s="5"/>
      <c r="AK649511" s="5"/>
    </row>
    <row r="649521" spans="25:37" x14ac:dyDescent="0.2">
      <c r="Y649521" s="251"/>
      <c r="AB649521" s="251"/>
      <c r="AE649521" s="251"/>
      <c r="AH649521" s="251"/>
      <c r="AK649521" s="251"/>
    </row>
    <row r="649636" spans="25:37" x14ac:dyDescent="0.2">
      <c r="Y649636" s="5"/>
      <c r="AB649636" s="5"/>
      <c r="AE649636" s="5"/>
      <c r="AH649636" s="5"/>
      <c r="AK649636" s="5"/>
    </row>
    <row r="649646" spans="25:37" x14ac:dyDescent="0.2">
      <c r="Y649646" s="251"/>
      <c r="AB649646" s="251"/>
      <c r="AE649646" s="251"/>
      <c r="AH649646" s="251"/>
      <c r="AK649646" s="251"/>
    </row>
    <row r="649761" spans="25:37" x14ac:dyDescent="0.2">
      <c r="Y649761" s="5"/>
      <c r="AB649761" s="5"/>
      <c r="AE649761" s="5"/>
      <c r="AH649761" s="5"/>
      <c r="AK649761" s="5"/>
    </row>
    <row r="649771" spans="25:37" x14ac:dyDescent="0.2">
      <c r="Y649771" s="251"/>
      <c r="AB649771" s="251"/>
      <c r="AE649771" s="251"/>
      <c r="AH649771" s="251"/>
      <c r="AK649771" s="251"/>
    </row>
    <row r="649886" spans="25:37" x14ac:dyDescent="0.2">
      <c r="Y649886" s="5"/>
      <c r="AB649886" s="5"/>
      <c r="AE649886" s="5"/>
      <c r="AH649886" s="5"/>
      <c r="AK649886" s="5"/>
    </row>
    <row r="649896" spans="25:37" x14ac:dyDescent="0.2">
      <c r="Y649896" s="251"/>
      <c r="AB649896" s="251"/>
      <c r="AE649896" s="251"/>
      <c r="AH649896" s="251"/>
      <c r="AK649896" s="251"/>
    </row>
    <row r="650011" spans="25:37" x14ac:dyDescent="0.2">
      <c r="Y650011" s="5"/>
      <c r="AB650011" s="5"/>
      <c r="AE650011" s="5"/>
      <c r="AH650011" s="5"/>
      <c r="AK650011" s="5"/>
    </row>
    <row r="650021" spans="25:37" x14ac:dyDescent="0.2">
      <c r="Y650021" s="251"/>
      <c r="AB650021" s="251"/>
      <c r="AE650021" s="251"/>
      <c r="AH650021" s="251"/>
      <c r="AK650021" s="251"/>
    </row>
    <row r="650136" spans="25:37" x14ac:dyDescent="0.2">
      <c r="Y650136" s="5"/>
      <c r="AB650136" s="5"/>
      <c r="AE650136" s="5"/>
      <c r="AH650136" s="5"/>
      <c r="AK650136" s="5"/>
    </row>
    <row r="650146" spans="25:37" x14ac:dyDescent="0.2">
      <c r="Y650146" s="251"/>
      <c r="AB650146" s="251"/>
      <c r="AE650146" s="251"/>
      <c r="AH650146" s="251"/>
      <c r="AK650146" s="251"/>
    </row>
    <row r="650261" spans="25:37" x14ac:dyDescent="0.2">
      <c r="Y650261" s="5"/>
      <c r="AB650261" s="5"/>
      <c r="AE650261" s="5"/>
      <c r="AH650261" s="5"/>
      <c r="AK650261" s="5"/>
    </row>
    <row r="650271" spans="25:37" x14ac:dyDescent="0.2">
      <c r="Y650271" s="251"/>
      <c r="AB650271" s="251"/>
      <c r="AE650271" s="251"/>
      <c r="AH650271" s="251"/>
      <c r="AK650271" s="251"/>
    </row>
    <row r="650386" spans="25:37" x14ac:dyDescent="0.2">
      <c r="Y650386" s="5"/>
      <c r="AB650386" s="5"/>
      <c r="AE650386" s="5"/>
      <c r="AH650386" s="5"/>
      <c r="AK650386" s="5"/>
    </row>
    <row r="650396" spans="25:37" x14ac:dyDescent="0.2">
      <c r="Y650396" s="251"/>
      <c r="AB650396" s="251"/>
      <c r="AE650396" s="251"/>
      <c r="AH650396" s="251"/>
      <c r="AK650396" s="251"/>
    </row>
    <row r="650511" spans="25:37" x14ac:dyDescent="0.2">
      <c r="Y650511" s="5"/>
      <c r="AB650511" s="5"/>
      <c r="AE650511" s="5"/>
      <c r="AH650511" s="5"/>
      <c r="AK650511" s="5"/>
    </row>
    <row r="650521" spans="25:37" x14ac:dyDescent="0.2">
      <c r="Y650521" s="251"/>
      <c r="AB650521" s="251"/>
      <c r="AE650521" s="251"/>
      <c r="AH650521" s="251"/>
      <c r="AK650521" s="251"/>
    </row>
    <row r="650636" spans="25:37" x14ac:dyDescent="0.2">
      <c r="Y650636" s="5"/>
      <c r="AB650636" s="5"/>
      <c r="AE650636" s="5"/>
      <c r="AH650636" s="5"/>
      <c r="AK650636" s="5"/>
    </row>
    <row r="650646" spans="25:37" x14ac:dyDescent="0.2">
      <c r="Y650646" s="251"/>
      <c r="AB650646" s="251"/>
      <c r="AE650646" s="251"/>
      <c r="AH650646" s="251"/>
      <c r="AK650646" s="251"/>
    </row>
    <row r="650761" spans="25:37" x14ac:dyDescent="0.2">
      <c r="Y650761" s="5"/>
      <c r="AB650761" s="5"/>
      <c r="AE650761" s="5"/>
      <c r="AH650761" s="5"/>
      <c r="AK650761" s="5"/>
    </row>
    <row r="650771" spans="25:37" x14ac:dyDescent="0.2">
      <c r="Y650771" s="251"/>
      <c r="AB650771" s="251"/>
      <c r="AE650771" s="251"/>
      <c r="AH650771" s="251"/>
      <c r="AK650771" s="251"/>
    </row>
    <row r="650886" spans="25:37" x14ac:dyDescent="0.2">
      <c r="Y650886" s="5"/>
      <c r="AB650886" s="5"/>
      <c r="AE650886" s="5"/>
      <c r="AH650886" s="5"/>
      <c r="AK650886" s="5"/>
    </row>
    <row r="650896" spans="25:37" x14ac:dyDescent="0.2">
      <c r="Y650896" s="251"/>
      <c r="AB650896" s="251"/>
      <c r="AE650896" s="251"/>
      <c r="AH650896" s="251"/>
      <c r="AK650896" s="251"/>
    </row>
    <row r="651011" spans="25:37" x14ac:dyDescent="0.2">
      <c r="Y651011" s="5"/>
      <c r="AB651011" s="5"/>
      <c r="AE651011" s="5"/>
      <c r="AH651011" s="5"/>
      <c r="AK651011" s="5"/>
    </row>
    <row r="651021" spans="25:37" x14ac:dyDescent="0.2">
      <c r="Y651021" s="251"/>
      <c r="AB651021" s="251"/>
      <c r="AE651021" s="251"/>
      <c r="AH651021" s="251"/>
      <c r="AK651021" s="251"/>
    </row>
    <row r="651136" spans="25:37" x14ac:dyDescent="0.2">
      <c r="Y651136" s="5"/>
      <c r="AB651136" s="5"/>
      <c r="AE651136" s="5"/>
      <c r="AH651136" s="5"/>
      <c r="AK651136" s="5"/>
    </row>
    <row r="651146" spans="25:37" x14ac:dyDescent="0.2">
      <c r="Y651146" s="251"/>
      <c r="AB651146" s="251"/>
      <c r="AE651146" s="251"/>
      <c r="AH651146" s="251"/>
      <c r="AK651146" s="251"/>
    </row>
    <row r="651261" spans="25:37" x14ac:dyDescent="0.2">
      <c r="Y651261" s="5"/>
      <c r="AB651261" s="5"/>
      <c r="AE651261" s="5"/>
      <c r="AH651261" s="5"/>
      <c r="AK651261" s="5"/>
    </row>
    <row r="651271" spans="25:37" x14ac:dyDescent="0.2">
      <c r="Y651271" s="251"/>
      <c r="AB651271" s="251"/>
      <c r="AE651271" s="251"/>
      <c r="AH651271" s="251"/>
      <c r="AK651271" s="251"/>
    </row>
    <row r="651386" spans="25:37" x14ac:dyDescent="0.2">
      <c r="Y651386" s="5"/>
      <c r="AB651386" s="5"/>
      <c r="AE651386" s="5"/>
      <c r="AH651386" s="5"/>
      <c r="AK651386" s="5"/>
    </row>
    <row r="651396" spans="25:37" x14ac:dyDescent="0.2">
      <c r="Y651396" s="251"/>
      <c r="AB651396" s="251"/>
      <c r="AE651396" s="251"/>
      <c r="AH651396" s="251"/>
      <c r="AK651396" s="251"/>
    </row>
    <row r="651511" spans="25:37" x14ac:dyDescent="0.2">
      <c r="Y651511" s="5"/>
      <c r="AB651511" s="5"/>
      <c r="AE651511" s="5"/>
      <c r="AH651511" s="5"/>
      <c r="AK651511" s="5"/>
    </row>
    <row r="651521" spans="25:37" x14ac:dyDescent="0.2">
      <c r="Y651521" s="251"/>
      <c r="AB651521" s="251"/>
      <c r="AE651521" s="251"/>
      <c r="AH651521" s="251"/>
      <c r="AK651521" s="251"/>
    </row>
    <row r="651636" spans="25:37" x14ac:dyDescent="0.2">
      <c r="Y651636" s="5"/>
      <c r="AB651636" s="5"/>
      <c r="AE651636" s="5"/>
      <c r="AH651636" s="5"/>
      <c r="AK651636" s="5"/>
    </row>
    <row r="651646" spans="25:37" x14ac:dyDescent="0.2">
      <c r="Y651646" s="251"/>
      <c r="AB651646" s="251"/>
      <c r="AE651646" s="251"/>
      <c r="AH651646" s="251"/>
      <c r="AK651646" s="251"/>
    </row>
    <row r="651761" spans="25:37" x14ac:dyDescent="0.2">
      <c r="Y651761" s="5"/>
      <c r="AB651761" s="5"/>
      <c r="AE651761" s="5"/>
      <c r="AH651761" s="5"/>
      <c r="AK651761" s="5"/>
    </row>
    <row r="651771" spans="25:37" x14ac:dyDescent="0.2">
      <c r="Y651771" s="251"/>
      <c r="AB651771" s="251"/>
      <c r="AE651771" s="251"/>
      <c r="AH651771" s="251"/>
      <c r="AK651771" s="251"/>
    </row>
    <row r="651886" spans="25:37" x14ac:dyDescent="0.2">
      <c r="Y651886" s="5"/>
      <c r="AB651886" s="5"/>
      <c r="AE651886" s="5"/>
      <c r="AH651886" s="5"/>
      <c r="AK651886" s="5"/>
    </row>
    <row r="651896" spans="25:37" x14ac:dyDescent="0.2">
      <c r="Y651896" s="251"/>
      <c r="AB651896" s="251"/>
      <c r="AE651896" s="251"/>
      <c r="AH651896" s="251"/>
      <c r="AK651896" s="251"/>
    </row>
    <row r="652011" spans="25:37" x14ac:dyDescent="0.2">
      <c r="Y652011" s="5"/>
      <c r="AB652011" s="5"/>
      <c r="AE652011" s="5"/>
      <c r="AH652011" s="5"/>
      <c r="AK652011" s="5"/>
    </row>
    <row r="652021" spans="25:37" x14ac:dyDescent="0.2">
      <c r="Y652021" s="251"/>
      <c r="AB652021" s="251"/>
      <c r="AE652021" s="251"/>
      <c r="AH652021" s="251"/>
      <c r="AK652021" s="251"/>
    </row>
    <row r="652136" spans="25:37" x14ac:dyDescent="0.2">
      <c r="Y652136" s="5"/>
      <c r="AB652136" s="5"/>
      <c r="AE652136" s="5"/>
      <c r="AH652136" s="5"/>
      <c r="AK652136" s="5"/>
    </row>
    <row r="652146" spans="25:37" x14ac:dyDescent="0.2">
      <c r="Y652146" s="251"/>
      <c r="AB652146" s="251"/>
      <c r="AE652146" s="251"/>
      <c r="AH652146" s="251"/>
      <c r="AK652146" s="251"/>
    </row>
    <row r="652261" spans="25:37" x14ac:dyDescent="0.2">
      <c r="Y652261" s="5"/>
      <c r="AB652261" s="5"/>
      <c r="AE652261" s="5"/>
      <c r="AH652261" s="5"/>
      <c r="AK652261" s="5"/>
    </row>
    <row r="652271" spans="25:37" x14ac:dyDescent="0.2">
      <c r="Y652271" s="251"/>
      <c r="AB652271" s="251"/>
      <c r="AE652271" s="251"/>
      <c r="AH652271" s="251"/>
      <c r="AK652271" s="251"/>
    </row>
    <row r="652386" spans="25:37" x14ac:dyDescent="0.2">
      <c r="Y652386" s="5"/>
      <c r="AB652386" s="5"/>
      <c r="AE652386" s="5"/>
      <c r="AH652386" s="5"/>
      <c r="AK652386" s="5"/>
    </row>
    <row r="652396" spans="25:37" x14ac:dyDescent="0.2">
      <c r="Y652396" s="251"/>
      <c r="AB652396" s="251"/>
      <c r="AE652396" s="251"/>
      <c r="AH652396" s="251"/>
      <c r="AK652396" s="251"/>
    </row>
    <row r="652511" spans="25:37" x14ac:dyDescent="0.2">
      <c r="Y652511" s="5"/>
      <c r="AB652511" s="5"/>
      <c r="AE652511" s="5"/>
      <c r="AH652511" s="5"/>
      <c r="AK652511" s="5"/>
    </row>
    <row r="652521" spans="25:37" x14ac:dyDescent="0.2">
      <c r="Y652521" s="251"/>
      <c r="AB652521" s="251"/>
      <c r="AE652521" s="251"/>
      <c r="AH652521" s="251"/>
      <c r="AK652521" s="251"/>
    </row>
    <row r="652636" spans="25:37" x14ac:dyDescent="0.2">
      <c r="Y652636" s="5"/>
      <c r="AB652636" s="5"/>
      <c r="AE652636" s="5"/>
      <c r="AH652636" s="5"/>
      <c r="AK652636" s="5"/>
    </row>
    <row r="652646" spans="25:37" x14ac:dyDescent="0.2">
      <c r="Y652646" s="251"/>
      <c r="AB652646" s="251"/>
      <c r="AE652646" s="251"/>
      <c r="AH652646" s="251"/>
      <c r="AK652646" s="251"/>
    </row>
    <row r="652761" spans="25:37" x14ac:dyDescent="0.2">
      <c r="Y652761" s="5"/>
      <c r="AB652761" s="5"/>
      <c r="AE652761" s="5"/>
      <c r="AH652761" s="5"/>
      <c r="AK652761" s="5"/>
    </row>
    <row r="652771" spans="25:37" x14ac:dyDescent="0.2">
      <c r="Y652771" s="251"/>
      <c r="AB652771" s="251"/>
      <c r="AE652771" s="251"/>
      <c r="AH652771" s="251"/>
      <c r="AK652771" s="251"/>
    </row>
    <row r="652886" spans="25:37" x14ac:dyDescent="0.2">
      <c r="Y652886" s="5"/>
      <c r="AB652886" s="5"/>
      <c r="AE652886" s="5"/>
      <c r="AH652886" s="5"/>
      <c r="AK652886" s="5"/>
    </row>
    <row r="652896" spans="25:37" x14ac:dyDescent="0.2">
      <c r="Y652896" s="251"/>
      <c r="AB652896" s="251"/>
      <c r="AE652896" s="251"/>
      <c r="AH652896" s="251"/>
      <c r="AK652896" s="251"/>
    </row>
    <row r="653011" spans="25:37" x14ac:dyDescent="0.2">
      <c r="Y653011" s="5"/>
      <c r="AB653011" s="5"/>
      <c r="AE653011" s="5"/>
      <c r="AH653011" s="5"/>
      <c r="AK653011" s="5"/>
    </row>
    <row r="653021" spans="25:37" x14ac:dyDescent="0.2">
      <c r="Y653021" s="251"/>
      <c r="AB653021" s="251"/>
      <c r="AE653021" s="251"/>
      <c r="AH653021" s="251"/>
      <c r="AK653021" s="251"/>
    </row>
    <row r="653136" spans="25:37" x14ac:dyDescent="0.2">
      <c r="Y653136" s="5"/>
      <c r="AB653136" s="5"/>
      <c r="AE653136" s="5"/>
      <c r="AH653136" s="5"/>
      <c r="AK653136" s="5"/>
    </row>
    <row r="653146" spans="25:37" x14ac:dyDescent="0.2">
      <c r="Y653146" s="251"/>
      <c r="AB653146" s="251"/>
      <c r="AE653146" s="251"/>
      <c r="AH653146" s="251"/>
      <c r="AK653146" s="251"/>
    </row>
    <row r="653261" spans="25:37" x14ac:dyDescent="0.2">
      <c r="Y653261" s="5"/>
      <c r="AB653261" s="5"/>
      <c r="AE653261" s="5"/>
      <c r="AH653261" s="5"/>
      <c r="AK653261" s="5"/>
    </row>
    <row r="653271" spans="25:37" x14ac:dyDescent="0.2">
      <c r="Y653271" s="251"/>
      <c r="AB653271" s="251"/>
      <c r="AE653271" s="251"/>
      <c r="AH653271" s="251"/>
      <c r="AK653271" s="251"/>
    </row>
    <row r="653386" spans="25:37" x14ac:dyDescent="0.2">
      <c r="Y653386" s="5"/>
      <c r="AB653386" s="5"/>
      <c r="AE653386" s="5"/>
      <c r="AH653386" s="5"/>
      <c r="AK653386" s="5"/>
    </row>
    <row r="653396" spans="25:37" x14ac:dyDescent="0.2">
      <c r="Y653396" s="251"/>
      <c r="AB653396" s="251"/>
      <c r="AE653396" s="251"/>
      <c r="AH653396" s="251"/>
      <c r="AK653396" s="251"/>
    </row>
    <row r="653511" spans="25:37" x14ac:dyDescent="0.2">
      <c r="Y653511" s="5"/>
      <c r="AB653511" s="5"/>
      <c r="AE653511" s="5"/>
      <c r="AH653511" s="5"/>
      <c r="AK653511" s="5"/>
    </row>
    <row r="653521" spans="25:37" x14ac:dyDescent="0.2">
      <c r="Y653521" s="251"/>
      <c r="AB653521" s="251"/>
      <c r="AE653521" s="251"/>
      <c r="AH653521" s="251"/>
      <c r="AK653521" s="251"/>
    </row>
    <row r="653636" spans="25:37" x14ac:dyDescent="0.2">
      <c r="Y653636" s="5"/>
      <c r="AB653636" s="5"/>
      <c r="AE653636" s="5"/>
      <c r="AH653636" s="5"/>
      <c r="AK653636" s="5"/>
    </row>
    <row r="653646" spans="25:37" x14ac:dyDescent="0.2">
      <c r="Y653646" s="251"/>
      <c r="AB653646" s="251"/>
      <c r="AE653646" s="251"/>
      <c r="AH653646" s="251"/>
      <c r="AK653646" s="251"/>
    </row>
    <row r="653761" spans="25:37" x14ac:dyDescent="0.2">
      <c r="Y653761" s="5"/>
      <c r="AB653761" s="5"/>
      <c r="AE653761" s="5"/>
      <c r="AH653761" s="5"/>
      <c r="AK653761" s="5"/>
    </row>
    <row r="653771" spans="25:37" x14ac:dyDescent="0.2">
      <c r="Y653771" s="251"/>
      <c r="AB653771" s="251"/>
      <c r="AE653771" s="251"/>
      <c r="AH653771" s="251"/>
      <c r="AK653771" s="251"/>
    </row>
    <row r="653886" spans="25:37" x14ac:dyDescent="0.2">
      <c r="Y653886" s="5"/>
      <c r="AB653886" s="5"/>
      <c r="AE653886" s="5"/>
      <c r="AH653886" s="5"/>
      <c r="AK653886" s="5"/>
    </row>
    <row r="653896" spans="25:37" x14ac:dyDescent="0.2">
      <c r="Y653896" s="251"/>
      <c r="AB653896" s="251"/>
      <c r="AE653896" s="251"/>
      <c r="AH653896" s="251"/>
      <c r="AK653896" s="251"/>
    </row>
    <row r="654011" spans="25:37" x14ac:dyDescent="0.2">
      <c r="Y654011" s="5"/>
      <c r="AB654011" s="5"/>
      <c r="AE654011" s="5"/>
      <c r="AH654011" s="5"/>
      <c r="AK654011" s="5"/>
    </row>
    <row r="654021" spans="25:37" x14ac:dyDescent="0.2">
      <c r="Y654021" s="251"/>
      <c r="AB654021" s="251"/>
      <c r="AE654021" s="251"/>
      <c r="AH654021" s="251"/>
      <c r="AK654021" s="251"/>
    </row>
    <row r="654136" spans="25:37" x14ac:dyDescent="0.2">
      <c r="Y654136" s="5"/>
      <c r="AB654136" s="5"/>
      <c r="AE654136" s="5"/>
      <c r="AH654136" s="5"/>
      <c r="AK654136" s="5"/>
    </row>
    <row r="654146" spans="25:37" x14ac:dyDescent="0.2">
      <c r="Y654146" s="251"/>
      <c r="AB654146" s="251"/>
      <c r="AE654146" s="251"/>
      <c r="AH654146" s="251"/>
      <c r="AK654146" s="251"/>
    </row>
    <row r="654261" spans="25:37" x14ac:dyDescent="0.2">
      <c r="Y654261" s="5"/>
      <c r="AB654261" s="5"/>
      <c r="AE654261" s="5"/>
      <c r="AH654261" s="5"/>
      <c r="AK654261" s="5"/>
    </row>
    <row r="654271" spans="25:37" x14ac:dyDescent="0.2">
      <c r="Y654271" s="251"/>
      <c r="AB654271" s="251"/>
      <c r="AE654271" s="251"/>
      <c r="AH654271" s="251"/>
      <c r="AK654271" s="251"/>
    </row>
    <row r="654386" spans="25:37" x14ac:dyDescent="0.2">
      <c r="Y654386" s="5"/>
      <c r="AB654386" s="5"/>
      <c r="AE654386" s="5"/>
      <c r="AH654386" s="5"/>
      <c r="AK654386" s="5"/>
    </row>
    <row r="654396" spans="25:37" x14ac:dyDescent="0.2">
      <c r="Y654396" s="251"/>
      <c r="AB654396" s="251"/>
      <c r="AE654396" s="251"/>
      <c r="AH654396" s="251"/>
      <c r="AK654396" s="251"/>
    </row>
    <row r="654511" spans="25:37" x14ac:dyDescent="0.2">
      <c r="Y654511" s="5"/>
      <c r="AB654511" s="5"/>
      <c r="AE654511" s="5"/>
      <c r="AH654511" s="5"/>
      <c r="AK654511" s="5"/>
    </row>
    <row r="654521" spans="25:37" x14ac:dyDescent="0.2">
      <c r="Y654521" s="251"/>
      <c r="AB654521" s="251"/>
      <c r="AE654521" s="251"/>
      <c r="AH654521" s="251"/>
      <c r="AK654521" s="251"/>
    </row>
    <row r="654636" spans="25:37" x14ac:dyDescent="0.2">
      <c r="Y654636" s="5"/>
      <c r="AB654636" s="5"/>
      <c r="AE654636" s="5"/>
      <c r="AH654636" s="5"/>
      <c r="AK654636" s="5"/>
    </row>
    <row r="654646" spans="25:37" x14ac:dyDescent="0.2">
      <c r="Y654646" s="251"/>
      <c r="AB654646" s="251"/>
      <c r="AE654646" s="251"/>
      <c r="AH654646" s="251"/>
      <c r="AK654646" s="251"/>
    </row>
    <row r="654761" spans="25:37" x14ac:dyDescent="0.2">
      <c r="Y654761" s="5"/>
      <c r="AB654761" s="5"/>
      <c r="AE654761" s="5"/>
      <c r="AH654761" s="5"/>
      <c r="AK654761" s="5"/>
    </row>
    <row r="654771" spans="25:37" x14ac:dyDescent="0.2">
      <c r="Y654771" s="251"/>
      <c r="AB654771" s="251"/>
      <c r="AE654771" s="251"/>
      <c r="AH654771" s="251"/>
      <c r="AK654771" s="251"/>
    </row>
    <row r="654886" spans="25:37" x14ac:dyDescent="0.2">
      <c r="Y654886" s="5"/>
      <c r="AB654886" s="5"/>
      <c r="AE654886" s="5"/>
      <c r="AH654886" s="5"/>
      <c r="AK654886" s="5"/>
    </row>
    <row r="654896" spans="25:37" x14ac:dyDescent="0.2">
      <c r="Y654896" s="251"/>
      <c r="AB654896" s="251"/>
      <c r="AE654896" s="251"/>
      <c r="AH654896" s="251"/>
      <c r="AK654896" s="251"/>
    </row>
    <row r="655011" spans="25:37" x14ac:dyDescent="0.2">
      <c r="Y655011" s="5"/>
      <c r="AB655011" s="5"/>
      <c r="AE655011" s="5"/>
      <c r="AH655011" s="5"/>
      <c r="AK655011" s="5"/>
    </row>
    <row r="655021" spans="25:37" x14ac:dyDescent="0.2">
      <c r="Y655021" s="251"/>
      <c r="AB655021" s="251"/>
      <c r="AE655021" s="251"/>
      <c r="AH655021" s="251"/>
      <c r="AK655021" s="251"/>
    </row>
    <row r="655136" spans="25:37" x14ac:dyDescent="0.2">
      <c r="Y655136" s="5"/>
      <c r="AB655136" s="5"/>
      <c r="AE655136" s="5"/>
      <c r="AH655136" s="5"/>
      <c r="AK655136" s="5"/>
    </row>
    <row r="655146" spans="25:37" x14ac:dyDescent="0.2">
      <c r="Y655146" s="251"/>
      <c r="AB655146" s="251"/>
      <c r="AE655146" s="251"/>
      <c r="AH655146" s="251"/>
      <c r="AK655146" s="251"/>
    </row>
    <row r="655261" spans="25:37" x14ac:dyDescent="0.2">
      <c r="Y655261" s="5"/>
      <c r="AB655261" s="5"/>
      <c r="AE655261" s="5"/>
      <c r="AH655261" s="5"/>
      <c r="AK655261" s="5"/>
    </row>
    <row r="655271" spans="25:37" x14ac:dyDescent="0.2">
      <c r="Y655271" s="251"/>
      <c r="AB655271" s="251"/>
      <c r="AE655271" s="251"/>
      <c r="AH655271" s="251"/>
      <c r="AK655271" s="251"/>
    </row>
    <row r="655386" spans="25:37" x14ac:dyDescent="0.2">
      <c r="Y655386" s="5"/>
      <c r="AB655386" s="5"/>
      <c r="AE655386" s="5"/>
      <c r="AH655386" s="5"/>
      <c r="AK655386" s="5"/>
    </row>
    <row r="655396" spans="25:37" x14ac:dyDescent="0.2">
      <c r="Y655396" s="251"/>
      <c r="AB655396" s="251"/>
      <c r="AE655396" s="251"/>
      <c r="AH655396" s="251"/>
      <c r="AK655396" s="251"/>
    </row>
    <row r="655511" spans="25:37" x14ac:dyDescent="0.2">
      <c r="Y655511" s="5"/>
      <c r="AB655511" s="5"/>
      <c r="AE655511" s="5"/>
      <c r="AH655511" s="5"/>
      <c r="AK655511" s="5"/>
    </row>
    <row r="655521" spans="25:37" x14ac:dyDescent="0.2">
      <c r="Y655521" s="251"/>
      <c r="AB655521" s="251"/>
      <c r="AE655521" s="251"/>
      <c r="AH655521" s="251"/>
      <c r="AK655521" s="251"/>
    </row>
    <row r="655636" spans="25:37" x14ac:dyDescent="0.2">
      <c r="Y655636" s="5"/>
      <c r="AB655636" s="5"/>
      <c r="AE655636" s="5"/>
      <c r="AH655636" s="5"/>
      <c r="AK655636" s="5"/>
    </row>
    <row r="655646" spans="25:37" x14ac:dyDescent="0.2">
      <c r="Y655646" s="251"/>
      <c r="AB655646" s="251"/>
      <c r="AE655646" s="251"/>
      <c r="AH655646" s="251"/>
      <c r="AK655646" s="251"/>
    </row>
    <row r="655761" spans="25:37" x14ac:dyDescent="0.2">
      <c r="Y655761" s="5"/>
      <c r="AB655761" s="5"/>
      <c r="AE655761" s="5"/>
      <c r="AH655761" s="5"/>
      <c r="AK655761" s="5"/>
    </row>
    <row r="655771" spans="25:37" x14ac:dyDescent="0.2">
      <c r="Y655771" s="251"/>
      <c r="AB655771" s="251"/>
      <c r="AE655771" s="251"/>
      <c r="AH655771" s="251"/>
      <c r="AK655771" s="251"/>
    </row>
    <row r="655886" spans="25:37" x14ac:dyDescent="0.2">
      <c r="Y655886" s="5"/>
      <c r="AB655886" s="5"/>
      <c r="AE655886" s="5"/>
      <c r="AH655886" s="5"/>
      <c r="AK655886" s="5"/>
    </row>
    <row r="655896" spans="25:37" x14ac:dyDescent="0.2">
      <c r="Y655896" s="251"/>
      <c r="AB655896" s="251"/>
      <c r="AE655896" s="251"/>
      <c r="AH655896" s="251"/>
      <c r="AK655896" s="251"/>
    </row>
    <row r="656011" spans="25:37" x14ac:dyDescent="0.2">
      <c r="Y656011" s="5"/>
      <c r="AB656011" s="5"/>
      <c r="AE656011" s="5"/>
      <c r="AH656011" s="5"/>
      <c r="AK656011" s="5"/>
    </row>
    <row r="656021" spans="25:37" x14ac:dyDescent="0.2">
      <c r="Y656021" s="251"/>
      <c r="AB656021" s="251"/>
      <c r="AE656021" s="251"/>
      <c r="AH656021" s="251"/>
      <c r="AK656021" s="251"/>
    </row>
    <row r="656136" spans="25:37" x14ac:dyDescent="0.2">
      <c r="Y656136" s="5"/>
      <c r="AB656136" s="5"/>
      <c r="AE656136" s="5"/>
      <c r="AH656136" s="5"/>
      <c r="AK656136" s="5"/>
    </row>
    <row r="656146" spans="25:37" x14ac:dyDescent="0.2">
      <c r="Y656146" s="251"/>
      <c r="AB656146" s="251"/>
      <c r="AE656146" s="251"/>
      <c r="AH656146" s="251"/>
      <c r="AK656146" s="251"/>
    </row>
    <row r="656261" spans="25:37" x14ac:dyDescent="0.2">
      <c r="Y656261" s="5"/>
      <c r="AB656261" s="5"/>
      <c r="AE656261" s="5"/>
      <c r="AH656261" s="5"/>
      <c r="AK656261" s="5"/>
    </row>
    <row r="656271" spans="25:37" x14ac:dyDescent="0.2">
      <c r="Y656271" s="251"/>
      <c r="AB656271" s="251"/>
      <c r="AE656271" s="251"/>
      <c r="AH656271" s="251"/>
      <c r="AK656271" s="251"/>
    </row>
    <row r="656386" spans="25:37" x14ac:dyDescent="0.2">
      <c r="Y656386" s="5"/>
      <c r="AB656386" s="5"/>
      <c r="AE656386" s="5"/>
      <c r="AH656386" s="5"/>
      <c r="AK656386" s="5"/>
    </row>
    <row r="656396" spans="25:37" x14ac:dyDescent="0.2">
      <c r="Y656396" s="251"/>
      <c r="AB656396" s="251"/>
      <c r="AE656396" s="251"/>
      <c r="AH656396" s="251"/>
      <c r="AK656396" s="251"/>
    </row>
    <row r="656511" spans="25:37" x14ac:dyDescent="0.2">
      <c r="Y656511" s="5"/>
      <c r="AB656511" s="5"/>
      <c r="AE656511" s="5"/>
      <c r="AH656511" s="5"/>
      <c r="AK656511" s="5"/>
    </row>
    <row r="656521" spans="25:37" x14ac:dyDescent="0.2">
      <c r="Y656521" s="251"/>
      <c r="AB656521" s="251"/>
      <c r="AE656521" s="251"/>
      <c r="AH656521" s="251"/>
      <c r="AK656521" s="251"/>
    </row>
    <row r="656636" spans="25:37" x14ac:dyDescent="0.2">
      <c r="Y656636" s="5"/>
      <c r="AB656636" s="5"/>
      <c r="AE656636" s="5"/>
      <c r="AH656636" s="5"/>
      <c r="AK656636" s="5"/>
    </row>
    <row r="656646" spans="25:37" x14ac:dyDescent="0.2">
      <c r="Y656646" s="251"/>
      <c r="AB656646" s="251"/>
      <c r="AE656646" s="251"/>
      <c r="AH656646" s="251"/>
      <c r="AK656646" s="251"/>
    </row>
    <row r="656761" spans="25:37" x14ac:dyDescent="0.2">
      <c r="Y656761" s="5"/>
      <c r="AB656761" s="5"/>
      <c r="AE656761" s="5"/>
      <c r="AH656761" s="5"/>
      <c r="AK656761" s="5"/>
    </row>
    <row r="656771" spans="25:37" x14ac:dyDescent="0.2">
      <c r="Y656771" s="251"/>
      <c r="AB656771" s="251"/>
      <c r="AE656771" s="251"/>
      <c r="AH656771" s="251"/>
      <c r="AK656771" s="251"/>
    </row>
    <row r="656886" spans="25:37" x14ac:dyDescent="0.2">
      <c r="Y656886" s="5"/>
      <c r="AB656886" s="5"/>
      <c r="AE656886" s="5"/>
      <c r="AH656886" s="5"/>
      <c r="AK656886" s="5"/>
    </row>
    <row r="656896" spans="25:37" x14ac:dyDescent="0.2">
      <c r="Y656896" s="251"/>
      <c r="AB656896" s="251"/>
      <c r="AE656896" s="251"/>
      <c r="AH656896" s="251"/>
      <c r="AK656896" s="251"/>
    </row>
    <row r="657011" spans="25:37" x14ac:dyDescent="0.2">
      <c r="Y657011" s="5"/>
      <c r="AB657011" s="5"/>
      <c r="AE657011" s="5"/>
      <c r="AH657011" s="5"/>
      <c r="AK657011" s="5"/>
    </row>
    <row r="657021" spans="25:37" x14ac:dyDescent="0.2">
      <c r="Y657021" s="251"/>
      <c r="AB657021" s="251"/>
      <c r="AE657021" s="251"/>
      <c r="AH657021" s="251"/>
      <c r="AK657021" s="251"/>
    </row>
    <row r="657136" spans="25:37" x14ac:dyDescent="0.2">
      <c r="Y657136" s="5"/>
      <c r="AB657136" s="5"/>
      <c r="AE657136" s="5"/>
      <c r="AH657136" s="5"/>
      <c r="AK657136" s="5"/>
    </row>
    <row r="657146" spans="25:37" x14ac:dyDescent="0.2">
      <c r="Y657146" s="251"/>
      <c r="AB657146" s="251"/>
      <c r="AE657146" s="251"/>
      <c r="AH657146" s="251"/>
      <c r="AK657146" s="251"/>
    </row>
    <row r="657261" spans="25:37" x14ac:dyDescent="0.2">
      <c r="Y657261" s="5"/>
      <c r="AB657261" s="5"/>
      <c r="AE657261" s="5"/>
      <c r="AH657261" s="5"/>
      <c r="AK657261" s="5"/>
    </row>
    <row r="657271" spans="25:37" x14ac:dyDescent="0.2">
      <c r="Y657271" s="251"/>
      <c r="AB657271" s="251"/>
      <c r="AE657271" s="251"/>
      <c r="AH657271" s="251"/>
      <c r="AK657271" s="251"/>
    </row>
    <row r="657386" spans="25:37" x14ac:dyDescent="0.2">
      <c r="Y657386" s="5"/>
      <c r="AB657386" s="5"/>
      <c r="AE657386" s="5"/>
      <c r="AH657386" s="5"/>
      <c r="AK657386" s="5"/>
    </row>
    <row r="657396" spans="25:37" x14ac:dyDescent="0.2">
      <c r="Y657396" s="251"/>
      <c r="AB657396" s="251"/>
      <c r="AE657396" s="251"/>
      <c r="AH657396" s="251"/>
      <c r="AK657396" s="251"/>
    </row>
    <row r="657511" spans="25:37" x14ac:dyDescent="0.2">
      <c r="Y657511" s="5"/>
      <c r="AB657511" s="5"/>
      <c r="AE657511" s="5"/>
      <c r="AH657511" s="5"/>
      <c r="AK657511" s="5"/>
    </row>
    <row r="657521" spans="25:37" x14ac:dyDescent="0.2">
      <c r="Y657521" s="251"/>
      <c r="AB657521" s="251"/>
      <c r="AE657521" s="251"/>
      <c r="AH657521" s="251"/>
      <c r="AK657521" s="251"/>
    </row>
    <row r="657636" spans="25:37" x14ac:dyDescent="0.2">
      <c r="Y657636" s="5"/>
      <c r="AB657636" s="5"/>
      <c r="AE657636" s="5"/>
      <c r="AH657636" s="5"/>
      <c r="AK657636" s="5"/>
    </row>
    <row r="657646" spans="25:37" x14ac:dyDescent="0.2">
      <c r="Y657646" s="251"/>
      <c r="AB657646" s="251"/>
      <c r="AE657646" s="251"/>
      <c r="AH657646" s="251"/>
      <c r="AK657646" s="251"/>
    </row>
    <row r="657761" spans="25:37" x14ac:dyDescent="0.2">
      <c r="Y657761" s="5"/>
      <c r="AB657761" s="5"/>
      <c r="AE657761" s="5"/>
      <c r="AH657761" s="5"/>
      <c r="AK657761" s="5"/>
    </row>
    <row r="657771" spans="25:37" x14ac:dyDescent="0.2">
      <c r="Y657771" s="251"/>
      <c r="AB657771" s="251"/>
      <c r="AE657771" s="251"/>
      <c r="AH657771" s="251"/>
      <c r="AK657771" s="251"/>
    </row>
    <row r="657886" spans="25:37" x14ac:dyDescent="0.2">
      <c r="Y657886" s="5"/>
      <c r="AB657886" s="5"/>
      <c r="AE657886" s="5"/>
      <c r="AH657886" s="5"/>
      <c r="AK657886" s="5"/>
    </row>
    <row r="657896" spans="25:37" x14ac:dyDescent="0.2">
      <c r="Y657896" s="251"/>
      <c r="AB657896" s="251"/>
      <c r="AE657896" s="251"/>
      <c r="AH657896" s="251"/>
      <c r="AK657896" s="251"/>
    </row>
    <row r="658011" spans="25:37" x14ac:dyDescent="0.2">
      <c r="Y658011" s="5"/>
      <c r="AB658011" s="5"/>
      <c r="AE658011" s="5"/>
      <c r="AH658011" s="5"/>
      <c r="AK658011" s="5"/>
    </row>
    <row r="658021" spans="25:37" x14ac:dyDescent="0.2">
      <c r="Y658021" s="251"/>
      <c r="AB658021" s="251"/>
      <c r="AE658021" s="251"/>
      <c r="AH658021" s="251"/>
      <c r="AK658021" s="251"/>
    </row>
    <row r="658136" spans="25:37" x14ac:dyDescent="0.2">
      <c r="Y658136" s="5"/>
      <c r="AB658136" s="5"/>
      <c r="AE658136" s="5"/>
      <c r="AH658136" s="5"/>
      <c r="AK658136" s="5"/>
    </row>
    <row r="658146" spans="25:37" x14ac:dyDescent="0.2">
      <c r="Y658146" s="251"/>
      <c r="AB658146" s="251"/>
      <c r="AE658146" s="251"/>
      <c r="AH658146" s="251"/>
      <c r="AK658146" s="251"/>
    </row>
    <row r="658261" spans="25:37" x14ac:dyDescent="0.2">
      <c r="Y658261" s="5"/>
      <c r="AB658261" s="5"/>
      <c r="AE658261" s="5"/>
      <c r="AH658261" s="5"/>
      <c r="AK658261" s="5"/>
    </row>
    <row r="658271" spans="25:37" x14ac:dyDescent="0.2">
      <c r="Y658271" s="251"/>
      <c r="AB658271" s="251"/>
      <c r="AE658271" s="251"/>
      <c r="AH658271" s="251"/>
      <c r="AK658271" s="251"/>
    </row>
    <row r="658386" spans="25:37" x14ac:dyDescent="0.2">
      <c r="Y658386" s="5"/>
      <c r="AB658386" s="5"/>
      <c r="AE658386" s="5"/>
      <c r="AH658386" s="5"/>
      <c r="AK658386" s="5"/>
    </row>
    <row r="658396" spans="25:37" x14ac:dyDescent="0.2">
      <c r="Y658396" s="251"/>
      <c r="AB658396" s="251"/>
      <c r="AE658396" s="251"/>
      <c r="AH658396" s="251"/>
      <c r="AK658396" s="251"/>
    </row>
    <row r="658511" spans="25:37" x14ac:dyDescent="0.2">
      <c r="Y658511" s="5"/>
      <c r="AB658511" s="5"/>
      <c r="AE658511" s="5"/>
      <c r="AH658511" s="5"/>
      <c r="AK658511" s="5"/>
    </row>
    <row r="658521" spans="25:37" x14ac:dyDescent="0.2">
      <c r="Y658521" s="251"/>
      <c r="AB658521" s="251"/>
      <c r="AE658521" s="251"/>
      <c r="AH658521" s="251"/>
      <c r="AK658521" s="251"/>
    </row>
    <row r="658636" spans="25:37" x14ac:dyDescent="0.2">
      <c r="Y658636" s="5"/>
      <c r="AB658636" s="5"/>
      <c r="AE658636" s="5"/>
      <c r="AH658636" s="5"/>
      <c r="AK658636" s="5"/>
    </row>
    <row r="658646" spans="25:37" x14ac:dyDescent="0.2">
      <c r="Y658646" s="251"/>
      <c r="AB658646" s="251"/>
      <c r="AE658646" s="251"/>
      <c r="AH658646" s="251"/>
      <c r="AK658646" s="251"/>
    </row>
    <row r="658761" spans="25:37" x14ac:dyDescent="0.2">
      <c r="Y658761" s="5"/>
      <c r="AB658761" s="5"/>
      <c r="AE658761" s="5"/>
      <c r="AH658761" s="5"/>
      <c r="AK658761" s="5"/>
    </row>
    <row r="658771" spans="25:37" x14ac:dyDescent="0.2">
      <c r="Y658771" s="251"/>
      <c r="AB658771" s="251"/>
      <c r="AE658771" s="251"/>
      <c r="AH658771" s="251"/>
      <c r="AK658771" s="251"/>
    </row>
    <row r="658886" spans="25:37" x14ac:dyDescent="0.2">
      <c r="Y658886" s="5"/>
      <c r="AB658886" s="5"/>
      <c r="AE658886" s="5"/>
      <c r="AH658886" s="5"/>
      <c r="AK658886" s="5"/>
    </row>
    <row r="658896" spans="25:37" x14ac:dyDescent="0.2">
      <c r="Y658896" s="251"/>
      <c r="AB658896" s="251"/>
      <c r="AE658896" s="251"/>
      <c r="AH658896" s="251"/>
      <c r="AK658896" s="251"/>
    </row>
    <row r="659011" spans="25:37" x14ac:dyDescent="0.2">
      <c r="Y659011" s="5"/>
      <c r="AB659011" s="5"/>
      <c r="AE659011" s="5"/>
      <c r="AH659011" s="5"/>
      <c r="AK659011" s="5"/>
    </row>
    <row r="659021" spans="25:37" x14ac:dyDescent="0.2">
      <c r="Y659021" s="251"/>
      <c r="AB659021" s="251"/>
      <c r="AE659021" s="251"/>
      <c r="AH659021" s="251"/>
      <c r="AK659021" s="251"/>
    </row>
    <row r="659136" spans="25:37" x14ac:dyDescent="0.2">
      <c r="Y659136" s="5"/>
      <c r="AB659136" s="5"/>
      <c r="AE659136" s="5"/>
      <c r="AH659136" s="5"/>
      <c r="AK659136" s="5"/>
    </row>
    <row r="659146" spans="25:37" x14ac:dyDescent="0.2">
      <c r="Y659146" s="251"/>
      <c r="AB659146" s="251"/>
      <c r="AE659146" s="251"/>
      <c r="AH659146" s="251"/>
      <c r="AK659146" s="251"/>
    </row>
    <row r="659261" spans="25:37" x14ac:dyDescent="0.2">
      <c r="Y659261" s="5"/>
      <c r="AB659261" s="5"/>
      <c r="AE659261" s="5"/>
      <c r="AH659261" s="5"/>
      <c r="AK659261" s="5"/>
    </row>
    <row r="659271" spans="25:37" x14ac:dyDescent="0.2">
      <c r="Y659271" s="251"/>
      <c r="AB659271" s="251"/>
      <c r="AE659271" s="251"/>
      <c r="AH659271" s="251"/>
      <c r="AK659271" s="251"/>
    </row>
    <row r="659386" spans="25:37" x14ac:dyDescent="0.2">
      <c r="Y659386" s="5"/>
      <c r="AB659386" s="5"/>
      <c r="AE659386" s="5"/>
      <c r="AH659386" s="5"/>
      <c r="AK659386" s="5"/>
    </row>
    <row r="659396" spans="25:37" x14ac:dyDescent="0.2">
      <c r="Y659396" s="251"/>
      <c r="AB659396" s="251"/>
      <c r="AE659396" s="251"/>
      <c r="AH659396" s="251"/>
      <c r="AK659396" s="251"/>
    </row>
    <row r="659511" spans="25:37" x14ac:dyDescent="0.2">
      <c r="Y659511" s="5"/>
      <c r="AB659511" s="5"/>
      <c r="AE659511" s="5"/>
      <c r="AH659511" s="5"/>
      <c r="AK659511" s="5"/>
    </row>
    <row r="659521" spans="25:37" x14ac:dyDescent="0.2">
      <c r="Y659521" s="251"/>
      <c r="AB659521" s="251"/>
      <c r="AE659521" s="251"/>
      <c r="AH659521" s="251"/>
      <c r="AK659521" s="251"/>
    </row>
    <row r="659636" spans="25:37" x14ac:dyDescent="0.2">
      <c r="Y659636" s="5"/>
      <c r="AB659636" s="5"/>
      <c r="AE659636" s="5"/>
      <c r="AH659636" s="5"/>
      <c r="AK659636" s="5"/>
    </row>
    <row r="659646" spans="25:37" x14ac:dyDescent="0.2">
      <c r="Y659646" s="251"/>
      <c r="AB659646" s="251"/>
      <c r="AE659646" s="251"/>
      <c r="AH659646" s="251"/>
      <c r="AK659646" s="251"/>
    </row>
    <row r="659761" spans="25:37" x14ac:dyDescent="0.2">
      <c r="Y659761" s="5"/>
      <c r="AB659761" s="5"/>
      <c r="AE659761" s="5"/>
      <c r="AH659761" s="5"/>
      <c r="AK659761" s="5"/>
    </row>
    <row r="659771" spans="25:37" x14ac:dyDescent="0.2">
      <c r="Y659771" s="251"/>
      <c r="AB659771" s="251"/>
      <c r="AE659771" s="251"/>
      <c r="AH659771" s="251"/>
      <c r="AK659771" s="251"/>
    </row>
    <row r="659886" spans="25:37" x14ac:dyDescent="0.2">
      <c r="Y659886" s="5"/>
      <c r="AB659886" s="5"/>
      <c r="AE659886" s="5"/>
      <c r="AH659886" s="5"/>
      <c r="AK659886" s="5"/>
    </row>
    <row r="659896" spans="25:37" x14ac:dyDescent="0.2">
      <c r="Y659896" s="251"/>
      <c r="AB659896" s="251"/>
      <c r="AE659896" s="251"/>
      <c r="AH659896" s="251"/>
      <c r="AK659896" s="251"/>
    </row>
    <row r="660011" spans="25:37" x14ac:dyDescent="0.2">
      <c r="Y660011" s="5"/>
      <c r="AB660011" s="5"/>
      <c r="AE660011" s="5"/>
      <c r="AH660011" s="5"/>
      <c r="AK660011" s="5"/>
    </row>
    <row r="660021" spans="25:37" x14ac:dyDescent="0.2">
      <c r="Y660021" s="251"/>
      <c r="AB660021" s="251"/>
      <c r="AE660021" s="251"/>
      <c r="AH660021" s="251"/>
      <c r="AK660021" s="251"/>
    </row>
    <row r="660136" spans="25:37" x14ac:dyDescent="0.2">
      <c r="Y660136" s="5"/>
      <c r="AB660136" s="5"/>
      <c r="AE660136" s="5"/>
      <c r="AH660136" s="5"/>
      <c r="AK660136" s="5"/>
    </row>
    <row r="660146" spans="25:37" x14ac:dyDescent="0.2">
      <c r="Y660146" s="251"/>
      <c r="AB660146" s="251"/>
      <c r="AE660146" s="251"/>
      <c r="AH660146" s="251"/>
      <c r="AK660146" s="251"/>
    </row>
    <row r="660261" spans="25:37" x14ac:dyDescent="0.2">
      <c r="Y660261" s="5"/>
      <c r="AB660261" s="5"/>
      <c r="AE660261" s="5"/>
      <c r="AH660261" s="5"/>
      <c r="AK660261" s="5"/>
    </row>
    <row r="660271" spans="25:37" x14ac:dyDescent="0.2">
      <c r="Y660271" s="251"/>
      <c r="AB660271" s="251"/>
      <c r="AE660271" s="251"/>
      <c r="AH660271" s="251"/>
      <c r="AK660271" s="251"/>
    </row>
    <row r="660386" spans="25:37" x14ac:dyDescent="0.2">
      <c r="Y660386" s="5"/>
      <c r="AB660386" s="5"/>
      <c r="AE660386" s="5"/>
      <c r="AH660386" s="5"/>
      <c r="AK660386" s="5"/>
    </row>
    <row r="660396" spans="25:37" x14ac:dyDescent="0.2">
      <c r="Y660396" s="251"/>
      <c r="AB660396" s="251"/>
      <c r="AE660396" s="251"/>
      <c r="AH660396" s="251"/>
      <c r="AK660396" s="251"/>
    </row>
    <row r="660511" spans="25:37" x14ac:dyDescent="0.2">
      <c r="Y660511" s="5"/>
      <c r="AB660511" s="5"/>
      <c r="AE660511" s="5"/>
      <c r="AH660511" s="5"/>
      <c r="AK660511" s="5"/>
    </row>
    <row r="660521" spans="25:37" x14ac:dyDescent="0.2">
      <c r="Y660521" s="251"/>
      <c r="AB660521" s="251"/>
      <c r="AE660521" s="251"/>
      <c r="AH660521" s="251"/>
      <c r="AK660521" s="251"/>
    </row>
    <row r="660636" spans="25:37" x14ac:dyDescent="0.2">
      <c r="Y660636" s="5"/>
      <c r="AB660636" s="5"/>
      <c r="AE660636" s="5"/>
      <c r="AH660636" s="5"/>
      <c r="AK660636" s="5"/>
    </row>
    <row r="660646" spans="25:37" x14ac:dyDescent="0.2">
      <c r="Y660646" s="251"/>
      <c r="AB660646" s="251"/>
      <c r="AE660646" s="251"/>
      <c r="AH660646" s="251"/>
      <c r="AK660646" s="251"/>
    </row>
    <row r="660761" spans="25:37" x14ac:dyDescent="0.2">
      <c r="Y660761" s="5"/>
      <c r="AB660761" s="5"/>
      <c r="AE660761" s="5"/>
      <c r="AH660761" s="5"/>
      <c r="AK660761" s="5"/>
    </row>
    <row r="660771" spans="25:37" x14ac:dyDescent="0.2">
      <c r="Y660771" s="251"/>
      <c r="AB660771" s="251"/>
      <c r="AE660771" s="251"/>
      <c r="AH660771" s="251"/>
      <c r="AK660771" s="251"/>
    </row>
    <row r="660886" spans="25:37" x14ac:dyDescent="0.2">
      <c r="Y660886" s="5"/>
      <c r="AB660886" s="5"/>
      <c r="AE660886" s="5"/>
      <c r="AH660886" s="5"/>
      <c r="AK660886" s="5"/>
    </row>
    <row r="660896" spans="25:37" x14ac:dyDescent="0.2">
      <c r="Y660896" s="251"/>
      <c r="AB660896" s="251"/>
      <c r="AE660896" s="251"/>
      <c r="AH660896" s="251"/>
      <c r="AK660896" s="251"/>
    </row>
    <row r="661011" spans="25:37" x14ac:dyDescent="0.2">
      <c r="Y661011" s="5"/>
      <c r="AB661011" s="5"/>
      <c r="AE661011" s="5"/>
      <c r="AH661011" s="5"/>
      <c r="AK661011" s="5"/>
    </row>
    <row r="661021" spans="25:37" x14ac:dyDescent="0.2">
      <c r="Y661021" s="251"/>
      <c r="AB661021" s="251"/>
      <c r="AE661021" s="251"/>
      <c r="AH661021" s="251"/>
      <c r="AK661021" s="251"/>
    </row>
    <row r="661136" spans="25:37" x14ac:dyDescent="0.2">
      <c r="Y661136" s="5"/>
      <c r="AB661136" s="5"/>
      <c r="AE661136" s="5"/>
      <c r="AH661136" s="5"/>
      <c r="AK661136" s="5"/>
    </row>
    <row r="661146" spans="25:37" x14ac:dyDescent="0.2">
      <c r="Y661146" s="251"/>
      <c r="AB661146" s="251"/>
      <c r="AE661146" s="251"/>
      <c r="AH661146" s="251"/>
      <c r="AK661146" s="251"/>
    </row>
    <row r="661261" spans="25:37" x14ac:dyDescent="0.2">
      <c r="Y661261" s="5"/>
      <c r="AB661261" s="5"/>
      <c r="AE661261" s="5"/>
      <c r="AH661261" s="5"/>
      <c r="AK661261" s="5"/>
    </row>
    <row r="661271" spans="25:37" x14ac:dyDescent="0.2">
      <c r="Y661271" s="251"/>
      <c r="AB661271" s="251"/>
      <c r="AE661271" s="251"/>
      <c r="AH661271" s="251"/>
      <c r="AK661271" s="251"/>
    </row>
    <row r="661386" spans="25:37" x14ac:dyDescent="0.2">
      <c r="Y661386" s="5"/>
      <c r="AB661386" s="5"/>
      <c r="AE661386" s="5"/>
      <c r="AH661386" s="5"/>
      <c r="AK661386" s="5"/>
    </row>
    <row r="661396" spans="25:37" x14ac:dyDescent="0.2">
      <c r="Y661396" s="251"/>
      <c r="AB661396" s="251"/>
      <c r="AE661396" s="251"/>
      <c r="AH661396" s="251"/>
      <c r="AK661396" s="251"/>
    </row>
    <row r="661511" spans="25:37" x14ac:dyDescent="0.2">
      <c r="Y661511" s="5"/>
      <c r="AB661511" s="5"/>
      <c r="AE661511" s="5"/>
      <c r="AH661511" s="5"/>
      <c r="AK661511" s="5"/>
    </row>
    <row r="661521" spans="25:37" x14ac:dyDescent="0.2">
      <c r="Y661521" s="251"/>
      <c r="AB661521" s="251"/>
      <c r="AE661521" s="251"/>
      <c r="AH661521" s="251"/>
      <c r="AK661521" s="251"/>
    </row>
    <row r="661636" spans="25:37" x14ac:dyDescent="0.2">
      <c r="Y661636" s="5"/>
      <c r="AB661636" s="5"/>
      <c r="AE661636" s="5"/>
      <c r="AH661636" s="5"/>
      <c r="AK661636" s="5"/>
    </row>
    <row r="661646" spans="25:37" x14ac:dyDescent="0.2">
      <c r="Y661646" s="251"/>
      <c r="AB661646" s="251"/>
      <c r="AE661646" s="251"/>
      <c r="AH661646" s="251"/>
      <c r="AK661646" s="251"/>
    </row>
    <row r="661761" spans="25:37" x14ac:dyDescent="0.2">
      <c r="Y661761" s="5"/>
      <c r="AB661761" s="5"/>
      <c r="AE661761" s="5"/>
      <c r="AH661761" s="5"/>
      <c r="AK661761" s="5"/>
    </row>
    <row r="661771" spans="25:37" x14ac:dyDescent="0.2">
      <c r="Y661771" s="251"/>
      <c r="AB661771" s="251"/>
      <c r="AE661771" s="251"/>
      <c r="AH661771" s="251"/>
      <c r="AK661771" s="251"/>
    </row>
    <row r="661886" spans="25:37" x14ac:dyDescent="0.2">
      <c r="Y661886" s="5"/>
      <c r="AB661886" s="5"/>
      <c r="AE661886" s="5"/>
      <c r="AH661886" s="5"/>
      <c r="AK661886" s="5"/>
    </row>
    <row r="661896" spans="25:37" x14ac:dyDescent="0.2">
      <c r="Y661896" s="251"/>
      <c r="AB661896" s="251"/>
      <c r="AE661896" s="251"/>
      <c r="AH661896" s="251"/>
      <c r="AK661896" s="251"/>
    </row>
    <row r="662011" spans="25:37" x14ac:dyDescent="0.2">
      <c r="Y662011" s="5"/>
      <c r="AB662011" s="5"/>
      <c r="AE662011" s="5"/>
      <c r="AH662011" s="5"/>
      <c r="AK662011" s="5"/>
    </row>
    <row r="662021" spans="25:37" x14ac:dyDescent="0.2">
      <c r="Y662021" s="251"/>
      <c r="AB662021" s="251"/>
      <c r="AE662021" s="251"/>
      <c r="AH662021" s="251"/>
      <c r="AK662021" s="251"/>
    </row>
    <row r="662136" spans="25:37" x14ac:dyDescent="0.2">
      <c r="Y662136" s="5"/>
      <c r="AB662136" s="5"/>
      <c r="AE662136" s="5"/>
      <c r="AH662136" s="5"/>
      <c r="AK662136" s="5"/>
    </row>
    <row r="662146" spans="25:37" x14ac:dyDescent="0.2">
      <c r="Y662146" s="251"/>
      <c r="AB662146" s="251"/>
      <c r="AE662146" s="251"/>
      <c r="AH662146" s="251"/>
      <c r="AK662146" s="251"/>
    </row>
    <row r="662261" spans="25:37" x14ac:dyDescent="0.2">
      <c r="Y662261" s="5"/>
      <c r="AB662261" s="5"/>
      <c r="AE662261" s="5"/>
      <c r="AH662261" s="5"/>
      <c r="AK662261" s="5"/>
    </row>
    <row r="662271" spans="25:37" x14ac:dyDescent="0.2">
      <c r="Y662271" s="251"/>
      <c r="AB662271" s="251"/>
      <c r="AE662271" s="251"/>
      <c r="AH662271" s="251"/>
      <c r="AK662271" s="251"/>
    </row>
    <row r="662386" spans="25:37" x14ac:dyDescent="0.2">
      <c r="Y662386" s="5"/>
      <c r="AB662386" s="5"/>
      <c r="AE662386" s="5"/>
      <c r="AH662386" s="5"/>
      <c r="AK662386" s="5"/>
    </row>
    <row r="662396" spans="25:37" x14ac:dyDescent="0.2">
      <c r="Y662396" s="251"/>
      <c r="AB662396" s="251"/>
      <c r="AE662396" s="251"/>
      <c r="AH662396" s="251"/>
      <c r="AK662396" s="251"/>
    </row>
    <row r="662511" spans="25:37" x14ac:dyDescent="0.2">
      <c r="Y662511" s="5"/>
      <c r="AB662511" s="5"/>
      <c r="AE662511" s="5"/>
      <c r="AH662511" s="5"/>
      <c r="AK662511" s="5"/>
    </row>
    <row r="662521" spans="25:37" x14ac:dyDescent="0.2">
      <c r="Y662521" s="251"/>
      <c r="AB662521" s="251"/>
      <c r="AE662521" s="251"/>
      <c r="AH662521" s="251"/>
      <c r="AK662521" s="251"/>
    </row>
    <row r="662636" spans="25:37" x14ac:dyDescent="0.2">
      <c r="Y662636" s="5"/>
      <c r="AB662636" s="5"/>
      <c r="AE662636" s="5"/>
      <c r="AH662636" s="5"/>
      <c r="AK662636" s="5"/>
    </row>
    <row r="662646" spans="25:37" x14ac:dyDescent="0.2">
      <c r="Y662646" s="251"/>
      <c r="AB662646" s="251"/>
      <c r="AE662646" s="251"/>
      <c r="AH662646" s="251"/>
      <c r="AK662646" s="251"/>
    </row>
    <row r="662761" spans="25:37" x14ac:dyDescent="0.2">
      <c r="Y662761" s="5"/>
      <c r="AB662761" s="5"/>
      <c r="AE662761" s="5"/>
      <c r="AH662761" s="5"/>
      <c r="AK662761" s="5"/>
    </row>
    <row r="662771" spans="25:37" x14ac:dyDescent="0.2">
      <c r="Y662771" s="251"/>
      <c r="AB662771" s="251"/>
      <c r="AE662771" s="251"/>
      <c r="AH662771" s="251"/>
      <c r="AK662771" s="251"/>
    </row>
    <row r="662886" spans="25:37" x14ac:dyDescent="0.2">
      <c r="Y662886" s="5"/>
      <c r="AB662886" s="5"/>
      <c r="AE662886" s="5"/>
      <c r="AH662886" s="5"/>
      <c r="AK662886" s="5"/>
    </row>
    <row r="662896" spans="25:37" x14ac:dyDescent="0.2">
      <c r="Y662896" s="251"/>
      <c r="AB662896" s="251"/>
      <c r="AE662896" s="251"/>
      <c r="AH662896" s="251"/>
      <c r="AK662896" s="251"/>
    </row>
    <row r="663011" spans="25:37" x14ac:dyDescent="0.2">
      <c r="Y663011" s="5"/>
      <c r="AB663011" s="5"/>
      <c r="AE663011" s="5"/>
      <c r="AH663011" s="5"/>
      <c r="AK663011" s="5"/>
    </row>
    <row r="663021" spans="25:37" x14ac:dyDescent="0.2">
      <c r="Y663021" s="251"/>
      <c r="AB663021" s="251"/>
      <c r="AE663021" s="251"/>
      <c r="AH663021" s="251"/>
      <c r="AK663021" s="251"/>
    </row>
    <row r="663136" spans="25:37" x14ac:dyDescent="0.2">
      <c r="Y663136" s="5"/>
      <c r="AB663136" s="5"/>
      <c r="AE663136" s="5"/>
      <c r="AH663136" s="5"/>
      <c r="AK663136" s="5"/>
    </row>
    <row r="663146" spans="25:37" x14ac:dyDescent="0.2">
      <c r="Y663146" s="251"/>
      <c r="AB663146" s="251"/>
      <c r="AE663146" s="251"/>
      <c r="AH663146" s="251"/>
      <c r="AK663146" s="251"/>
    </row>
    <row r="663261" spans="25:37" x14ac:dyDescent="0.2">
      <c r="Y663261" s="5"/>
      <c r="AB663261" s="5"/>
      <c r="AE663261" s="5"/>
      <c r="AH663261" s="5"/>
      <c r="AK663261" s="5"/>
    </row>
    <row r="663271" spans="25:37" x14ac:dyDescent="0.2">
      <c r="Y663271" s="251"/>
      <c r="AB663271" s="251"/>
      <c r="AE663271" s="251"/>
      <c r="AH663271" s="251"/>
      <c r="AK663271" s="251"/>
    </row>
    <row r="663386" spans="25:37" x14ac:dyDescent="0.2">
      <c r="Y663386" s="5"/>
      <c r="AB663386" s="5"/>
      <c r="AE663386" s="5"/>
      <c r="AH663386" s="5"/>
      <c r="AK663386" s="5"/>
    </row>
    <row r="663396" spans="25:37" x14ac:dyDescent="0.2">
      <c r="Y663396" s="251"/>
      <c r="AB663396" s="251"/>
      <c r="AE663396" s="251"/>
      <c r="AH663396" s="251"/>
      <c r="AK663396" s="251"/>
    </row>
    <row r="663511" spans="25:37" x14ac:dyDescent="0.2">
      <c r="Y663511" s="5"/>
      <c r="AB663511" s="5"/>
      <c r="AE663511" s="5"/>
      <c r="AH663511" s="5"/>
      <c r="AK663511" s="5"/>
    </row>
    <row r="663521" spans="25:37" x14ac:dyDescent="0.2">
      <c r="Y663521" s="251"/>
      <c r="AB663521" s="251"/>
      <c r="AE663521" s="251"/>
      <c r="AH663521" s="251"/>
      <c r="AK663521" s="251"/>
    </row>
    <row r="663636" spans="25:37" x14ac:dyDescent="0.2">
      <c r="Y663636" s="5"/>
      <c r="AB663636" s="5"/>
      <c r="AE663636" s="5"/>
      <c r="AH663636" s="5"/>
      <c r="AK663636" s="5"/>
    </row>
    <row r="663646" spans="25:37" x14ac:dyDescent="0.2">
      <c r="Y663646" s="251"/>
      <c r="AB663646" s="251"/>
      <c r="AE663646" s="251"/>
      <c r="AH663646" s="251"/>
      <c r="AK663646" s="251"/>
    </row>
    <row r="663761" spans="25:37" x14ac:dyDescent="0.2">
      <c r="Y663761" s="5"/>
      <c r="AB663761" s="5"/>
      <c r="AE663761" s="5"/>
      <c r="AH663761" s="5"/>
      <c r="AK663761" s="5"/>
    </row>
    <row r="663771" spans="25:37" x14ac:dyDescent="0.2">
      <c r="Y663771" s="251"/>
      <c r="AB663771" s="251"/>
      <c r="AE663771" s="251"/>
      <c r="AH663771" s="251"/>
      <c r="AK663771" s="251"/>
    </row>
    <row r="663886" spans="25:37" x14ac:dyDescent="0.2">
      <c r="Y663886" s="5"/>
      <c r="AB663886" s="5"/>
      <c r="AE663886" s="5"/>
      <c r="AH663886" s="5"/>
      <c r="AK663886" s="5"/>
    </row>
    <row r="663896" spans="25:37" x14ac:dyDescent="0.2">
      <c r="Y663896" s="251"/>
      <c r="AB663896" s="251"/>
      <c r="AE663896" s="251"/>
      <c r="AH663896" s="251"/>
      <c r="AK663896" s="251"/>
    </row>
    <row r="664011" spans="25:37" x14ac:dyDescent="0.2">
      <c r="Y664011" s="5"/>
      <c r="AB664011" s="5"/>
      <c r="AE664011" s="5"/>
      <c r="AH664011" s="5"/>
      <c r="AK664011" s="5"/>
    </row>
    <row r="664021" spans="25:37" x14ac:dyDescent="0.2">
      <c r="Y664021" s="251"/>
      <c r="AB664021" s="251"/>
      <c r="AE664021" s="251"/>
      <c r="AH664021" s="251"/>
      <c r="AK664021" s="251"/>
    </row>
    <row r="664136" spans="25:37" x14ac:dyDescent="0.2">
      <c r="Y664136" s="5"/>
      <c r="AB664136" s="5"/>
      <c r="AE664136" s="5"/>
      <c r="AH664136" s="5"/>
      <c r="AK664136" s="5"/>
    </row>
    <row r="664146" spans="25:37" x14ac:dyDescent="0.2">
      <c r="Y664146" s="251"/>
      <c r="AB664146" s="251"/>
      <c r="AE664146" s="251"/>
      <c r="AH664146" s="251"/>
      <c r="AK664146" s="251"/>
    </row>
    <row r="664261" spans="25:37" x14ac:dyDescent="0.2">
      <c r="Y664261" s="5"/>
      <c r="AB664261" s="5"/>
      <c r="AE664261" s="5"/>
      <c r="AH664261" s="5"/>
      <c r="AK664261" s="5"/>
    </row>
    <row r="664271" spans="25:37" x14ac:dyDescent="0.2">
      <c r="Y664271" s="251"/>
      <c r="AB664271" s="251"/>
      <c r="AE664271" s="251"/>
      <c r="AH664271" s="251"/>
      <c r="AK664271" s="251"/>
    </row>
    <row r="664386" spans="25:37" x14ac:dyDescent="0.2">
      <c r="Y664386" s="5"/>
      <c r="AB664386" s="5"/>
      <c r="AE664386" s="5"/>
      <c r="AH664386" s="5"/>
      <c r="AK664386" s="5"/>
    </row>
    <row r="664396" spans="25:37" x14ac:dyDescent="0.2">
      <c r="Y664396" s="251"/>
      <c r="AB664396" s="251"/>
      <c r="AE664396" s="251"/>
      <c r="AH664396" s="251"/>
      <c r="AK664396" s="251"/>
    </row>
    <row r="664511" spans="25:37" x14ac:dyDescent="0.2">
      <c r="Y664511" s="5"/>
      <c r="AB664511" s="5"/>
      <c r="AE664511" s="5"/>
      <c r="AH664511" s="5"/>
      <c r="AK664511" s="5"/>
    </row>
    <row r="664521" spans="25:37" x14ac:dyDescent="0.2">
      <c r="Y664521" s="251"/>
      <c r="AB664521" s="251"/>
      <c r="AE664521" s="251"/>
      <c r="AH664521" s="251"/>
      <c r="AK664521" s="251"/>
    </row>
    <row r="664636" spans="25:37" x14ac:dyDescent="0.2">
      <c r="Y664636" s="5"/>
      <c r="AB664636" s="5"/>
      <c r="AE664636" s="5"/>
      <c r="AH664636" s="5"/>
      <c r="AK664636" s="5"/>
    </row>
    <row r="664646" spans="25:37" x14ac:dyDescent="0.2">
      <c r="Y664646" s="251"/>
      <c r="AB664646" s="251"/>
      <c r="AE664646" s="251"/>
      <c r="AH664646" s="251"/>
      <c r="AK664646" s="251"/>
    </row>
    <row r="664761" spans="25:37" x14ac:dyDescent="0.2">
      <c r="Y664761" s="5"/>
      <c r="AB664761" s="5"/>
      <c r="AE664761" s="5"/>
      <c r="AH664761" s="5"/>
      <c r="AK664761" s="5"/>
    </row>
    <row r="664771" spans="25:37" x14ac:dyDescent="0.2">
      <c r="Y664771" s="251"/>
      <c r="AB664771" s="251"/>
      <c r="AE664771" s="251"/>
      <c r="AH664771" s="251"/>
      <c r="AK664771" s="251"/>
    </row>
    <row r="664886" spans="25:37" x14ac:dyDescent="0.2">
      <c r="Y664886" s="5"/>
      <c r="AB664886" s="5"/>
      <c r="AE664886" s="5"/>
      <c r="AH664886" s="5"/>
      <c r="AK664886" s="5"/>
    </row>
    <row r="664896" spans="25:37" x14ac:dyDescent="0.2">
      <c r="Y664896" s="251"/>
      <c r="AB664896" s="251"/>
      <c r="AE664896" s="251"/>
      <c r="AH664896" s="251"/>
      <c r="AK664896" s="251"/>
    </row>
    <row r="665011" spans="25:37" x14ac:dyDescent="0.2">
      <c r="Y665011" s="5"/>
      <c r="AB665011" s="5"/>
      <c r="AE665011" s="5"/>
      <c r="AH665011" s="5"/>
      <c r="AK665011" s="5"/>
    </row>
    <row r="665021" spans="25:37" x14ac:dyDescent="0.2">
      <c r="Y665021" s="251"/>
      <c r="AB665021" s="251"/>
      <c r="AE665021" s="251"/>
      <c r="AH665021" s="251"/>
      <c r="AK665021" s="251"/>
    </row>
    <row r="665136" spans="25:37" x14ac:dyDescent="0.2">
      <c r="Y665136" s="5"/>
      <c r="AB665136" s="5"/>
      <c r="AE665136" s="5"/>
      <c r="AH665136" s="5"/>
      <c r="AK665136" s="5"/>
    </row>
    <row r="665146" spans="25:37" x14ac:dyDescent="0.2">
      <c r="Y665146" s="251"/>
      <c r="AB665146" s="251"/>
      <c r="AE665146" s="251"/>
      <c r="AH665146" s="251"/>
      <c r="AK665146" s="251"/>
    </row>
    <row r="665261" spans="25:37" x14ac:dyDescent="0.2">
      <c r="Y665261" s="5"/>
      <c r="AB665261" s="5"/>
      <c r="AE665261" s="5"/>
      <c r="AH665261" s="5"/>
      <c r="AK665261" s="5"/>
    </row>
    <row r="665271" spans="25:37" x14ac:dyDescent="0.2">
      <c r="Y665271" s="251"/>
      <c r="AB665271" s="251"/>
      <c r="AE665271" s="251"/>
      <c r="AH665271" s="251"/>
      <c r="AK665271" s="251"/>
    </row>
    <row r="665386" spans="25:37" x14ac:dyDescent="0.2">
      <c r="Y665386" s="5"/>
      <c r="AB665386" s="5"/>
      <c r="AE665386" s="5"/>
      <c r="AH665386" s="5"/>
      <c r="AK665386" s="5"/>
    </row>
    <row r="665396" spans="25:37" x14ac:dyDescent="0.2">
      <c r="Y665396" s="251"/>
      <c r="AB665396" s="251"/>
      <c r="AE665396" s="251"/>
      <c r="AH665396" s="251"/>
      <c r="AK665396" s="251"/>
    </row>
    <row r="665511" spans="25:37" x14ac:dyDescent="0.2">
      <c r="Y665511" s="5"/>
      <c r="AB665511" s="5"/>
      <c r="AE665511" s="5"/>
      <c r="AH665511" s="5"/>
      <c r="AK665511" s="5"/>
    </row>
    <row r="665521" spans="25:37" x14ac:dyDescent="0.2">
      <c r="Y665521" s="251"/>
      <c r="AB665521" s="251"/>
      <c r="AE665521" s="251"/>
      <c r="AH665521" s="251"/>
      <c r="AK665521" s="251"/>
    </row>
    <row r="665636" spans="25:37" x14ac:dyDescent="0.2">
      <c r="Y665636" s="5"/>
      <c r="AB665636" s="5"/>
      <c r="AE665636" s="5"/>
      <c r="AH665636" s="5"/>
      <c r="AK665636" s="5"/>
    </row>
    <row r="665646" spans="25:37" x14ac:dyDescent="0.2">
      <c r="Y665646" s="251"/>
      <c r="AB665646" s="251"/>
      <c r="AE665646" s="251"/>
      <c r="AH665646" s="251"/>
      <c r="AK665646" s="251"/>
    </row>
    <row r="665761" spans="25:37" x14ac:dyDescent="0.2">
      <c r="Y665761" s="5"/>
      <c r="AB665761" s="5"/>
      <c r="AE665761" s="5"/>
      <c r="AH665761" s="5"/>
      <c r="AK665761" s="5"/>
    </row>
    <row r="665771" spans="25:37" x14ac:dyDescent="0.2">
      <c r="Y665771" s="251"/>
      <c r="AB665771" s="251"/>
      <c r="AE665771" s="251"/>
      <c r="AH665771" s="251"/>
      <c r="AK665771" s="251"/>
    </row>
    <row r="665886" spans="25:37" x14ac:dyDescent="0.2">
      <c r="Y665886" s="5"/>
      <c r="AB665886" s="5"/>
      <c r="AE665886" s="5"/>
      <c r="AH665886" s="5"/>
      <c r="AK665886" s="5"/>
    </row>
    <row r="665896" spans="25:37" x14ac:dyDescent="0.2">
      <c r="Y665896" s="251"/>
      <c r="AB665896" s="251"/>
      <c r="AE665896" s="251"/>
      <c r="AH665896" s="251"/>
      <c r="AK665896" s="251"/>
    </row>
    <row r="666011" spans="25:37" x14ac:dyDescent="0.2">
      <c r="Y666011" s="5"/>
      <c r="AB666011" s="5"/>
      <c r="AE666011" s="5"/>
      <c r="AH666011" s="5"/>
      <c r="AK666011" s="5"/>
    </row>
    <row r="666021" spans="25:37" x14ac:dyDescent="0.2">
      <c r="Y666021" s="251"/>
      <c r="AB666021" s="251"/>
      <c r="AE666021" s="251"/>
      <c r="AH666021" s="251"/>
      <c r="AK666021" s="251"/>
    </row>
    <row r="666136" spans="25:37" x14ac:dyDescent="0.2">
      <c r="Y666136" s="5"/>
      <c r="AB666136" s="5"/>
      <c r="AE666136" s="5"/>
      <c r="AH666136" s="5"/>
      <c r="AK666136" s="5"/>
    </row>
    <row r="666146" spans="25:37" x14ac:dyDescent="0.2">
      <c r="Y666146" s="251"/>
      <c r="AB666146" s="251"/>
      <c r="AE666146" s="251"/>
      <c r="AH666146" s="251"/>
      <c r="AK666146" s="251"/>
    </row>
    <row r="666261" spans="25:37" x14ac:dyDescent="0.2">
      <c r="Y666261" s="5"/>
      <c r="AB666261" s="5"/>
      <c r="AE666261" s="5"/>
      <c r="AH666261" s="5"/>
      <c r="AK666261" s="5"/>
    </row>
    <row r="666271" spans="25:37" x14ac:dyDescent="0.2">
      <c r="Y666271" s="251"/>
      <c r="AB666271" s="251"/>
      <c r="AE666271" s="251"/>
      <c r="AH666271" s="251"/>
      <c r="AK666271" s="251"/>
    </row>
    <row r="666386" spans="25:37" x14ac:dyDescent="0.2">
      <c r="Y666386" s="5"/>
      <c r="AB666386" s="5"/>
      <c r="AE666386" s="5"/>
      <c r="AH666386" s="5"/>
      <c r="AK666386" s="5"/>
    </row>
    <row r="666396" spans="25:37" x14ac:dyDescent="0.2">
      <c r="Y666396" s="251"/>
      <c r="AB666396" s="251"/>
      <c r="AE666396" s="251"/>
      <c r="AH666396" s="251"/>
      <c r="AK666396" s="251"/>
    </row>
    <row r="666511" spans="25:37" x14ac:dyDescent="0.2">
      <c r="Y666511" s="5"/>
      <c r="AB666511" s="5"/>
      <c r="AE666511" s="5"/>
      <c r="AH666511" s="5"/>
      <c r="AK666511" s="5"/>
    </row>
    <row r="666521" spans="25:37" x14ac:dyDescent="0.2">
      <c r="Y666521" s="251"/>
      <c r="AB666521" s="251"/>
      <c r="AE666521" s="251"/>
      <c r="AH666521" s="251"/>
      <c r="AK666521" s="251"/>
    </row>
    <row r="666636" spans="25:37" x14ac:dyDescent="0.2">
      <c r="Y666636" s="5"/>
      <c r="AB666636" s="5"/>
      <c r="AE666636" s="5"/>
      <c r="AH666636" s="5"/>
      <c r="AK666636" s="5"/>
    </row>
    <row r="666646" spans="25:37" x14ac:dyDescent="0.2">
      <c r="Y666646" s="251"/>
      <c r="AB666646" s="251"/>
      <c r="AE666646" s="251"/>
      <c r="AH666646" s="251"/>
      <c r="AK666646" s="251"/>
    </row>
    <row r="666761" spans="25:37" x14ac:dyDescent="0.2">
      <c r="Y666761" s="5"/>
      <c r="AB666761" s="5"/>
      <c r="AE666761" s="5"/>
      <c r="AH666761" s="5"/>
      <c r="AK666761" s="5"/>
    </row>
    <row r="666771" spans="25:37" x14ac:dyDescent="0.2">
      <c r="Y666771" s="251"/>
      <c r="AB666771" s="251"/>
      <c r="AE666771" s="251"/>
      <c r="AH666771" s="251"/>
      <c r="AK666771" s="251"/>
    </row>
    <row r="666886" spans="25:37" x14ac:dyDescent="0.2">
      <c r="Y666886" s="5"/>
      <c r="AB666886" s="5"/>
      <c r="AE666886" s="5"/>
      <c r="AH666886" s="5"/>
      <c r="AK666886" s="5"/>
    </row>
    <row r="666896" spans="25:37" x14ac:dyDescent="0.2">
      <c r="Y666896" s="251"/>
      <c r="AB666896" s="251"/>
      <c r="AE666896" s="251"/>
      <c r="AH666896" s="251"/>
      <c r="AK666896" s="251"/>
    </row>
    <row r="667011" spans="25:37" x14ac:dyDescent="0.2">
      <c r="Y667011" s="5"/>
      <c r="AB667011" s="5"/>
      <c r="AE667011" s="5"/>
      <c r="AH667011" s="5"/>
      <c r="AK667011" s="5"/>
    </row>
    <row r="667021" spans="25:37" x14ac:dyDescent="0.2">
      <c r="Y667021" s="251"/>
      <c r="AB667021" s="251"/>
      <c r="AE667021" s="251"/>
      <c r="AH667021" s="251"/>
      <c r="AK667021" s="251"/>
    </row>
    <row r="667136" spans="25:37" x14ac:dyDescent="0.2">
      <c r="Y667136" s="5"/>
      <c r="AB667136" s="5"/>
      <c r="AE667136" s="5"/>
      <c r="AH667136" s="5"/>
      <c r="AK667136" s="5"/>
    </row>
    <row r="667146" spans="25:37" x14ac:dyDescent="0.2">
      <c r="Y667146" s="251"/>
      <c r="AB667146" s="251"/>
      <c r="AE667146" s="251"/>
      <c r="AH667146" s="251"/>
      <c r="AK667146" s="251"/>
    </row>
    <row r="667261" spans="25:37" x14ac:dyDescent="0.2">
      <c r="Y667261" s="5"/>
      <c r="AB667261" s="5"/>
      <c r="AE667261" s="5"/>
      <c r="AH667261" s="5"/>
      <c r="AK667261" s="5"/>
    </row>
    <row r="667271" spans="25:37" x14ac:dyDescent="0.2">
      <c r="Y667271" s="251"/>
      <c r="AB667271" s="251"/>
      <c r="AE667271" s="251"/>
      <c r="AH667271" s="251"/>
      <c r="AK667271" s="251"/>
    </row>
    <row r="667386" spans="25:37" x14ac:dyDescent="0.2">
      <c r="Y667386" s="5"/>
      <c r="AB667386" s="5"/>
      <c r="AE667386" s="5"/>
      <c r="AH667386" s="5"/>
      <c r="AK667386" s="5"/>
    </row>
    <row r="667396" spans="25:37" x14ac:dyDescent="0.2">
      <c r="Y667396" s="251"/>
      <c r="AB667396" s="251"/>
      <c r="AE667396" s="251"/>
      <c r="AH667396" s="251"/>
      <c r="AK667396" s="251"/>
    </row>
    <row r="667511" spans="25:37" x14ac:dyDescent="0.2">
      <c r="Y667511" s="5"/>
      <c r="AB667511" s="5"/>
      <c r="AE667511" s="5"/>
      <c r="AH667511" s="5"/>
      <c r="AK667511" s="5"/>
    </row>
    <row r="667521" spans="25:37" x14ac:dyDescent="0.2">
      <c r="Y667521" s="251"/>
      <c r="AB667521" s="251"/>
      <c r="AE667521" s="251"/>
      <c r="AH667521" s="251"/>
      <c r="AK667521" s="251"/>
    </row>
    <row r="667636" spans="25:37" x14ac:dyDescent="0.2">
      <c r="Y667636" s="5"/>
      <c r="AB667636" s="5"/>
      <c r="AE667636" s="5"/>
      <c r="AH667636" s="5"/>
      <c r="AK667636" s="5"/>
    </row>
    <row r="667646" spans="25:37" x14ac:dyDescent="0.2">
      <c r="Y667646" s="251"/>
      <c r="AB667646" s="251"/>
      <c r="AE667646" s="251"/>
      <c r="AH667646" s="251"/>
      <c r="AK667646" s="251"/>
    </row>
    <row r="667761" spans="25:37" x14ac:dyDescent="0.2">
      <c r="Y667761" s="5"/>
      <c r="AB667761" s="5"/>
      <c r="AE667761" s="5"/>
      <c r="AH667761" s="5"/>
      <c r="AK667761" s="5"/>
    </row>
    <row r="667771" spans="25:37" x14ac:dyDescent="0.2">
      <c r="Y667771" s="251"/>
      <c r="AB667771" s="251"/>
      <c r="AE667771" s="251"/>
      <c r="AH667771" s="251"/>
      <c r="AK667771" s="251"/>
    </row>
    <row r="667886" spans="25:37" x14ac:dyDescent="0.2">
      <c r="Y667886" s="5"/>
      <c r="AB667886" s="5"/>
      <c r="AE667886" s="5"/>
      <c r="AH667886" s="5"/>
      <c r="AK667886" s="5"/>
    </row>
    <row r="667896" spans="25:37" x14ac:dyDescent="0.2">
      <c r="Y667896" s="251"/>
      <c r="AB667896" s="251"/>
      <c r="AE667896" s="251"/>
      <c r="AH667896" s="251"/>
      <c r="AK667896" s="251"/>
    </row>
    <row r="668011" spans="25:37" x14ac:dyDescent="0.2">
      <c r="Y668011" s="5"/>
      <c r="AB668011" s="5"/>
      <c r="AE668011" s="5"/>
      <c r="AH668011" s="5"/>
      <c r="AK668011" s="5"/>
    </row>
    <row r="668021" spans="25:37" x14ac:dyDescent="0.2">
      <c r="Y668021" s="251"/>
      <c r="AB668021" s="251"/>
      <c r="AE668021" s="251"/>
      <c r="AH668021" s="251"/>
      <c r="AK668021" s="251"/>
    </row>
    <row r="668136" spans="25:37" x14ac:dyDescent="0.2">
      <c r="Y668136" s="5"/>
      <c r="AB668136" s="5"/>
      <c r="AE668136" s="5"/>
      <c r="AH668136" s="5"/>
      <c r="AK668136" s="5"/>
    </row>
    <row r="668146" spans="25:37" x14ac:dyDescent="0.2">
      <c r="Y668146" s="251"/>
      <c r="AB668146" s="251"/>
      <c r="AE668146" s="251"/>
      <c r="AH668146" s="251"/>
      <c r="AK668146" s="251"/>
    </row>
    <row r="668261" spans="25:37" x14ac:dyDescent="0.2">
      <c r="Y668261" s="5"/>
      <c r="AB668261" s="5"/>
      <c r="AE668261" s="5"/>
      <c r="AH668261" s="5"/>
      <c r="AK668261" s="5"/>
    </row>
    <row r="668271" spans="25:37" x14ac:dyDescent="0.2">
      <c r="Y668271" s="251"/>
      <c r="AB668271" s="251"/>
      <c r="AE668271" s="251"/>
      <c r="AH668271" s="251"/>
      <c r="AK668271" s="251"/>
    </row>
    <row r="668386" spans="25:37" x14ac:dyDescent="0.2">
      <c r="Y668386" s="5"/>
      <c r="AB668386" s="5"/>
      <c r="AE668386" s="5"/>
      <c r="AH668386" s="5"/>
      <c r="AK668386" s="5"/>
    </row>
    <row r="668396" spans="25:37" x14ac:dyDescent="0.2">
      <c r="Y668396" s="251"/>
      <c r="AB668396" s="251"/>
      <c r="AE668396" s="251"/>
      <c r="AH668396" s="251"/>
      <c r="AK668396" s="251"/>
    </row>
    <row r="668511" spans="25:37" x14ac:dyDescent="0.2">
      <c r="Y668511" s="5"/>
      <c r="AB668511" s="5"/>
      <c r="AE668511" s="5"/>
      <c r="AH668511" s="5"/>
      <c r="AK668511" s="5"/>
    </row>
    <row r="668521" spans="25:37" x14ac:dyDescent="0.2">
      <c r="Y668521" s="251"/>
      <c r="AB668521" s="251"/>
      <c r="AE668521" s="251"/>
      <c r="AH668521" s="251"/>
      <c r="AK668521" s="251"/>
    </row>
    <row r="668636" spans="25:37" x14ac:dyDescent="0.2">
      <c r="Y668636" s="5"/>
      <c r="AB668636" s="5"/>
      <c r="AE668636" s="5"/>
      <c r="AH668636" s="5"/>
      <c r="AK668636" s="5"/>
    </row>
    <row r="668646" spans="25:37" x14ac:dyDescent="0.2">
      <c r="Y668646" s="251"/>
      <c r="AB668646" s="251"/>
      <c r="AE668646" s="251"/>
      <c r="AH668646" s="251"/>
      <c r="AK668646" s="251"/>
    </row>
    <row r="668761" spans="25:37" x14ac:dyDescent="0.2">
      <c r="Y668761" s="5"/>
      <c r="AB668761" s="5"/>
      <c r="AE668761" s="5"/>
      <c r="AH668761" s="5"/>
      <c r="AK668761" s="5"/>
    </row>
    <row r="668771" spans="25:37" x14ac:dyDescent="0.2">
      <c r="Y668771" s="251"/>
      <c r="AB668771" s="251"/>
      <c r="AE668771" s="251"/>
      <c r="AH668771" s="251"/>
      <c r="AK668771" s="251"/>
    </row>
    <row r="668886" spans="25:37" x14ac:dyDescent="0.2">
      <c r="Y668886" s="5"/>
      <c r="AB668886" s="5"/>
      <c r="AE668886" s="5"/>
      <c r="AH668886" s="5"/>
      <c r="AK668886" s="5"/>
    </row>
    <row r="668896" spans="25:37" x14ac:dyDescent="0.2">
      <c r="Y668896" s="251"/>
      <c r="AB668896" s="251"/>
      <c r="AE668896" s="251"/>
      <c r="AH668896" s="251"/>
      <c r="AK668896" s="251"/>
    </row>
    <row r="669011" spans="25:37" x14ac:dyDescent="0.2">
      <c r="Y669011" s="5"/>
      <c r="AB669011" s="5"/>
      <c r="AE669011" s="5"/>
      <c r="AH669011" s="5"/>
      <c r="AK669011" s="5"/>
    </row>
    <row r="669021" spans="25:37" x14ac:dyDescent="0.2">
      <c r="Y669021" s="251"/>
      <c r="AB669021" s="251"/>
      <c r="AE669021" s="251"/>
      <c r="AH669021" s="251"/>
      <c r="AK669021" s="251"/>
    </row>
    <row r="669136" spans="25:37" x14ac:dyDescent="0.2">
      <c r="Y669136" s="5"/>
      <c r="AB669136" s="5"/>
      <c r="AE669136" s="5"/>
      <c r="AH669136" s="5"/>
      <c r="AK669136" s="5"/>
    </row>
    <row r="669146" spans="25:37" x14ac:dyDescent="0.2">
      <c r="Y669146" s="251"/>
      <c r="AB669146" s="251"/>
      <c r="AE669146" s="251"/>
      <c r="AH669146" s="251"/>
      <c r="AK669146" s="251"/>
    </row>
    <row r="669261" spans="25:37" x14ac:dyDescent="0.2">
      <c r="Y669261" s="5"/>
      <c r="AB669261" s="5"/>
      <c r="AE669261" s="5"/>
      <c r="AH669261" s="5"/>
      <c r="AK669261" s="5"/>
    </row>
    <row r="669271" spans="25:37" x14ac:dyDescent="0.2">
      <c r="Y669271" s="251"/>
      <c r="AB669271" s="251"/>
      <c r="AE669271" s="251"/>
      <c r="AH669271" s="251"/>
      <c r="AK669271" s="251"/>
    </row>
    <row r="669386" spans="25:37" x14ac:dyDescent="0.2">
      <c r="Y669386" s="5"/>
      <c r="AB669386" s="5"/>
      <c r="AE669386" s="5"/>
      <c r="AH669386" s="5"/>
      <c r="AK669386" s="5"/>
    </row>
    <row r="669396" spans="25:37" x14ac:dyDescent="0.2">
      <c r="Y669396" s="251"/>
      <c r="AB669396" s="251"/>
      <c r="AE669396" s="251"/>
      <c r="AH669396" s="251"/>
      <c r="AK669396" s="251"/>
    </row>
    <row r="669511" spans="25:37" x14ac:dyDescent="0.2">
      <c r="Y669511" s="5"/>
      <c r="AB669511" s="5"/>
      <c r="AE669511" s="5"/>
      <c r="AH669511" s="5"/>
      <c r="AK669511" s="5"/>
    </row>
    <row r="669521" spans="25:37" x14ac:dyDescent="0.2">
      <c r="Y669521" s="251"/>
      <c r="AB669521" s="251"/>
      <c r="AE669521" s="251"/>
      <c r="AH669521" s="251"/>
      <c r="AK669521" s="251"/>
    </row>
    <row r="669636" spans="25:37" x14ac:dyDescent="0.2">
      <c r="Y669636" s="5"/>
      <c r="AB669636" s="5"/>
      <c r="AE669636" s="5"/>
      <c r="AH669636" s="5"/>
      <c r="AK669636" s="5"/>
    </row>
    <row r="669646" spans="25:37" x14ac:dyDescent="0.2">
      <c r="Y669646" s="251"/>
      <c r="AB669646" s="251"/>
      <c r="AE669646" s="251"/>
      <c r="AH669646" s="251"/>
      <c r="AK669646" s="251"/>
    </row>
    <row r="669761" spans="25:37" x14ac:dyDescent="0.2">
      <c r="Y669761" s="5"/>
      <c r="AB669761" s="5"/>
      <c r="AE669761" s="5"/>
      <c r="AH669761" s="5"/>
      <c r="AK669761" s="5"/>
    </row>
    <row r="669771" spans="25:37" x14ac:dyDescent="0.2">
      <c r="Y669771" s="251"/>
      <c r="AB669771" s="251"/>
      <c r="AE669771" s="251"/>
      <c r="AH669771" s="251"/>
      <c r="AK669771" s="251"/>
    </row>
    <row r="669886" spans="25:37" x14ac:dyDescent="0.2">
      <c r="Y669886" s="5"/>
      <c r="AB669886" s="5"/>
      <c r="AE669886" s="5"/>
      <c r="AH669886" s="5"/>
      <c r="AK669886" s="5"/>
    </row>
    <row r="669896" spans="25:37" x14ac:dyDescent="0.2">
      <c r="Y669896" s="251"/>
      <c r="AB669896" s="251"/>
      <c r="AE669896" s="251"/>
      <c r="AH669896" s="251"/>
      <c r="AK669896" s="251"/>
    </row>
    <row r="670011" spans="25:37" x14ac:dyDescent="0.2">
      <c r="Y670011" s="5"/>
      <c r="AB670011" s="5"/>
      <c r="AE670011" s="5"/>
      <c r="AH670011" s="5"/>
      <c r="AK670011" s="5"/>
    </row>
    <row r="670021" spans="25:37" x14ac:dyDescent="0.2">
      <c r="Y670021" s="251"/>
      <c r="AB670021" s="251"/>
      <c r="AE670021" s="251"/>
      <c r="AH670021" s="251"/>
      <c r="AK670021" s="251"/>
    </row>
    <row r="670136" spans="25:37" x14ac:dyDescent="0.2">
      <c r="Y670136" s="5"/>
      <c r="AB670136" s="5"/>
      <c r="AE670136" s="5"/>
      <c r="AH670136" s="5"/>
      <c r="AK670136" s="5"/>
    </row>
    <row r="670146" spans="25:37" x14ac:dyDescent="0.2">
      <c r="Y670146" s="251"/>
      <c r="AB670146" s="251"/>
      <c r="AE670146" s="251"/>
      <c r="AH670146" s="251"/>
      <c r="AK670146" s="251"/>
    </row>
    <row r="670261" spans="25:37" x14ac:dyDescent="0.2">
      <c r="Y670261" s="5"/>
      <c r="AB670261" s="5"/>
      <c r="AE670261" s="5"/>
      <c r="AH670261" s="5"/>
      <c r="AK670261" s="5"/>
    </row>
    <row r="670271" spans="25:37" x14ac:dyDescent="0.2">
      <c r="Y670271" s="251"/>
      <c r="AB670271" s="251"/>
      <c r="AE670271" s="251"/>
      <c r="AH670271" s="251"/>
      <c r="AK670271" s="251"/>
    </row>
    <row r="670386" spans="25:37" x14ac:dyDescent="0.2">
      <c r="Y670386" s="5"/>
      <c r="AB670386" s="5"/>
      <c r="AE670386" s="5"/>
      <c r="AH670386" s="5"/>
      <c r="AK670386" s="5"/>
    </row>
    <row r="670396" spans="25:37" x14ac:dyDescent="0.2">
      <c r="Y670396" s="251"/>
      <c r="AB670396" s="251"/>
      <c r="AE670396" s="251"/>
      <c r="AH670396" s="251"/>
      <c r="AK670396" s="251"/>
    </row>
    <row r="670511" spans="25:37" x14ac:dyDescent="0.2">
      <c r="Y670511" s="5"/>
      <c r="AB670511" s="5"/>
      <c r="AE670511" s="5"/>
      <c r="AH670511" s="5"/>
      <c r="AK670511" s="5"/>
    </row>
    <row r="670521" spans="25:37" x14ac:dyDescent="0.2">
      <c r="Y670521" s="251"/>
      <c r="AB670521" s="251"/>
      <c r="AE670521" s="251"/>
      <c r="AH670521" s="251"/>
      <c r="AK670521" s="251"/>
    </row>
    <row r="670636" spans="25:37" x14ac:dyDescent="0.2">
      <c r="Y670636" s="5"/>
      <c r="AB670636" s="5"/>
      <c r="AE670636" s="5"/>
      <c r="AH670636" s="5"/>
      <c r="AK670636" s="5"/>
    </row>
    <row r="670646" spans="25:37" x14ac:dyDescent="0.2">
      <c r="Y670646" s="251"/>
      <c r="AB670646" s="251"/>
      <c r="AE670646" s="251"/>
      <c r="AH670646" s="251"/>
      <c r="AK670646" s="251"/>
    </row>
    <row r="670761" spans="25:37" x14ac:dyDescent="0.2">
      <c r="Y670761" s="5"/>
      <c r="AB670761" s="5"/>
      <c r="AE670761" s="5"/>
      <c r="AH670761" s="5"/>
      <c r="AK670761" s="5"/>
    </row>
    <row r="670771" spans="25:37" x14ac:dyDescent="0.2">
      <c r="Y670771" s="251"/>
      <c r="AB670771" s="251"/>
      <c r="AE670771" s="251"/>
      <c r="AH670771" s="251"/>
      <c r="AK670771" s="251"/>
    </row>
    <row r="670886" spans="25:37" x14ac:dyDescent="0.2">
      <c r="Y670886" s="5"/>
      <c r="AB670886" s="5"/>
      <c r="AE670886" s="5"/>
      <c r="AH670886" s="5"/>
      <c r="AK670886" s="5"/>
    </row>
    <row r="670896" spans="25:37" x14ac:dyDescent="0.2">
      <c r="Y670896" s="251"/>
      <c r="AB670896" s="251"/>
      <c r="AE670896" s="251"/>
      <c r="AH670896" s="251"/>
      <c r="AK670896" s="251"/>
    </row>
    <row r="671011" spans="25:37" x14ac:dyDescent="0.2">
      <c r="Y671011" s="5"/>
      <c r="AB671011" s="5"/>
      <c r="AE671011" s="5"/>
      <c r="AH671011" s="5"/>
      <c r="AK671011" s="5"/>
    </row>
    <row r="671021" spans="25:37" x14ac:dyDescent="0.2">
      <c r="Y671021" s="251"/>
      <c r="AB671021" s="251"/>
      <c r="AE671021" s="251"/>
      <c r="AH671021" s="251"/>
      <c r="AK671021" s="251"/>
    </row>
    <row r="671136" spans="25:37" x14ac:dyDescent="0.2">
      <c r="Y671136" s="5"/>
      <c r="AB671136" s="5"/>
      <c r="AE671136" s="5"/>
      <c r="AH671136" s="5"/>
      <c r="AK671136" s="5"/>
    </row>
    <row r="671146" spans="25:37" x14ac:dyDescent="0.2">
      <c r="Y671146" s="251"/>
      <c r="AB671146" s="251"/>
      <c r="AE671146" s="251"/>
      <c r="AH671146" s="251"/>
      <c r="AK671146" s="251"/>
    </row>
    <row r="671261" spans="25:37" x14ac:dyDescent="0.2">
      <c r="Y671261" s="5"/>
      <c r="AB671261" s="5"/>
      <c r="AE671261" s="5"/>
      <c r="AH671261" s="5"/>
      <c r="AK671261" s="5"/>
    </row>
    <row r="671271" spans="25:37" x14ac:dyDescent="0.2">
      <c r="Y671271" s="251"/>
      <c r="AB671271" s="251"/>
      <c r="AE671271" s="251"/>
      <c r="AH671271" s="251"/>
      <c r="AK671271" s="251"/>
    </row>
    <row r="671386" spans="25:37" x14ac:dyDescent="0.2">
      <c r="Y671386" s="5"/>
      <c r="AB671386" s="5"/>
      <c r="AE671386" s="5"/>
      <c r="AH671386" s="5"/>
      <c r="AK671386" s="5"/>
    </row>
    <row r="671396" spans="25:37" x14ac:dyDescent="0.2">
      <c r="Y671396" s="251"/>
      <c r="AB671396" s="251"/>
      <c r="AE671396" s="251"/>
      <c r="AH671396" s="251"/>
      <c r="AK671396" s="251"/>
    </row>
    <row r="671511" spans="25:37" x14ac:dyDescent="0.2">
      <c r="Y671511" s="5"/>
      <c r="AB671511" s="5"/>
      <c r="AE671511" s="5"/>
      <c r="AH671511" s="5"/>
      <c r="AK671511" s="5"/>
    </row>
    <row r="671521" spans="25:37" x14ac:dyDescent="0.2">
      <c r="Y671521" s="251"/>
      <c r="AB671521" s="251"/>
      <c r="AE671521" s="251"/>
      <c r="AH671521" s="251"/>
      <c r="AK671521" s="251"/>
    </row>
    <row r="671636" spans="25:37" x14ac:dyDescent="0.2">
      <c r="Y671636" s="5"/>
      <c r="AB671636" s="5"/>
      <c r="AE671636" s="5"/>
      <c r="AH671636" s="5"/>
      <c r="AK671636" s="5"/>
    </row>
    <row r="671646" spans="25:37" x14ac:dyDescent="0.2">
      <c r="Y671646" s="251"/>
      <c r="AB671646" s="251"/>
      <c r="AE671646" s="251"/>
      <c r="AH671646" s="251"/>
      <c r="AK671646" s="251"/>
    </row>
    <row r="671761" spans="25:37" x14ac:dyDescent="0.2">
      <c r="Y671761" s="5"/>
      <c r="AB671761" s="5"/>
      <c r="AE671761" s="5"/>
      <c r="AH671761" s="5"/>
      <c r="AK671761" s="5"/>
    </row>
    <row r="671771" spans="25:37" x14ac:dyDescent="0.2">
      <c r="Y671771" s="251"/>
      <c r="AB671771" s="251"/>
      <c r="AE671771" s="251"/>
      <c r="AH671771" s="251"/>
      <c r="AK671771" s="251"/>
    </row>
    <row r="671886" spans="25:37" x14ac:dyDescent="0.2">
      <c r="Y671886" s="5"/>
      <c r="AB671886" s="5"/>
      <c r="AE671886" s="5"/>
      <c r="AH671886" s="5"/>
      <c r="AK671886" s="5"/>
    </row>
    <row r="671896" spans="25:37" x14ac:dyDescent="0.2">
      <c r="Y671896" s="251"/>
      <c r="AB671896" s="251"/>
      <c r="AE671896" s="251"/>
      <c r="AH671896" s="251"/>
      <c r="AK671896" s="251"/>
    </row>
    <row r="672011" spans="25:37" x14ac:dyDescent="0.2">
      <c r="Y672011" s="5"/>
      <c r="AB672011" s="5"/>
      <c r="AE672011" s="5"/>
      <c r="AH672011" s="5"/>
      <c r="AK672011" s="5"/>
    </row>
    <row r="672021" spans="25:37" x14ac:dyDescent="0.2">
      <c r="Y672021" s="251"/>
      <c r="AB672021" s="251"/>
      <c r="AE672021" s="251"/>
      <c r="AH672021" s="251"/>
      <c r="AK672021" s="251"/>
    </row>
    <row r="672136" spans="25:37" x14ac:dyDescent="0.2">
      <c r="Y672136" s="5"/>
      <c r="AB672136" s="5"/>
      <c r="AE672136" s="5"/>
      <c r="AH672136" s="5"/>
      <c r="AK672136" s="5"/>
    </row>
    <row r="672146" spans="25:37" x14ac:dyDescent="0.2">
      <c r="Y672146" s="251"/>
      <c r="AB672146" s="251"/>
      <c r="AE672146" s="251"/>
      <c r="AH672146" s="251"/>
      <c r="AK672146" s="251"/>
    </row>
    <row r="672261" spans="25:37" x14ac:dyDescent="0.2">
      <c r="Y672261" s="5"/>
      <c r="AB672261" s="5"/>
      <c r="AE672261" s="5"/>
      <c r="AH672261" s="5"/>
      <c r="AK672261" s="5"/>
    </row>
    <row r="672271" spans="25:37" x14ac:dyDescent="0.2">
      <c r="Y672271" s="251"/>
      <c r="AB672271" s="251"/>
      <c r="AE672271" s="251"/>
      <c r="AH672271" s="251"/>
      <c r="AK672271" s="251"/>
    </row>
    <row r="672386" spans="25:37" x14ac:dyDescent="0.2">
      <c r="Y672386" s="5"/>
      <c r="AB672386" s="5"/>
      <c r="AE672386" s="5"/>
      <c r="AH672386" s="5"/>
      <c r="AK672386" s="5"/>
    </row>
    <row r="672396" spans="25:37" x14ac:dyDescent="0.2">
      <c r="Y672396" s="251"/>
      <c r="AB672396" s="251"/>
      <c r="AE672396" s="251"/>
      <c r="AH672396" s="251"/>
      <c r="AK672396" s="251"/>
    </row>
    <row r="672511" spans="25:37" x14ac:dyDescent="0.2">
      <c r="Y672511" s="5"/>
      <c r="AB672511" s="5"/>
      <c r="AE672511" s="5"/>
      <c r="AH672511" s="5"/>
      <c r="AK672511" s="5"/>
    </row>
    <row r="672521" spans="25:37" x14ac:dyDescent="0.2">
      <c r="Y672521" s="251"/>
      <c r="AB672521" s="251"/>
      <c r="AE672521" s="251"/>
      <c r="AH672521" s="251"/>
      <c r="AK672521" s="251"/>
    </row>
    <row r="672636" spans="25:37" x14ac:dyDescent="0.2">
      <c r="Y672636" s="5"/>
      <c r="AB672636" s="5"/>
      <c r="AE672636" s="5"/>
      <c r="AH672636" s="5"/>
      <c r="AK672636" s="5"/>
    </row>
    <row r="672646" spans="25:37" x14ac:dyDescent="0.2">
      <c r="Y672646" s="251"/>
      <c r="AB672646" s="251"/>
      <c r="AE672646" s="251"/>
      <c r="AH672646" s="251"/>
      <c r="AK672646" s="251"/>
    </row>
    <row r="672761" spans="25:37" x14ac:dyDescent="0.2">
      <c r="Y672761" s="5"/>
      <c r="AB672761" s="5"/>
      <c r="AE672761" s="5"/>
      <c r="AH672761" s="5"/>
      <c r="AK672761" s="5"/>
    </row>
    <row r="672771" spans="25:37" x14ac:dyDescent="0.2">
      <c r="Y672771" s="251"/>
      <c r="AB672771" s="251"/>
      <c r="AE672771" s="251"/>
      <c r="AH672771" s="251"/>
      <c r="AK672771" s="251"/>
    </row>
    <row r="672886" spans="25:37" x14ac:dyDescent="0.2">
      <c r="Y672886" s="5"/>
      <c r="AB672886" s="5"/>
      <c r="AE672886" s="5"/>
      <c r="AH672886" s="5"/>
      <c r="AK672886" s="5"/>
    </row>
    <row r="672896" spans="25:37" x14ac:dyDescent="0.2">
      <c r="Y672896" s="251"/>
      <c r="AB672896" s="251"/>
      <c r="AE672896" s="251"/>
      <c r="AH672896" s="251"/>
      <c r="AK672896" s="251"/>
    </row>
    <row r="673011" spans="25:37" x14ac:dyDescent="0.2">
      <c r="Y673011" s="5"/>
      <c r="AB673011" s="5"/>
      <c r="AE673011" s="5"/>
      <c r="AH673011" s="5"/>
      <c r="AK673011" s="5"/>
    </row>
    <row r="673021" spans="25:37" x14ac:dyDescent="0.2">
      <c r="Y673021" s="251"/>
      <c r="AB673021" s="251"/>
      <c r="AE673021" s="251"/>
      <c r="AH673021" s="251"/>
      <c r="AK673021" s="251"/>
    </row>
    <row r="673136" spans="25:37" x14ac:dyDescent="0.2">
      <c r="Y673136" s="5"/>
      <c r="AB673136" s="5"/>
      <c r="AE673136" s="5"/>
      <c r="AH673136" s="5"/>
      <c r="AK673136" s="5"/>
    </row>
    <row r="673146" spans="25:37" x14ac:dyDescent="0.2">
      <c r="Y673146" s="251"/>
      <c r="AB673146" s="251"/>
      <c r="AE673146" s="251"/>
      <c r="AH673146" s="251"/>
      <c r="AK673146" s="251"/>
    </row>
    <row r="673261" spans="25:37" x14ac:dyDescent="0.2">
      <c r="Y673261" s="5"/>
      <c r="AB673261" s="5"/>
      <c r="AE673261" s="5"/>
      <c r="AH673261" s="5"/>
      <c r="AK673261" s="5"/>
    </row>
    <row r="673271" spans="25:37" x14ac:dyDescent="0.2">
      <c r="Y673271" s="251"/>
      <c r="AB673271" s="251"/>
      <c r="AE673271" s="251"/>
      <c r="AH673271" s="251"/>
      <c r="AK673271" s="251"/>
    </row>
    <row r="673386" spans="25:37" x14ac:dyDescent="0.2">
      <c r="Y673386" s="5"/>
      <c r="AB673386" s="5"/>
      <c r="AE673386" s="5"/>
      <c r="AH673386" s="5"/>
      <c r="AK673386" s="5"/>
    </row>
    <row r="673396" spans="25:37" x14ac:dyDescent="0.2">
      <c r="Y673396" s="251"/>
      <c r="AB673396" s="251"/>
      <c r="AE673396" s="251"/>
      <c r="AH673396" s="251"/>
      <c r="AK673396" s="251"/>
    </row>
    <row r="673511" spans="25:37" x14ac:dyDescent="0.2">
      <c r="Y673511" s="5"/>
      <c r="AB673511" s="5"/>
      <c r="AE673511" s="5"/>
      <c r="AH673511" s="5"/>
      <c r="AK673511" s="5"/>
    </row>
    <row r="673521" spans="25:37" x14ac:dyDescent="0.2">
      <c r="Y673521" s="251"/>
      <c r="AB673521" s="251"/>
      <c r="AE673521" s="251"/>
      <c r="AH673521" s="251"/>
      <c r="AK673521" s="251"/>
    </row>
    <row r="673636" spans="25:37" x14ac:dyDescent="0.2">
      <c r="Y673636" s="5"/>
      <c r="AB673636" s="5"/>
      <c r="AE673636" s="5"/>
      <c r="AH673636" s="5"/>
      <c r="AK673636" s="5"/>
    </row>
    <row r="673646" spans="25:37" x14ac:dyDescent="0.2">
      <c r="Y673646" s="251"/>
      <c r="AB673646" s="251"/>
      <c r="AE673646" s="251"/>
      <c r="AH673646" s="251"/>
      <c r="AK673646" s="251"/>
    </row>
    <row r="673761" spans="25:37" x14ac:dyDescent="0.2">
      <c r="Y673761" s="5"/>
      <c r="AB673761" s="5"/>
      <c r="AE673761" s="5"/>
      <c r="AH673761" s="5"/>
      <c r="AK673761" s="5"/>
    </row>
    <row r="673771" spans="25:37" x14ac:dyDescent="0.2">
      <c r="Y673771" s="251"/>
      <c r="AB673771" s="251"/>
      <c r="AE673771" s="251"/>
      <c r="AH673771" s="251"/>
      <c r="AK673771" s="251"/>
    </row>
    <row r="673886" spans="25:37" x14ac:dyDescent="0.2">
      <c r="Y673886" s="5"/>
      <c r="AB673886" s="5"/>
      <c r="AE673886" s="5"/>
      <c r="AH673886" s="5"/>
      <c r="AK673886" s="5"/>
    </row>
    <row r="673896" spans="25:37" x14ac:dyDescent="0.2">
      <c r="Y673896" s="251"/>
      <c r="AB673896" s="251"/>
      <c r="AE673896" s="251"/>
      <c r="AH673896" s="251"/>
      <c r="AK673896" s="251"/>
    </row>
    <row r="674011" spans="25:37" x14ac:dyDescent="0.2">
      <c r="Y674011" s="5"/>
      <c r="AB674011" s="5"/>
      <c r="AE674011" s="5"/>
      <c r="AH674011" s="5"/>
      <c r="AK674011" s="5"/>
    </row>
    <row r="674021" spans="25:37" x14ac:dyDescent="0.2">
      <c r="Y674021" s="251"/>
      <c r="AB674021" s="251"/>
      <c r="AE674021" s="251"/>
      <c r="AH674021" s="251"/>
      <c r="AK674021" s="251"/>
    </row>
    <row r="674136" spans="25:37" x14ac:dyDescent="0.2">
      <c r="Y674136" s="5"/>
      <c r="AB674136" s="5"/>
      <c r="AE674136" s="5"/>
      <c r="AH674136" s="5"/>
      <c r="AK674136" s="5"/>
    </row>
    <row r="674146" spans="25:37" x14ac:dyDescent="0.2">
      <c r="Y674146" s="251"/>
      <c r="AB674146" s="251"/>
      <c r="AE674146" s="251"/>
      <c r="AH674146" s="251"/>
      <c r="AK674146" s="251"/>
    </row>
    <row r="674261" spans="25:37" x14ac:dyDescent="0.2">
      <c r="Y674261" s="5"/>
      <c r="AB674261" s="5"/>
      <c r="AE674261" s="5"/>
      <c r="AH674261" s="5"/>
      <c r="AK674261" s="5"/>
    </row>
    <row r="674271" spans="25:37" x14ac:dyDescent="0.2">
      <c r="Y674271" s="251"/>
      <c r="AB674271" s="251"/>
      <c r="AE674271" s="251"/>
      <c r="AH674271" s="251"/>
      <c r="AK674271" s="251"/>
    </row>
    <row r="674386" spans="25:37" x14ac:dyDescent="0.2">
      <c r="Y674386" s="5"/>
      <c r="AB674386" s="5"/>
      <c r="AE674386" s="5"/>
      <c r="AH674386" s="5"/>
      <c r="AK674386" s="5"/>
    </row>
    <row r="674396" spans="25:37" x14ac:dyDescent="0.2">
      <c r="Y674396" s="251"/>
      <c r="AB674396" s="251"/>
      <c r="AE674396" s="251"/>
      <c r="AH674396" s="251"/>
      <c r="AK674396" s="251"/>
    </row>
    <row r="674511" spans="25:37" x14ac:dyDescent="0.2">
      <c r="Y674511" s="5"/>
      <c r="AB674511" s="5"/>
      <c r="AE674511" s="5"/>
      <c r="AH674511" s="5"/>
      <c r="AK674511" s="5"/>
    </row>
    <row r="674521" spans="25:37" x14ac:dyDescent="0.2">
      <c r="Y674521" s="251"/>
      <c r="AB674521" s="251"/>
      <c r="AE674521" s="251"/>
      <c r="AH674521" s="251"/>
      <c r="AK674521" s="251"/>
    </row>
    <row r="674636" spans="25:37" x14ac:dyDescent="0.2">
      <c r="Y674636" s="5"/>
      <c r="AB674636" s="5"/>
      <c r="AE674636" s="5"/>
      <c r="AH674636" s="5"/>
      <c r="AK674636" s="5"/>
    </row>
    <row r="674646" spans="25:37" x14ac:dyDescent="0.2">
      <c r="Y674646" s="251"/>
      <c r="AB674646" s="251"/>
      <c r="AE674646" s="251"/>
      <c r="AH674646" s="251"/>
      <c r="AK674646" s="251"/>
    </row>
    <row r="674761" spans="25:37" x14ac:dyDescent="0.2">
      <c r="Y674761" s="5"/>
      <c r="AB674761" s="5"/>
      <c r="AE674761" s="5"/>
      <c r="AH674761" s="5"/>
      <c r="AK674761" s="5"/>
    </row>
    <row r="674771" spans="25:37" x14ac:dyDescent="0.2">
      <c r="Y674771" s="251"/>
      <c r="AB674771" s="251"/>
      <c r="AE674771" s="251"/>
      <c r="AH674771" s="251"/>
      <c r="AK674771" s="251"/>
    </row>
    <row r="674886" spans="25:37" x14ac:dyDescent="0.2">
      <c r="Y674886" s="5"/>
      <c r="AB674886" s="5"/>
      <c r="AE674886" s="5"/>
      <c r="AH674886" s="5"/>
      <c r="AK674886" s="5"/>
    </row>
    <row r="674896" spans="25:37" x14ac:dyDescent="0.2">
      <c r="Y674896" s="251"/>
      <c r="AB674896" s="251"/>
      <c r="AE674896" s="251"/>
      <c r="AH674896" s="251"/>
      <c r="AK674896" s="251"/>
    </row>
    <row r="675011" spans="25:37" x14ac:dyDescent="0.2">
      <c r="Y675011" s="5"/>
      <c r="AB675011" s="5"/>
      <c r="AE675011" s="5"/>
      <c r="AH675011" s="5"/>
      <c r="AK675011" s="5"/>
    </row>
    <row r="675021" spans="25:37" x14ac:dyDescent="0.2">
      <c r="Y675021" s="251"/>
      <c r="AB675021" s="251"/>
      <c r="AE675021" s="251"/>
      <c r="AH675021" s="251"/>
      <c r="AK675021" s="251"/>
    </row>
    <row r="675136" spans="25:37" x14ac:dyDescent="0.2">
      <c r="Y675136" s="5"/>
      <c r="AB675136" s="5"/>
      <c r="AE675136" s="5"/>
      <c r="AH675136" s="5"/>
      <c r="AK675136" s="5"/>
    </row>
    <row r="675146" spans="25:37" x14ac:dyDescent="0.2">
      <c r="Y675146" s="251"/>
      <c r="AB675146" s="251"/>
      <c r="AE675146" s="251"/>
      <c r="AH675146" s="251"/>
      <c r="AK675146" s="251"/>
    </row>
    <row r="675261" spans="25:37" x14ac:dyDescent="0.2">
      <c r="Y675261" s="5"/>
      <c r="AB675261" s="5"/>
      <c r="AE675261" s="5"/>
      <c r="AH675261" s="5"/>
      <c r="AK675261" s="5"/>
    </row>
    <row r="675271" spans="25:37" x14ac:dyDescent="0.2">
      <c r="Y675271" s="251"/>
      <c r="AB675271" s="251"/>
      <c r="AE675271" s="251"/>
      <c r="AH675271" s="251"/>
      <c r="AK675271" s="251"/>
    </row>
    <row r="675386" spans="25:37" x14ac:dyDescent="0.2">
      <c r="Y675386" s="5"/>
      <c r="AB675386" s="5"/>
      <c r="AE675386" s="5"/>
      <c r="AH675386" s="5"/>
      <c r="AK675386" s="5"/>
    </row>
    <row r="675396" spans="25:37" x14ac:dyDescent="0.2">
      <c r="Y675396" s="251"/>
      <c r="AB675396" s="251"/>
      <c r="AE675396" s="251"/>
      <c r="AH675396" s="251"/>
      <c r="AK675396" s="251"/>
    </row>
    <row r="675511" spans="25:37" x14ac:dyDescent="0.2">
      <c r="Y675511" s="5"/>
      <c r="AB675511" s="5"/>
      <c r="AE675511" s="5"/>
      <c r="AH675511" s="5"/>
      <c r="AK675511" s="5"/>
    </row>
    <row r="675521" spans="25:37" x14ac:dyDescent="0.2">
      <c r="Y675521" s="251"/>
      <c r="AB675521" s="251"/>
      <c r="AE675521" s="251"/>
      <c r="AH675521" s="251"/>
      <c r="AK675521" s="251"/>
    </row>
    <row r="675636" spans="25:37" x14ac:dyDescent="0.2">
      <c r="Y675636" s="5"/>
      <c r="AB675636" s="5"/>
      <c r="AE675636" s="5"/>
      <c r="AH675636" s="5"/>
      <c r="AK675636" s="5"/>
    </row>
    <row r="675646" spans="25:37" x14ac:dyDescent="0.2">
      <c r="Y675646" s="251"/>
      <c r="AB675646" s="251"/>
      <c r="AE675646" s="251"/>
      <c r="AH675646" s="251"/>
      <c r="AK675646" s="251"/>
    </row>
    <row r="675761" spans="25:37" x14ac:dyDescent="0.2">
      <c r="Y675761" s="5"/>
      <c r="AB675761" s="5"/>
      <c r="AE675761" s="5"/>
      <c r="AH675761" s="5"/>
      <c r="AK675761" s="5"/>
    </row>
    <row r="675771" spans="25:37" x14ac:dyDescent="0.2">
      <c r="Y675771" s="251"/>
      <c r="AB675771" s="251"/>
      <c r="AE675771" s="251"/>
      <c r="AH675771" s="251"/>
      <c r="AK675771" s="251"/>
    </row>
    <row r="675886" spans="25:37" x14ac:dyDescent="0.2">
      <c r="Y675886" s="5"/>
      <c r="AB675886" s="5"/>
      <c r="AE675886" s="5"/>
      <c r="AH675886" s="5"/>
      <c r="AK675886" s="5"/>
    </row>
    <row r="675896" spans="25:37" x14ac:dyDescent="0.2">
      <c r="Y675896" s="251"/>
      <c r="AB675896" s="251"/>
      <c r="AE675896" s="251"/>
      <c r="AH675896" s="251"/>
      <c r="AK675896" s="251"/>
    </row>
    <row r="676011" spans="25:37" x14ac:dyDescent="0.2">
      <c r="Y676011" s="5"/>
      <c r="AB676011" s="5"/>
      <c r="AE676011" s="5"/>
      <c r="AH676011" s="5"/>
      <c r="AK676011" s="5"/>
    </row>
    <row r="676021" spans="25:37" x14ac:dyDescent="0.2">
      <c r="Y676021" s="251"/>
      <c r="AB676021" s="251"/>
      <c r="AE676021" s="251"/>
      <c r="AH676021" s="251"/>
      <c r="AK676021" s="251"/>
    </row>
    <row r="676136" spans="25:37" x14ac:dyDescent="0.2">
      <c r="Y676136" s="5"/>
      <c r="AB676136" s="5"/>
      <c r="AE676136" s="5"/>
      <c r="AH676136" s="5"/>
      <c r="AK676136" s="5"/>
    </row>
    <row r="676146" spans="25:37" x14ac:dyDescent="0.2">
      <c r="Y676146" s="251"/>
      <c r="AB676146" s="251"/>
      <c r="AE676146" s="251"/>
      <c r="AH676146" s="251"/>
      <c r="AK676146" s="251"/>
    </row>
    <row r="676261" spans="25:37" x14ac:dyDescent="0.2">
      <c r="Y676261" s="5"/>
      <c r="AB676261" s="5"/>
      <c r="AE676261" s="5"/>
      <c r="AH676261" s="5"/>
      <c r="AK676261" s="5"/>
    </row>
    <row r="676271" spans="25:37" x14ac:dyDescent="0.2">
      <c r="Y676271" s="251"/>
      <c r="AB676271" s="251"/>
      <c r="AE676271" s="251"/>
      <c r="AH676271" s="251"/>
      <c r="AK676271" s="251"/>
    </row>
    <row r="676386" spans="25:37" x14ac:dyDescent="0.2">
      <c r="Y676386" s="5"/>
      <c r="AB676386" s="5"/>
      <c r="AE676386" s="5"/>
      <c r="AH676386" s="5"/>
      <c r="AK676386" s="5"/>
    </row>
    <row r="676396" spans="25:37" x14ac:dyDescent="0.2">
      <c r="Y676396" s="251"/>
      <c r="AB676396" s="251"/>
      <c r="AE676396" s="251"/>
      <c r="AH676396" s="251"/>
      <c r="AK676396" s="251"/>
    </row>
    <row r="676511" spans="25:37" x14ac:dyDescent="0.2">
      <c r="Y676511" s="5"/>
      <c r="AB676511" s="5"/>
      <c r="AE676511" s="5"/>
      <c r="AH676511" s="5"/>
      <c r="AK676511" s="5"/>
    </row>
    <row r="676521" spans="25:37" x14ac:dyDescent="0.2">
      <c r="Y676521" s="251"/>
      <c r="AB676521" s="251"/>
      <c r="AE676521" s="251"/>
      <c r="AH676521" s="251"/>
      <c r="AK676521" s="251"/>
    </row>
    <row r="676636" spans="25:37" x14ac:dyDescent="0.2">
      <c r="Y676636" s="5"/>
      <c r="AB676636" s="5"/>
      <c r="AE676636" s="5"/>
      <c r="AH676636" s="5"/>
      <c r="AK676636" s="5"/>
    </row>
    <row r="676646" spans="25:37" x14ac:dyDescent="0.2">
      <c r="Y676646" s="251"/>
      <c r="AB676646" s="251"/>
      <c r="AE676646" s="251"/>
      <c r="AH676646" s="251"/>
      <c r="AK676646" s="251"/>
    </row>
    <row r="676761" spans="25:37" x14ac:dyDescent="0.2">
      <c r="Y676761" s="5"/>
      <c r="AB676761" s="5"/>
      <c r="AE676761" s="5"/>
      <c r="AH676761" s="5"/>
      <c r="AK676761" s="5"/>
    </row>
    <row r="676771" spans="25:37" x14ac:dyDescent="0.2">
      <c r="Y676771" s="251"/>
      <c r="AB676771" s="251"/>
      <c r="AE676771" s="251"/>
      <c r="AH676771" s="251"/>
      <c r="AK676771" s="251"/>
    </row>
    <row r="676886" spans="25:37" x14ac:dyDescent="0.2">
      <c r="Y676886" s="5"/>
      <c r="AB676886" s="5"/>
      <c r="AE676886" s="5"/>
      <c r="AH676886" s="5"/>
      <c r="AK676886" s="5"/>
    </row>
    <row r="676896" spans="25:37" x14ac:dyDescent="0.2">
      <c r="Y676896" s="251"/>
      <c r="AB676896" s="251"/>
      <c r="AE676896" s="251"/>
      <c r="AH676896" s="251"/>
      <c r="AK676896" s="251"/>
    </row>
    <row r="677011" spans="25:37" x14ac:dyDescent="0.2">
      <c r="Y677011" s="5"/>
      <c r="AB677011" s="5"/>
      <c r="AE677011" s="5"/>
      <c r="AH677011" s="5"/>
      <c r="AK677011" s="5"/>
    </row>
    <row r="677021" spans="25:37" x14ac:dyDescent="0.2">
      <c r="Y677021" s="251"/>
      <c r="AB677021" s="251"/>
      <c r="AE677021" s="251"/>
      <c r="AH677021" s="251"/>
      <c r="AK677021" s="251"/>
    </row>
    <row r="677136" spans="25:37" x14ac:dyDescent="0.2">
      <c r="Y677136" s="5"/>
      <c r="AB677136" s="5"/>
      <c r="AE677136" s="5"/>
      <c r="AH677136" s="5"/>
      <c r="AK677136" s="5"/>
    </row>
    <row r="677146" spans="25:37" x14ac:dyDescent="0.2">
      <c r="Y677146" s="251"/>
      <c r="AB677146" s="251"/>
      <c r="AE677146" s="251"/>
      <c r="AH677146" s="251"/>
      <c r="AK677146" s="251"/>
    </row>
    <row r="677261" spans="25:37" x14ac:dyDescent="0.2">
      <c r="Y677261" s="5"/>
      <c r="AB677261" s="5"/>
      <c r="AE677261" s="5"/>
      <c r="AH677261" s="5"/>
      <c r="AK677261" s="5"/>
    </row>
    <row r="677271" spans="25:37" x14ac:dyDescent="0.2">
      <c r="Y677271" s="251"/>
      <c r="AB677271" s="251"/>
      <c r="AE677271" s="251"/>
      <c r="AH677271" s="251"/>
      <c r="AK677271" s="251"/>
    </row>
    <row r="677386" spans="25:37" x14ac:dyDescent="0.2">
      <c r="Y677386" s="5"/>
      <c r="AB677386" s="5"/>
      <c r="AE677386" s="5"/>
      <c r="AH677386" s="5"/>
      <c r="AK677386" s="5"/>
    </row>
    <row r="677396" spans="25:37" x14ac:dyDescent="0.2">
      <c r="Y677396" s="251"/>
      <c r="AB677396" s="251"/>
      <c r="AE677396" s="251"/>
      <c r="AH677396" s="251"/>
      <c r="AK677396" s="251"/>
    </row>
    <row r="677511" spans="25:37" x14ac:dyDescent="0.2">
      <c r="Y677511" s="5"/>
      <c r="AB677511" s="5"/>
      <c r="AE677511" s="5"/>
      <c r="AH677511" s="5"/>
      <c r="AK677511" s="5"/>
    </row>
    <row r="677521" spans="25:37" x14ac:dyDescent="0.2">
      <c r="Y677521" s="251"/>
      <c r="AB677521" s="251"/>
      <c r="AE677521" s="251"/>
      <c r="AH677521" s="251"/>
      <c r="AK677521" s="251"/>
    </row>
    <row r="677636" spans="25:37" x14ac:dyDescent="0.2">
      <c r="Y677636" s="5"/>
      <c r="AB677636" s="5"/>
      <c r="AE677636" s="5"/>
      <c r="AH677636" s="5"/>
      <c r="AK677636" s="5"/>
    </row>
    <row r="677646" spans="25:37" x14ac:dyDescent="0.2">
      <c r="Y677646" s="251"/>
      <c r="AB677646" s="251"/>
      <c r="AE677646" s="251"/>
      <c r="AH677646" s="251"/>
      <c r="AK677646" s="251"/>
    </row>
    <row r="677761" spans="25:37" x14ac:dyDescent="0.2">
      <c r="Y677761" s="5"/>
      <c r="AB677761" s="5"/>
      <c r="AE677761" s="5"/>
      <c r="AH677761" s="5"/>
      <c r="AK677761" s="5"/>
    </row>
    <row r="677771" spans="25:37" x14ac:dyDescent="0.2">
      <c r="Y677771" s="251"/>
      <c r="AB677771" s="251"/>
      <c r="AE677771" s="251"/>
      <c r="AH677771" s="251"/>
      <c r="AK677771" s="251"/>
    </row>
    <row r="677886" spans="25:37" x14ac:dyDescent="0.2">
      <c r="Y677886" s="5"/>
      <c r="AB677886" s="5"/>
      <c r="AE677886" s="5"/>
      <c r="AH677886" s="5"/>
      <c r="AK677886" s="5"/>
    </row>
    <row r="677896" spans="25:37" x14ac:dyDescent="0.2">
      <c r="Y677896" s="251"/>
      <c r="AB677896" s="251"/>
      <c r="AE677896" s="251"/>
      <c r="AH677896" s="251"/>
      <c r="AK677896" s="251"/>
    </row>
    <row r="678011" spans="25:37" x14ac:dyDescent="0.2">
      <c r="Y678011" s="5"/>
      <c r="AB678011" s="5"/>
      <c r="AE678011" s="5"/>
      <c r="AH678011" s="5"/>
      <c r="AK678011" s="5"/>
    </row>
    <row r="678021" spans="25:37" x14ac:dyDescent="0.2">
      <c r="Y678021" s="251"/>
      <c r="AB678021" s="251"/>
      <c r="AE678021" s="251"/>
      <c r="AH678021" s="251"/>
      <c r="AK678021" s="251"/>
    </row>
    <row r="678136" spans="25:37" x14ac:dyDescent="0.2">
      <c r="Y678136" s="5"/>
      <c r="AB678136" s="5"/>
      <c r="AE678136" s="5"/>
      <c r="AH678136" s="5"/>
      <c r="AK678136" s="5"/>
    </row>
    <row r="678146" spans="25:37" x14ac:dyDescent="0.2">
      <c r="Y678146" s="251"/>
      <c r="AB678146" s="251"/>
      <c r="AE678146" s="251"/>
      <c r="AH678146" s="251"/>
      <c r="AK678146" s="251"/>
    </row>
    <row r="678261" spans="25:37" x14ac:dyDescent="0.2">
      <c r="Y678261" s="5"/>
      <c r="AB678261" s="5"/>
      <c r="AE678261" s="5"/>
      <c r="AH678261" s="5"/>
      <c r="AK678261" s="5"/>
    </row>
    <row r="678271" spans="25:37" x14ac:dyDescent="0.2">
      <c r="Y678271" s="251"/>
      <c r="AB678271" s="251"/>
      <c r="AE678271" s="251"/>
      <c r="AH678271" s="251"/>
      <c r="AK678271" s="251"/>
    </row>
    <row r="678386" spans="25:37" x14ac:dyDescent="0.2">
      <c r="Y678386" s="5"/>
      <c r="AB678386" s="5"/>
      <c r="AE678386" s="5"/>
      <c r="AH678386" s="5"/>
      <c r="AK678386" s="5"/>
    </row>
    <row r="678396" spans="25:37" x14ac:dyDescent="0.2">
      <c r="Y678396" s="251"/>
      <c r="AB678396" s="251"/>
      <c r="AE678396" s="251"/>
      <c r="AH678396" s="251"/>
      <c r="AK678396" s="251"/>
    </row>
    <row r="678511" spans="25:37" x14ac:dyDescent="0.2">
      <c r="Y678511" s="5"/>
      <c r="AB678511" s="5"/>
      <c r="AE678511" s="5"/>
      <c r="AH678511" s="5"/>
      <c r="AK678511" s="5"/>
    </row>
    <row r="678521" spans="25:37" x14ac:dyDescent="0.2">
      <c r="Y678521" s="251"/>
      <c r="AB678521" s="251"/>
      <c r="AE678521" s="251"/>
      <c r="AH678521" s="251"/>
      <c r="AK678521" s="251"/>
    </row>
    <row r="678636" spans="25:37" x14ac:dyDescent="0.2">
      <c r="Y678636" s="5"/>
      <c r="AB678636" s="5"/>
      <c r="AE678636" s="5"/>
      <c r="AH678636" s="5"/>
      <c r="AK678636" s="5"/>
    </row>
    <row r="678646" spans="25:37" x14ac:dyDescent="0.2">
      <c r="Y678646" s="251"/>
      <c r="AB678646" s="251"/>
      <c r="AE678646" s="251"/>
      <c r="AH678646" s="251"/>
      <c r="AK678646" s="251"/>
    </row>
    <row r="678761" spans="25:37" x14ac:dyDescent="0.2">
      <c r="Y678761" s="5"/>
      <c r="AB678761" s="5"/>
      <c r="AE678761" s="5"/>
      <c r="AH678761" s="5"/>
      <c r="AK678761" s="5"/>
    </row>
    <row r="678771" spans="25:37" x14ac:dyDescent="0.2">
      <c r="Y678771" s="251"/>
      <c r="AB678771" s="251"/>
      <c r="AE678771" s="251"/>
      <c r="AH678771" s="251"/>
      <c r="AK678771" s="251"/>
    </row>
    <row r="678886" spans="25:37" x14ac:dyDescent="0.2">
      <c r="Y678886" s="5"/>
      <c r="AB678886" s="5"/>
      <c r="AE678886" s="5"/>
      <c r="AH678886" s="5"/>
      <c r="AK678886" s="5"/>
    </row>
    <row r="678896" spans="25:37" x14ac:dyDescent="0.2">
      <c r="Y678896" s="251"/>
      <c r="AB678896" s="251"/>
      <c r="AE678896" s="251"/>
      <c r="AH678896" s="251"/>
      <c r="AK678896" s="251"/>
    </row>
    <row r="679011" spans="25:37" x14ac:dyDescent="0.2">
      <c r="Y679011" s="5"/>
      <c r="AB679011" s="5"/>
      <c r="AE679011" s="5"/>
      <c r="AH679011" s="5"/>
      <c r="AK679011" s="5"/>
    </row>
    <row r="679021" spans="25:37" x14ac:dyDescent="0.2">
      <c r="Y679021" s="251"/>
      <c r="AB679021" s="251"/>
      <c r="AE679021" s="251"/>
      <c r="AH679021" s="251"/>
      <c r="AK679021" s="251"/>
    </row>
    <row r="679136" spans="25:37" x14ac:dyDescent="0.2">
      <c r="Y679136" s="5"/>
      <c r="AB679136" s="5"/>
      <c r="AE679136" s="5"/>
      <c r="AH679136" s="5"/>
      <c r="AK679136" s="5"/>
    </row>
    <row r="679146" spans="25:37" x14ac:dyDescent="0.2">
      <c r="Y679146" s="251"/>
      <c r="AB679146" s="251"/>
      <c r="AE679146" s="251"/>
      <c r="AH679146" s="251"/>
      <c r="AK679146" s="251"/>
    </row>
    <row r="679261" spans="25:37" x14ac:dyDescent="0.2">
      <c r="Y679261" s="5"/>
      <c r="AB679261" s="5"/>
      <c r="AE679261" s="5"/>
      <c r="AH679261" s="5"/>
      <c r="AK679261" s="5"/>
    </row>
    <row r="679271" spans="25:37" x14ac:dyDescent="0.2">
      <c r="Y679271" s="251"/>
      <c r="AB679271" s="251"/>
      <c r="AE679271" s="251"/>
      <c r="AH679271" s="251"/>
      <c r="AK679271" s="251"/>
    </row>
    <row r="679386" spans="25:37" x14ac:dyDescent="0.2">
      <c r="Y679386" s="5"/>
      <c r="AB679386" s="5"/>
      <c r="AE679386" s="5"/>
      <c r="AH679386" s="5"/>
      <c r="AK679386" s="5"/>
    </row>
    <row r="679396" spans="25:37" x14ac:dyDescent="0.2">
      <c r="Y679396" s="251"/>
      <c r="AB679396" s="251"/>
      <c r="AE679396" s="251"/>
      <c r="AH679396" s="251"/>
      <c r="AK679396" s="251"/>
    </row>
    <row r="679511" spans="25:37" x14ac:dyDescent="0.2">
      <c r="Y679511" s="5"/>
      <c r="AB679511" s="5"/>
      <c r="AE679511" s="5"/>
      <c r="AH679511" s="5"/>
      <c r="AK679511" s="5"/>
    </row>
    <row r="679521" spans="25:37" x14ac:dyDescent="0.2">
      <c r="Y679521" s="251"/>
      <c r="AB679521" s="251"/>
      <c r="AE679521" s="251"/>
      <c r="AH679521" s="251"/>
      <c r="AK679521" s="251"/>
    </row>
    <row r="679636" spans="25:37" x14ac:dyDescent="0.2">
      <c r="Y679636" s="5"/>
      <c r="AB679636" s="5"/>
      <c r="AE679636" s="5"/>
      <c r="AH679636" s="5"/>
      <c r="AK679636" s="5"/>
    </row>
    <row r="679646" spans="25:37" x14ac:dyDescent="0.2">
      <c r="Y679646" s="251"/>
      <c r="AB679646" s="251"/>
      <c r="AE679646" s="251"/>
      <c r="AH679646" s="251"/>
      <c r="AK679646" s="251"/>
    </row>
    <row r="679761" spans="25:37" x14ac:dyDescent="0.2">
      <c r="Y679761" s="5"/>
      <c r="AB679761" s="5"/>
      <c r="AE679761" s="5"/>
      <c r="AH679761" s="5"/>
      <c r="AK679761" s="5"/>
    </row>
    <row r="679771" spans="25:37" x14ac:dyDescent="0.2">
      <c r="Y679771" s="251"/>
      <c r="AB679771" s="251"/>
      <c r="AE679771" s="251"/>
      <c r="AH679771" s="251"/>
      <c r="AK679771" s="251"/>
    </row>
    <row r="679886" spans="25:37" x14ac:dyDescent="0.2">
      <c r="Y679886" s="5"/>
      <c r="AB679886" s="5"/>
      <c r="AE679886" s="5"/>
      <c r="AH679886" s="5"/>
      <c r="AK679886" s="5"/>
    </row>
    <row r="679896" spans="25:37" x14ac:dyDescent="0.2">
      <c r="Y679896" s="251"/>
      <c r="AB679896" s="251"/>
      <c r="AE679896" s="251"/>
      <c r="AH679896" s="251"/>
      <c r="AK679896" s="251"/>
    </row>
    <row r="680011" spans="25:37" x14ac:dyDescent="0.2">
      <c r="Y680011" s="5"/>
      <c r="AB680011" s="5"/>
      <c r="AE680011" s="5"/>
      <c r="AH680011" s="5"/>
      <c r="AK680011" s="5"/>
    </row>
    <row r="680021" spans="25:37" x14ac:dyDescent="0.2">
      <c r="Y680021" s="251"/>
      <c r="AB680021" s="251"/>
      <c r="AE680021" s="251"/>
      <c r="AH680021" s="251"/>
      <c r="AK680021" s="251"/>
    </row>
    <row r="680136" spans="25:37" x14ac:dyDescent="0.2">
      <c r="Y680136" s="5"/>
      <c r="AB680136" s="5"/>
      <c r="AE680136" s="5"/>
      <c r="AH680136" s="5"/>
      <c r="AK680136" s="5"/>
    </row>
    <row r="680146" spans="25:37" x14ac:dyDescent="0.2">
      <c r="Y680146" s="251"/>
      <c r="AB680146" s="251"/>
      <c r="AE680146" s="251"/>
      <c r="AH680146" s="251"/>
      <c r="AK680146" s="251"/>
    </row>
    <row r="680261" spans="25:37" x14ac:dyDescent="0.2">
      <c r="Y680261" s="5"/>
      <c r="AB680261" s="5"/>
      <c r="AE680261" s="5"/>
      <c r="AH680261" s="5"/>
      <c r="AK680261" s="5"/>
    </row>
    <row r="680271" spans="25:37" x14ac:dyDescent="0.2">
      <c r="Y680271" s="251"/>
      <c r="AB680271" s="251"/>
      <c r="AE680271" s="251"/>
      <c r="AH680271" s="251"/>
      <c r="AK680271" s="251"/>
    </row>
    <row r="680386" spans="25:37" x14ac:dyDescent="0.2">
      <c r="Y680386" s="5"/>
      <c r="AB680386" s="5"/>
      <c r="AE680386" s="5"/>
      <c r="AH680386" s="5"/>
      <c r="AK680386" s="5"/>
    </row>
    <row r="680396" spans="25:37" x14ac:dyDescent="0.2">
      <c r="Y680396" s="251"/>
      <c r="AB680396" s="251"/>
      <c r="AE680396" s="251"/>
      <c r="AH680396" s="251"/>
      <c r="AK680396" s="251"/>
    </row>
    <row r="680511" spans="25:37" x14ac:dyDescent="0.2">
      <c r="Y680511" s="5"/>
      <c r="AB680511" s="5"/>
      <c r="AE680511" s="5"/>
      <c r="AH680511" s="5"/>
      <c r="AK680511" s="5"/>
    </row>
    <row r="680521" spans="25:37" x14ac:dyDescent="0.2">
      <c r="Y680521" s="251"/>
      <c r="AB680521" s="251"/>
      <c r="AE680521" s="251"/>
      <c r="AH680521" s="251"/>
      <c r="AK680521" s="251"/>
    </row>
    <row r="680636" spans="25:37" x14ac:dyDescent="0.2">
      <c r="Y680636" s="5"/>
      <c r="AB680636" s="5"/>
      <c r="AE680636" s="5"/>
      <c r="AH680636" s="5"/>
      <c r="AK680636" s="5"/>
    </row>
    <row r="680646" spans="25:37" x14ac:dyDescent="0.2">
      <c r="Y680646" s="251"/>
      <c r="AB680646" s="251"/>
      <c r="AE680646" s="251"/>
      <c r="AH680646" s="251"/>
      <c r="AK680646" s="251"/>
    </row>
    <row r="680761" spans="25:37" x14ac:dyDescent="0.2">
      <c r="Y680761" s="5"/>
      <c r="AB680761" s="5"/>
      <c r="AE680761" s="5"/>
      <c r="AH680761" s="5"/>
      <c r="AK680761" s="5"/>
    </row>
    <row r="680771" spans="25:37" x14ac:dyDescent="0.2">
      <c r="Y680771" s="251"/>
      <c r="AB680771" s="251"/>
      <c r="AE680771" s="251"/>
      <c r="AH680771" s="251"/>
      <c r="AK680771" s="251"/>
    </row>
    <row r="680886" spans="25:37" x14ac:dyDescent="0.2">
      <c r="Y680886" s="5"/>
      <c r="AB680886" s="5"/>
      <c r="AE680886" s="5"/>
      <c r="AH680886" s="5"/>
      <c r="AK680886" s="5"/>
    </row>
    <row r="680896" spans="25:37" x14ac:dyDescent="0.2">
      <c r="Y680896" s="251"/>
      <c r="AB680896" s="251"/>
      <c r="AE680896" s="251"/>
      <c r="AH680896" s="251"/>
      <c r="AK680896" s="251"/>
    </row>
    <row r="681011" spans="25:37" x14ac:dyDescent="0.2">
      <c r="Y681011" s="5"/>
      <c r="AB681011" s="5"/>
      <c r="AE681011" s="5"/>
      <c r="AH681011" s="5"/>
      <c r="AK681011" s="5"/>
    </row>
    <row r="681021" spans="25:37" x14ac:dyDescent="0.2">
      <c r="Y681021" s="251"/>
      <c r="AB681021" s="251"/>
      <c r="AE681021" s="251"/>
      <c r="AH681021" s="251"/>
      <c r="AK681021" s="251"/>
    </row>
    <row r="681136" spans="25:37" x14ac:dyDescent="0.2">
      <c r="Y681136" s="5"/>
      <c r="AB681136" s="5"/>
      <c r="AE681136" s="5"/>
      <c r="AH681136" s="5"/>
      <c r="AK681136" s="5"/>
    </row>
    <row r="681146" spans="25:37" x14ac:dyDescent="0.2">
      <c r="Y681146" s="251"/>
      <c r="AB681146" s="251"/>
      <c r="AE681146" s="251"/>
      <c r="AH681146" s="251"/>
      <c r="AK681146" s="251"/>
    </row>
    <row r="681261" spans="25:37" x14ac:dyDescent="0.2">
      <c r="Y681261" s="5"/>
      <c r="AB681261" s="5"/>
      <c r="AE681261" s="5"/>
      <c r="AH681261" s="5"/>
      <c r="AK681261" s="5"/>
    </row>
    <row r="681271" spans="25:37" x14ac:dyDescent="0.2">
      <c r="Y681271" s="251"/>
      <c r="AB681271" s="251"/>
      <c r="AE681271" s="251"/>
      <c r="AH681271" s="251"/>
      <c r="AK681271" s="251"/>
    </row>
    <row r="681386" spans="25:37" x14ac:dyDescent="0.2">
      <c r="Y681386" s="5"/>
      <c r="AB681386" s="5"/>
      <c r="AE681386" s="5"/>
      <c r="AH681386" s="5"/>
      <c r="AK681386" s="5"/>
    </row>
    <row r="681396" spans="25:37" x14ac:dyDescent="0.2">
      <c r="Y681396" s="251"/>
      <c r="AB681396" s="251"/>
      <c r="AE681396" s="251"/>
      <c r="AH681396" s="251"/>
      <c r="AK681396" s="251"/>
    </row>
    <row r="681511" spans="25:37" x14ac:dyDescent="0.2">
      <c r="Y681511" s="5"/>
      <c r="AB681511" s="5"/>
      <c r="AE681511" s="5"/>
      <c r="AH681511" s="5"/>
      <c r="AK681511" s="5"/>
    </row>
    <row r="681521" spans="25:37" x14ac:dyDescent="0.2">
      <c r="Y681521" s="251"/>
      <c r="AB681521" s="251"/>
      <c r="AE681521" s="251"/>
      <c r="AH681521" s="251"/>
      <c r="AK681521" s="251"/>
    </row>
    <row r="681636" spans="25:37" x14ac:dyDescent="0.2">
      <c r="Y681636" s="5"/>
      <c r="AB681636" s="5"/>
      <c r="AE681636" s="5"/>
      <c r="AH681636" s="5"/>
      <c r="AK681636" s="5"/>
    </row>
    <row r="681646" spans="25:37" x14ac:dyDescent="0.2">
      <c r="Y681646" s="251"/>
      <c r="AB681646" s="251"/>
      <c r="AE681646" s="251"/>
      <c r="AH681646" s="251"/>
      <c r="AK681646" s="251"/>
    </row>
    <row r="681761" spans="25:37" x14ac:dyDescent="0.2">
      <c r="Y681761" s="5"/>
      <c r="AB681761" s="5"/>
      <c r="AE681761" s="5"/>
      <c r="AH681761" s="5"/>
      <c r="AK681761" s="5"/>
    </row>
    <row r="681771" spans="25:37" x14ac:dyDescent="0.2">
      <c r="Y681771" s="251"/>
      <c r="AB681771" s="251"/>
      <c r="AE681771" s="251"/>
      <c r="AH681771" s="251"/>
      <c r="AK681771" s="251"/>
    </row>
    <row r="681886" spans="25:37" x14ac:dyDescent="0.2">
      <c r="Y681886" s="5"/>
      <c r="AB681886" s="5"/>
      <c r="AE681886" s="5"/>
      <c r="AH681886" s="5"/>
      <c r="AK681886" s="5"/>
    </row>
    <row r="681896" spans="25:37" x14ac:dyDescent="0.2">
      <c r="Y681896" s="251"/>
      <c r="AB681896" s="251"/>
      <c r="AE681896" s="251"/>
      <c r="AH681896" s="251"/>
      <c r="AK681896" s="251"/>
    </row>
    <row r="682011" spans="25:37" x14ac:dyDescent="0.2">
      <c r="Y682011" s="5"/>
      <c r="AB682011" s="5"/>
      <c r="AE682011" s="5"/>
      <c r="AH682011" s="5"/>
      <c r="AK682011" s="5"/>
    </row>
    <row r="682021" spans="25:37" x14ac:dyDescent="0.2">
      <c r="Y682021" s="251"/>
      <c r="AB682021" s="251"/>
      <c r="AE682021" s="251"/>
      <c r="AH682021" s="251"/>
      <c r="AK682021" s="251"/>
    </row>
    <row r="682136" spans="25:37" x14ac:dyDescent="0.2">
      <c r="Y682136" s="5"/>
      <c r="AB682136" s="5"/>
      <c r="AE682136" s="5"/>
      <c r="AH682136" s="5"/>
      <c r="AK682136" s="5"/>
    </row>
    <row r="682146" spans="25:37" x14ac:dyDescent="0.2">
      <c r="Y682146" s="251"/>
      <c r="AB682146" s="251"/>
      <c r="AE682146" s="251"/>
      <c r="AH682146" s="251"/>
      <c r="AK682146" s="251"/>
    </row>
    <row r="682261" spans="25:37" x14ac:dyDescent="0.2">
      <c r="Y682261" s="5"/>
      <c r="AB682261" s="5"/>
      <c r="AE682261" s="5"/>
      <c r="AH682261" s="5"/>
      <c r="AK682261" s="5"/>
    </row>
    <row r="682271" spans="25:37" x14ac:dyDescent="0.2">
      <c r="Y682271" s="251"/>
      <c r="AB682271" s="251"/>
      <c r="AE682271" s="251"/>
      <c r="AH682271" s="251"/>
      <c r="AK682271" s="251"/>
    </row>
    <row r="682386" spans="25:37" x14ac:dyDescent="0.2">
      <c r="Y682386" s="5"/>
      <c r="AB682386" s="5"/>
      <c r="AE682386" s="5"/>
      <c r="AH682386" s="5"/>
      <c r="AK682386" s="5"/>
    </row>
    <row r="682396" spans="25:37" x14ac:dyDescent="0.2">
      <c r="Y682396" s="251"/>
      <c r="AB682396" s="251"/>
      <c r="AE682396" s="251"/>
      <c r="AH682396" s="251"/>
      <c r="AK682396" s="251"/>
    </row>
    <row r="682511" spans="25:37" x14ac:dyDescent="0.2">
      <c r="Y682511" s="5"/>
      <c r="AB682511" s="5"/>
      <c r="AE682511" s="5"/>
      <c r="AH682511" s="5"/>
      <c r="AK682511" s="5"/>
    </row>
    <row r="682521" spans="25:37" x14ac:dyDescent="0.2">
      <c r="Y682521" s="251"/>
      <c r="AB682521" s="251"/>
      <c r="AE682521" s="251"/>
      <c r="AH682521" s="251"/>
      <c r="AK682521" s="251"/>
    </row>
    <row r="682636" spans="25:37" x14ac:dyDescent="0.2">
      <c r="Y682636" s="5"/>
      <c r="AB682636" s="5"/>
      <c r="AE682636" s="5"/>
      <c r="AH682636" s="5"/>
      <c r="AK682636" s="5"/>
    </row>
    <row r="682646" spans="25:37" x14ac:dyDescent="0.2">
      <c r="Y682646" s="251"/>
      <c r="AB682646" s="251"/>
      <c r="AE682646" s="251"/>
      <c r="AH682646" s="251"/>
      <c r="AK682646" s="251"/>
    </row>
    <row r="682761" spans="25:37" x14ac:dyDescent="0.2">
      <c r="Y682761" s="5"/>
      <c r="AB682761" s="5"/>
      <c r="AE682761" s="5"/>
      <c r="AH682761" s="5"/>
      <c r="AK682761" s="5"/>
    </row>
    <row r="682771" spans="25:37" x14ac:dyDescent="0.2">
      <c r="Y682771" s="251"/>
      <c r="AB682771" s="251"/>
      <c r="AE682771" s="251"/>
      <c r="AH682771" s="251"/>
      <c r="AK682771" s="251"/>
    </row>
    <row r="682886" spans="25:37" x14ac:dyDescent="0.2">
      <c r="Y682886" s="5"/>
      <c r="AB682886" s="5"/>
      <c r="AE682886" s="5"/>
      <c r="AH682886" s="5"/>
      <c r="AK682886" s="5"/>
    </row>
    <row r="682896" spans="25:37" x14ac:dyDescent="0.2">
      <c r="Y682896" s="251"/>
      <c r="AB682896" s="251"/>
      <c r="AE682896" s="251"/>
      <c r="AH682896" s="251"/>
      <c r="AK682896" s="251"/>
    </row>
    <row r="683011" spans="25:37" x14ac:dyDescent="0.2">
      <c r="Y683011" s="5"/>
      <c r="AB683011" s="5"/>
      <c r="AE683011" s="5"/>
      <c r="AH683011" s="5"/>
      <c r="AK683011" s="5"/>
    </row>
    <row r="683021" spans="25:37" x14ac:dyDescent="0.2">
      <c r="Y683021" s="251"/>
      <c r="AB683021" s="251"/>
      <c r="AE683021" s="251"/>
      <c r="AH683021" s="251"/>
      <c r="AK683021" s="251"/>
    </row>
    <row r="683136" spans="25:37" x14ac:dyDescent="0.2">
      <c r="Y683136" s="5"/>
      <c r="AB683136" s="5"/>
      <c r="AE683136" s="5"/>
      <c r="AH683136" s="5"/>
      <c r="AK683136" s="5"/>
    </row>
    <row r="683146" spans="25:37" x14ac:dyDescent="0.2">
      <c r="Y683146" s="251"/>
      <c r="AB683146" s="251"/>
      <c r="AE683146" s="251"/>
      <c r="AH683146" s="251"/>
      <c r="AK683146" s="251"/>
    </row>
    <row r="683261" spans="25:37" x14ac:dyDescent="0.2">
      <c r="Y683261" s="5"/>
      <c r="AB683261" s="5"/>
      <c r="AE683261" s="5"/>
      <c r="AH683261" s="5"/>
      <c r="AK683261" s="5"/>
    </row>
    <row r="683271" spans="25:37" x14ac:dyDescent="0.2">
      <c r="Y683271" s="251"/>
      <c r="AB683271" s="251"/>
      <c r="AE683271" s="251"/>
      <c r="AH683271" s="251"/>
      <c r="AK683271" s="251"/>
    </row>
    <row r="683386" spans="25:37" x14ac:dyDescent="0.2">
      <c r="Y683386" s="5"/>
      <c r="AB683386" s="5"/>
      <c r="AE683386" s="5"/>
      <c r="AH683386" s="5"/>
      <c r="AK683386" s="5"/>
    </row>
    <row r="683396" spans="25:37" x14ac:dyDescent="0.2">
      <c r="Y683396" s="251"/>
      <c r="AB683396" s="251"/>
      <c r="AE683396" s="251"/>
      <c r="AH683396" s="251"/>
      <c r="AK683396" s="251"/>
    </row>
    <row r="683511" spans="25:37" x14ac:dyDescent="0.2">
      <c r="Y683511" s="5"/>
      <c r="AB683511" s="5"/>
      <c r="AE683511" s="5"/>
      <c r="AH683511" s="5"/>
      <c r="AK683511" s="5"/>
    </row>
    <row r="683521" spans="25:37" x14ac:dyDescent="0.2">
      <c r="Y683521" s="251"/>
      <c r="AB683521" s="251"/>
      <c r="AE683521" s="251"/>
      <c r="AH683521" s="251"/>
      <c r="AK683521" s="251"/>
    </row>
    <row r="683636" spans="25:37" x14ac:dyDescent="0.2">
      <c r="Y683636" s="5"/>
      <c r="AB683636" s="5"/>
      <c r="AE683636" s="5"/>
      <c r="AH683636" s="5"/>
      <c r="AK683636" s="5"/>
    </row>
    <row r="683646" spans="25:37" x14ac:dyDescent="0.2">
      <c r="Y683646" s="251"/>
      <c r="AB683646" s="251"/>
      <c r="AE683646" s="251"/>
      <c r="AH683646" s="251"/>
      <c r="AK683646" s="251"/>
    </row>
    <row r="683761" spans="25:37" x14ac:dyDescent="0.2">
      <c r="Y683761" s="5"/>
      <c r="AB683761" s="5"/>
      <c r="AE683761" s="5"/>
      <c r="AH683761" s="5"/>
      <c r="AK683761" s="5"/>
    </row>
    <row r="683771" spans="25:37" x14ac:dyDescent="0.2">
      <c r="Y683771" s="251"/>
      <c r="AB683771" s="251"/>
      <c r="AE683771" s="251"/>
      <c r="AH683771" s="251"/>
      <c r="AK683771" s="251"/>
    </row>
    <row r="683886" spans="25:37" x14ac:dyDescent="0.2">
      <c r="Y683886" s="5"/>
      <c r="AB683886" s="5"/>
      <c r="AE683886" s="5"/>
      <c r="AH683886" s="5"/>
      <c r="AK683886" s="5"/>
    </row>
    <row r="683896" spans="25:37" x14ac:dyDescent="0.2">
      <c r="Y683896" s="251"/>
      <c r="AB683896" s="251"/>
      <c r="AE683896" s="251"/>
      <c r="AH683896" s="251"/>
      <c r="AK683896" s="251"/>
    </row>
    <row r="684011" spans="25:37" x14ac:dyDescent="0.2">
      <c r="Y684011" s="5"/>
      <c r="AB684011" s="5"/>
      <c r="AE684011" s="5"/>
      <c r="AH684011" s="5"/>
      <c r="AK684011" s="5"/>
    </row>
    <row r="684021" spans="25:37" x14ac:dyDescent="0.2">
      <c r="Y684021" s="251"/>
      <c r="AB684021" s="251"/>
      <c r="AE684021" s="251"/>
      <c r="AH684021" s="251"/>
      <c r="AK684021" s="251"/>
    </row>
    <row r="684136" spans="25:37" x14ac:dyDescent="0.2">
      <c r="Y684136" s="5"/>
      <c r="AB684136" s="5"/>
      <c r="AE684136" s="5"/>
      <c r="AH684136" s="5"/>
      <c r="AK684136" s="5"/>
    </row>
    <row r="684146" spans="25:37" x14ac:dyDescent="0.2">
      <c r="Y684146" s="251"/>
      <c r="AB684146" s="251"/>
      <c r="AE684146" s="251"/>
      <c r="AH684146" s="251"/>
      <c r="AK684146" s="251"/>
    </row>
    <row r="684261" spans="25:37" x14ac:dyDescent="0.2">
      <c r="Y684261" s="5"/>
      <c r="AB684261" s="5"/>
      <c r="AE684261" s="5"/>
      <c r="AH684261" s="5"/>
      <c r="AK684261" s="5"/>
    </row>
    <row r="684271" spans="25:37" x14ac:dyDescent="0.2">
      <c r="Y684271" s="251"/>
      <c r="AB684271" s="251"/>
      <c r="AE684271" s="251"/>
      <c r="AH684271" s="251"/>
      <c r="AK684271" s="251"/>
    </row>
    <row r="684386" spans="25:37" x14ac:dyDescent="0.2">
      <c r="Y684386" s="5"/>
      <c r="AB684386" s="5"/>
      <c r="AE684386" s="5"/>
      <c r="AH684386" s="5"/>
      <c r="AK684386" s="5"/>
    </row>
    <row r="684396" spans="25:37" x14ac:dyDescent="0.2">
      <c r="Y684396" s="251"/>
      <c r="AB684396" s="251"/>
      <c r="AE684396" s="251"/>
      <c r="AH684396" s="251"/>
      <c r="AK684396" s="251"/>
    </row>
    <row r="684511" spans="25:37" x14ac:dyDescent="0.2">
      <c r="Y684511" s="5"/>
      <c r="AB684511" s="5"/>
      <c r="AE684511" s="5"/>
      <c r="AH684511" s="5"/>
      <c r="AK684511" s="5"/>
    </row>
    <row r="684521" spans="25:37" x14ac:dyDescent="0.2">
      <c r="Y684521" s="251"/>
      <c r="AB684521" s="251"/>
      <c r="AE684521" s="251"/>
      <c r="AH684521" s="251"/>
      <c r="AK684521" s="251"/>
    </row>
    <row r="684636" spans="25:37" x14ac:dyDescent="0.2">
      <c r="Y684636" s="5"/>
      <c r="AB684636" s="5"/>
      <c r="AE684636" s="5"/>
      <c r="AH684636" s="5"/>
      <c r="AK684636" s="5"/>
    </row>
    <row r="684646" spans="25:37" x14ac:dyDescent="0.2">
      <c r="Y684646" s="251"/>
      <c r="AB684646" s="251"/>
      <c r="AE684646" s="251"/>
      <c r="AH684646" s="251"/>
      <c r="AK684646" s="251"/>
    </row>
    <row r="684761" spans="25:37" x14ac:dyDescent="0.2">
      <c r="Y684761" s="5"/>
      <c r="AB684761" s="5"/>
      <c r="AE684761" s="5"/>
      <c r="AH684761" s="5"/>
      <c r="AK684761" s="5"/>
    </row>
    <row r="684771" spans="25:37" x14ac:dyDescent="0.2">
      <c r="Y684771" s="251"/>
      <c r="AB684771" s="251"/>
      <c r="AE684771" s="251"/>
      <c r="AH684771" s="251"/>
      <c r="AK684771" s="251"/>
    </row>
    <row r="684886" spans="25:37" x14ac:dyDescent="0.2">
      <c r="Y684886" s="5"/>
      <c r="AB684886" s="5"/>
      <c r="AE684886" s="5"/>
      <c r="AH684886" s="5"/>
      <c r="AK684886" s="5"/>
    </row>
    <row r="684896" spans="25:37" x14ac:dyDescent="0.2">
      <c r="Y684896" s="251"/>
      <c r="AB684896" s="251"/>
      <c r="AE684896" s="251"/>
      <c r="AH684896" s="251"/>
      <c r="AK684896" s="251"/>
    </row>
    <row r="685011" spans="25:37" x14ac:dyDescent="0.2">
      <c r="Y685011" s="5"/>
      <c r="AB685011" s="5"/>
      <c r="AE685011" s="5"/>
      <c r="AH685011" s="5"/>
      <c r="AK685011" s="5"/>
    </row>
    <row r="685021" spans="25:37" x14ac:dyDescent="0.2">
      <c r="Y685021" s="251"/>
      <c r="AB685021" s="251"/>
      <c r="AE685021" s="251"/>
      <c r="AH685021" s="251"/>
      <c r="AK685021" s="251"/>
    </row>
    <row r="685136" spans="25:37" x14ac:dyDescent="0.2">
      <c r="Y685136" s="5"/>
      <c r="AB685136" s="5"/>
      <c r="AE685136" s="5"/>
      <c r="AH685136" s="5"/>
      <c r="AK685136" s="5"/>
    </row>
    <row r="685146" spans="25:37" x14ac:dyDescent="0.2">
      <c r="Y685146" s="251"/>
      <c r="AB685146" s="251"/>
      <c r="AE685146" s="251"/>
      <c r="AH685146" s="251"/>
      <c r="AK685146" s="251"/>
    </row>
    <row r="685261" spans="25:37" x14ac:dyDescent="0.2">
      <c r="Y685261" s="5"/>
      <c r="AB685261" s="5"/>
      <c r="AE685261" s="5"/>
      <c r="AH685261" s="5"/>
      <c r="AK685261" s="5"/>
    </row>
    <row r="685271" spans="25:37" x14ac:dyDescent="0.2">
      <c r="Y685271" s="251"/>
      <c r="AB685271" s="251"/>
      <c r="AE685271" s="251"/>
      <c r="AH685271" s="251"/>
      <c r="AK685271" s="251"/>
    </row>
    <row r="685386" spans="25:37" x14ac:dyDescent="0.2">
      <c r="Y685386" s="5"/>
      <c r="AB685386" s="5"/>
      <c r="AE685386" s="5"/>
      <c r="AH685386" s="5"/>
      <c r="AK685386" s="5"/>
    </row>
    <row r="685396" spans="25:37" x14ac:dyDescent="0.2">
      <c r="Y685396" s="251"/>
      <c r="AB685396" s="251"/>
      <c r="AE685396" s="251"/>
      <c r="AH685396" s="251"/>
      <c r="AK685396" s="251"/>
    </row>
    <row r="685511" spans="25:37" x14ac:dyDescent="0.2">
      <c r="Y685511" s="5"/>
      <c r="AB685511" s="5"/>
      <c r="AE685511" s="5"/>
      <c r="AH685511" s="5"/>
      <c r="AK685511" s="5"/>
    </row>
    <row r="685521" spans="25:37" x14ac:dyDescent="0.2">
      <c r="Y685521" s="251"/>
      <c r="AB685521" s="251"/>
      <c r="AE685521" s="251"/>
      <c r="AH685521" s="251"/>
      <c r="AK685521" s="251"/>
    </row>
    <row r="685636" spans="25:37" x14ac:dyDescent="0.2">
      <c r="Y685636" s="5"/>
      <c r="AB685636" s="5"/>
      <c r="AE685636" s="5"/>
      <c r="AH685636" s="5"/>
      <c r="AK685636" s="5"/>
    </row>
    <row r="685646" spans="25:37" x14ac:dyDescent="0.2">
      <c r="Y685646" s="251"/>
      <c r="AB685646" s="251"/>
      <c r="AE685646" s="251"/>
      <c r="AH685646" s="251"/>
      <c r="AK685646" s="251"/>
    </row>
    <row r="685761" spans="25:37" x14ac:dyDescent="0.2">
      <c r="Y685761" s="5"/>
      <c r="AB685761" s="5"/>
      <c r="AE685761" s="5"/>
      <c r="AH685761" s="5"/>
      <c r="AK685761" s="5"/>
    </row>
    <row r="685771" spans="25:37" x14ac:dyDescent="0.2">
      <c r="Y685771" s="251"/>
      <c r="AB685771" s="251"/>
      <c r="AE685771" s="251"/>
      <c r="AH685771" s="251"/>
      <c r="AK685771" s="251"/>
    </row>
    <row r="685886" spans="25:37" x14ac:dyDescent="0.2">
      <c r="Y685886" s="5"/>
      <c r="AB685886" s="5"/>
      <c r="AE685886" s="5"/>
      <c r="AH685886" s="5"/>
      <c r="AK685886" s="5"/>
    </row>
    <row r="685896" spans="25:37" x14ac:dyDescent="0.2">
      <c r="Y685896" s="251"/>
      <c r="AB685896" s="251"/>
      <c r="AE685896" s="251"/>
      <c r="AH685896" s="251"/>
      <c r="AK685896" s="251"/>
    </row>
    <row r="686011" spans="25:37" x14ac:dyDescent="0.2">
      <c r="Y686011" s="5"/>
      <c r="AB686011" s="5"/>
      <c r="AE686011" s="5"/>
      <c r="AH686011" s="5"/>
      <c r="AK686011" s="5"/>
    </row>
    <row r="686021" spans="25:37" x14ac:dyDescent="0.2">
      <c r="Y686021" s="251"/>
      <c r="AB686021" s="251"/>
      <c r="AE686021" s="251"/>
      <c r="AH686021" s="251"/>
      <c r="AK686021" s="251"/>
    </row>
    <row r="686136" spans="25:37" x14ac:dyDescent="0.2">
      <c r="Y686136" s="5"/>
      <c r="AB686136" s="5"/>
      <c r="AE686136" s="5"/>
      <c r="AH686136" s="5"/>
      <c r="AK686136" s="5"/>
    </row>
    <row r="686146" spans="25:37" x14ac:dyDescent="0.2">
      <c r="Y686146" s="251"/>
      <c r="AB686146" s="251"/>
      <c r="AE686146" s="251"/>
      <c r="AH686146" s="251"/>
      <c r="AK686146" s="251"/>
    </row>
    <row r="686261" spans="25:37" x14ac:dyDescent="0.2">
      <c r="Y686261" s="5"/>
      <c r="AB686261" s="5"/>
      <c r="AE686261" s="5"/>
      <c r="AH686261" s="5"/>
      <c r="AK686261" s="5"/>
    </row>
    <row r="686271" spans="25:37" x14ac:dyDescent="0.2">
      <c r="Y686271" s="251"/>
      <c r="AB686271" s="251"/>
      <c r="AE686271" s="251"/>
      <c r="AH686271" s="251"/>
      <c r="AK686271" s="251"/>
    </row>
    <row r="686386" spans="25:37" x14ac:dyDescent="0.2">
      <c r="Y686386" s="5"/>
      <c r="AB686386" s="5"/>
      <c r="AE686386" s="5"/>
      <c r="AH686386" s="5"/>
      <c r="AK686386" s="5"/>
    </row>
    <row r="686396" spans="25:37" x14ac:dyDescent="0.2">
      <c r="Y686396" s="251"/>
      <c r="AB686396" s="251"/>
      <c r="AE686396" s="251"/>
      <c r="AH686396" s="251"/>
      <c r="AK686396" s="251"/>
    </row>
    <row r="686511" spans="25:37" x14ac:dyDescent="0.2">
      <c r="Y686511" s="5"/>
      <c r="AB686511" s="5"/>
      <c r="AE686511" s="5"/>
      <c r="AH686511" s="5"/>
      <c r="AK686511" s="5"/>
    </row>
    <row r="686521" spans="25:37" x14ac:dyDescent="0.2">
      <c r="Y686521" s="251"/>
      <c r="AB686521" s="251"/>
      <c r="AE686521" s="251"/>
      <c r="AH686521" s="251"/>
      <c r="AK686521" s="251"/>
    </row>
    <row r="686636" spans="25:37" x14ac:dyDescent="0.2">
      <c r="Y686636" s="5"/>
      <c r="AB686636" s="5"/>
      <c r="AE686636" s="5"/>
      <c r="AH686636" s="5"/>
      <c r="AK686636" s="5"/>
    </row>
    <row r="686646" spans="25:37" x14ac:dyDescent="0.2">
      <c r="Y686646" s="251"/>
      <c r="AB686646" s="251"/>
      <c r="AE686646" s="251"/>
      <c r="AH686646" s="251"/>
      <c r="AK686646" s="251"/>
    </row>
    <row r="686761" spans="25:37" x14ac:dyDescent="0.2">
      <c r="Y686761" s="5"/>
      <c r="AB686761" s="5"/>
      <c r="AE686761" s="5"/>
      <c r="AH686761" s="5"/>
      <c r="AK686761" s="5"/>
    </row>
    <row r="686771" spans="25:37" x14ac:dyDescent="0.2">
      <c r="Y686771" s="251"/>
      <c r="AB686771" s="251"/>
      <c r="AE686771" s="251"/>
      <c r="AH686771" s="251"/>
      <c r="AK686771" s="251"/>
    </row>
    <row r="686886" spans="25:37" x14ac:dyDescent="0.2">
      <c r="Y686886" s="5"/>
      <c r="AB686886" s="5"/>
      <c r="AE686886" s="5"/>
      <c r="AH686886" s="5"/>
      <c r="AK686886" s="5"/>
    </row>
    <row r="686896" spans="25:37" x14ac:dyDescent="0.2">
      <c r="Y686896" s="251"/>
      <c r="AB686896" s="251"/>
      <c r="AE686896" s="251"/>
      <c r="AH686896" s="251"/>
      <c r="AK686896" s="251"/>
    </row>
    <row r="687011" spans="25:37" x14ac:dyDescent="0.2">
      <c r="Y687011" s="5"/>
      <c r="AB687011" s="5"/>
      <c r="AE687011" s="5"/>
      <c r="AH687011" s="5"/>
      <c r="AK687011" s="5"/>
    </row>
    <row r="687021" spans="25:37" x14ac:dyDescent="0.2">
      <c r="Y687021" s="251"/>
      <c r="AB687021" s="251"/>
      <c r="AE687021" s="251"/>
      <c r="AH687021" s="251"/>
      <c r="AK687021" s="251"/>
    </row>
    <row r="687136" spans="25:37" x14ac:dyDescent="0.2">
      <c r="Y687136" s="5"/>
      <c r="AB687136" s="5"/>
      <c r="AE687136" s="5"/>
      <c r="AH687136" s="5"/>
      <c r="AK687136" s="5"/>
    </row>
    <row r="687146" spans="25:37" x14ac:dyDescent="0.2">
      <c r="Y687146" s="251"/>
      <c r="AB687146" s="251"/>
      <c r="AE687146" s="251"/>
      <c r="AH687146" s="251"/>
      <c r="AK687146" s="251"/>
    </row>
    <row r="687261" spans="25:37" x14ac:dyDescent="0.2">
      <c r="Y687261" s="5"/>
      <c r="AB687261" s="5"/>
      <c r="AE687261" s="5"/>
      <c r="AH687261" s="5"/>
      <c r="AK687261" s="5"/>
    </row>
    <row r="687271" spans="25:37" x14ac:dyDescent="0.2">
      <c r="Y687271" s="251"/>
      <c r="AB687271" s="251"/>
      <c r="AE687271" s="251"/>
      <c r="AH687271" s="251"/>
      <c r="AK687271" s="251"/>
    </row>
    <row r="687386" spans="25:37" x14ac:dyDescent="0.2">
      <c r="Y687386" s="5"/>
      <c r="AB687386" s="5"/>
      <c r="AE687386" s="5"/>
      <c r="AH687386" s="5"/>
      <c r="AK687386" s="5"/>
    </row>
    <row r="687396" spans="25:37" x14ac:dyDescent="0.2">
      <c r="Y687396" s="251"/>
      <c r="AB687396" s="251"/>
      <c r="AE687396" s="251"/>
      <c r="AH687396" s="251"/>
      <c r="AK687396" s="251"/>
    </row>
    <row r="687511" spans="25:37" x14ac:dyDescent="0.2">
      <c r="Y687511" s="5"/>
      <c r="AB687511" s="5"/>
      <c r="AE687511" s="5"/>
      <c r="AH687511" s="5"/>
      <c r="AK687511" s="5"/>
    </row>
    <row r="687521" spans="25:37" x14ac:dyDescent="0.2">
      <c r="Y687521" s="251"/>
      <c r="AB687521" s="251"/>
      <c r="AE687521" s="251"/>
      <c r="AH687521" s="251"/>
      <c r="AK687521" s="251"/>
    </row>
    <row r="687636" spans="25:37" x14ac:dyDescent="0.2">
      <c r="Y687636" s="5"/>
      <c r="AB687636" s="5"/>
      <c r="AE687636" s="5"/>
      <c r="AH687636" s="5"/>
      <c r="AK687636" s="5"/>
    </row>
    <row r="687646" spans="25:37" x14ac:dyDescent="0.2">
      <c r="Y687646" s="251"/>
      <c r="AB687646" s="251"/>
      <c r="AE687646" s="251"/>
      <c r="AH687646" s="251"/>
      <c r="AK687646" s="251"/>
    </row>
    <row r="687761" spans="25:37" x14ac:dyDescent="0.2">
      <c r="Y687761" s="5"/>
      <c r="AB687761" s="5"/>
      <c r="AE687761" s="5"/>
      <c r="AH687761" s="5"/>
      <c r="AK687761" s="5"/>
    </row>
    <row r="687771" spans="25:37" x14ac:dyDescent="0.2">
      <c r="Y687771" s="251"/>
      <c r="AB687771" s="251"/>
      <c r="AE687771" s="251"/>
      <c r="AH687771" s="251"/>
      <c r="AK687771" s="251"/>
    </row>
    <row r="687886" spans="25:37" x14ac:dyDescent="0.2">
      <c r="Y687886" s="5"/>
      <c r="AB687886" s="5"/>
      <c r="AE687886" s="5"/>
      <c r="AH687886" s="5"/>
      <c r="AK687886" s="5"/>
    </row>
    <row r="687896" spans="25:37" x14ac:dyDescent="0.2">
      <c r="Y687896" s="251"/>
      <c r="AB687896" s="251"/>
      <c r="AE687896" s="251"/>
      <c r="AH687896" s="251"/>
      <c r="AK687896" s="251"/>
    </row>
    <row r="688011" spans="25:37" x14ac:dyDescent="0.2">
      <c r="Y688011" s="5"/>
      <c r="AB688011" s="5"/>
      <c r="AE688011" s="5"/>
      <c r="AH688011" s="5"/>
      <c r="AK688011" s="5"/>
    </row>
    <row r="688021" spans="25:37" x14ac:dyDescent="0.2">
      <c r="Y688021" s="251"/>
      <c r="AB688021" s="251"/>
      <c r="AE688021" s="251"/>
      <c r="AH688021" s="251"/>
      <c r="AK688021" s="251"/>
    </row>
    <row r="688136" spans="25:37" x14ac:dyDescent="0.2">
      <c r="Y688136" s="5"/>
      <c r="AB688136" s="5"/>
      <c r="AE688136" s="5"/>
      <c r="AH688136" s="5"/>
      <c r="AK688136" s="5"/>
    </row>
    <row r="688146" spans="25:37" x14ac:dyDescent="0.2">
      <c r="Y688146" s="251"/>
      <c r="AB688146" s="251"/>
      <c r="AE688146" s="251"/>
      <c r="AH688146" s="251"/>
      <c r="AK688146" s="251"/>
    </row>
    <row r="688261" spans="25:37" x14ac:dyDescent="0.2">
      <c r="Y688261" s="5"/>
      <c r="AB688261" s="5"/>
      <c r="AE688261" s="5"/>
      <c r="AH688261" s="5"/>
      <c r="AK688261" s="5"/>
    </row>
    <row r="688271" spans="25:37" x14ac:dyDescent="0.2">
      <c r="Y688271" s="251"/>
      <c r="AB688271" s="251"/>
      <c r="AE688271" s="251"/>
      <c r="AH688271" s="251"/>
      <c r="AK688271" s="251"/>
    </row>
    <row r="688386" spans="25:37" x14ac:dyDescent="0.2">
      <c r="Y688386" s="5"/>
      <c r="AB688386" s="5"/>
      <c r="AE688386" s="5"/>
      <c r="AH688386" s="5"/>
      <c r="AK688386" s="5"/>
    </row>
    <row r="688396" spans="25:37" x14ac:dyDescent="0.2">
      <c r="Y688396" s="251"/>
      <c r="AB688396" s="251"/>
      <c r="AE688396" s="251"/>
      <c r="AH688396" s="251"/>
      <c r="AK688396" s="251"/>
    </row>
    <row r="688511" spans="25:37" x14ac:dyDescent="0.2">
      <c r="Y688511" s="5"/>
      <c r="AB688511" s="5"/>
      <c r="AE688511" s="5"/>
      <c r="AH688511" s="5"/>
      <c r="AK688511" s="5"/>
    </row>
    <row r="688521" spans="25:37" x14ac:dyDescent="0.2">
      <c r="Y688521" s="251"/>
      <c r="AB688521" s="251"/>
      <c r="AE688521" s="251"/>
      <c r="AH688521" s="251"/>
      <c r="AK688521" s="251"/>
    </row>
    <row r="688636" spans="25:37" x14ac:dyDescent="0.2">
      <c r="Y688636" s="5"/>
      <c r="AB688636" s="5"/>
      <c r="AE688636" s="5"/>
      <c r="AH688636" s="5"/>
      <c r="AK688636" s="5"/>
    </row>
    <row r="688646" spans="25:37" x14ac:dyDescent="0.2">
      <c r="Y688646" s="251"/>
      <c r="AB688646" s="251"/>
      <c r="AE688646" s="251"/>
      <c r="AH688646" s="251"/>
      <c r="AK688646" s="251"/>
    </row>
    <row r="688761" spans="25:37" x14ac:dyDescent="0.2">
      <c r="Y688761" s="5"/>
      <c r="AB688761" s="5"/>
      <c r="AE688761" s="5"/>
      <c r="AH688761" s="5"/>
      <c r="AK688761" s="5"/>
    </row>
    <row r="688771" spans="25:37" x14ac:dyDescent="0.2">
      <c r="Y688771" s="251"/>
      <c r="AB688771" s="251"/>
      <c r="AE688771" s="251"/>
      <c r="AH688771" s="251"/>
      <c r="AK688771" s="251"/>
    </row>
    <row r="688886" spans="25:37" x14ac:dyDescent="0.2">
      <c r="Y688886" s="5"/>
      <c r="AB688886" s="5"/>
      <c r="AE688886" s="5"/>
      <c r="AH688886" s="5"/>
      <c r="AK688886" s="5"/>
    </row>
    <row r="688896" spans="25:37" x14ac:dyDescent="0.2">
      <c r="Y688896" s="251"/>
      <c r="AB688896" s="251"/>
      <c r="AE688896" s="251"/>
      <c r="AH688896" s="251"/>
      <c r="AK688896" s="251"/>
    </row>
    <row r="689011" spans="25:37" x14ac:dyDescent="0.2">
      <c r="Y689011" s="5"/>
      <c r="AB689011" s="5"/>
      <c r="AE689011" s="5"/>
      <c r="AH689011" s="5"/>
      <c r="AK689011" s="5"/>
    </row>
    <row r="689021" spans="25:37" x14ac:dyDescent="0.2">
      <c r="Y689021" s="251"/>
      <c r="AB689021" s="251"/>
      <c r="AE689021" s="251"/>
      <c r="AH689021" s="251"/>
      <c r="AK689021" s="251"/>
    </row>
    <row r="689136" spans="25:37" x14ac:dyDescent="0.2">
      <c r="Y689136" s="5"/>
      <c r="AB689136" s="5"/>
      <c r="AE689136" s="5"/>
      <c r="AH689136" s="5"/>
      <c r="AK689136" s="5"/>
    </row>
    <row r="689146" spans="25:37" x14ac:dyDescent="0.2">
      <c r="Y689146" s="251"/>
      <c r="AB689146" s="251"/>
      <c r="AE689146" s="251"/>
      <c r="AH689146" s="251"/>
      <c r="AK689146" s="251"/>
    </row>
    <row r="689261" spans="25:37" x14ac:dyDescent="0.2">
      <c r="Y689261" s="5"/>
      <c r="AB689261" s="5"/>
      <c r="AE689261" s="5"/>
      <c r="AH689261" s="5"/>
      <c r="AK689261" s="5"/>
    </row>
    <row r="689271" spans="25:37" x14ac:dyDescent="0.2">
      <c r="Y689271" s="251"/>
      <c r="AB689271" s="251"/>
      <c r="AE689271" s="251"/>
      <c r="AH689271" s="251"/>
      <c r="AK689271" s="251"/>
    </row>
    <row r="689386" spans="25:37" x14ac:dyDescent="0.2">
      <c r="Y689386" s="5"/>
      <c r="AB689386" s="5"/>
      <c r="AE689386" s="5"/>
      <c r="AH689386" s="5"/>
      <c r="AK689386" s="5"/>
    </row>
    <row r="689396" spans="25:37" x14ac:dyDescent="0.2">
      <c r="Y689396" s="251"/>
      <c r="AB689396" s="251"/>
      <c r="AE689396" s="251"/>
      <c r="AH689396" s="251"/>
      <c r="AK689396" s="251"/>
    </row>
    <row r="689511" spans="25:37" x14ac:dyDescent="0.2">
      <c r="Y689511" s="5"/>
      <c r="AB689511" s="5"/>
      <c r="AE689511" s="5"/>
      <c r="AH689511" s="5"/>
      <c r="AK689511" s="5"/>
    </row>
    <row r="689521" spans="25:37" x14ac:dyDescent="0.2">
      <c r="Y689521" s="251"/>
      <c r="AB689521" s="251"/>
      <c r="AE689521" s="251"/>
      <c r="AH689521" s="251"/>
      <c r="AK689521" s="251"/>
    </row>
    <row r="689636" spans="25:37" x14ac:dyDescent="0.2">
      <c r="Y689636" s="5"/>
      <c r="AB689636" s="5"/>
      <c r="AE689636" s="5"/>
      <c r="AH689636" s="5"/>
      <c r="AK689636" s="5"/>
    </row>
    <row r="689646" spans="25:37" x14ac:dyDescent="0.2">
      <c r="Y689646" s="251"/>
      <c r="AB689646" s="251"/>
      <c r="AE689646" s="251"/>
      <c r="AH689646" s="251"/>
      <c r="AK689646" s="251"/>
    </row>
    <row r="689761" spans="25:37" x14ac:dyDescent="0.2">
      <c r="Y689761" s="5"/>
      <c r="AB689761" s="5"/>
      <c r="AE689761" s="5"/>
      <c r="AH689761" s="5"/>
      <c r="AK689761" s="5"/>
    </row>
    <row r="689771" spans="25:37" x14ac:dyDescent="0.2">
      <c r="Y689771" s="251"/>
      <c r="AB689771" s="251"/>
      <c r="AE689771" s="251"/>
      <c r="AH689771" s="251"/>
      <c r="AK689771" s="251"/>
    </row>
    <row r="689886" spans="25:37" x14ac:dyDescent="0.2">
      <c r="Y689886" s="5"/>
      <c r="AB689886" s="5"/>
      <c r="AE689886" s="5"/>
      <c r="AH689886" s="5"/>
      <c r="AK689886" s="5"/>
    </row>
    <row r="689896" spans="25:37" x14ac:dyDescent="0.2">
      <c r="Y689896" s="251"/>
      <c r="AB689896" s="251"/>
      <c r="AE689896" s="251"/>
      <c r="AH689896" s="251"/>
      <c r="AK689896" s="251"/>
    </row>
    <row r="690011" spans="25:37" x14ac:dyDescent="0.2">
      <c r="Y690011" s="5"/>
      <c r="AB690011" s="5"/>
      <c r="AE690011" s="5"/>
      <c r="AH690011" s="5"/>
      <c r="AK690011" s="5"/>
    </row>
    <row r="690021" spans="25:37" x14ac:dyDescent="0.2">
      <c r="Y690021" s="251"/>
      <c r="AB690021" s="251"/>
      <c r="AE690021" s="251"/>
      <c r="AH690021" s="251"/>
      <c r="AK690021" s="251"/>
    </row>
    <row r="690136" spans="25:37" x14ac:dyDescent="0.2">
      <c r="Y690136" s="5"/>
      <c r="AB690136" s="5"/>
      <c r="AE690136" s="5"/>
      <c r="AH690136" s="5"/>
      <c r="AK690136" s="5"/>
    </row>
    <row r="690146" spans="25:37" x14ac:dyDescent="0.2">
      <c r="Y690146" s="251"/>
      <c r="AB690146" s="251"/>
      <c r="AE690146" s="251"/>
      <c r="AH690146" s="251"/>
      <c r="AK690146" s="251"/>
    </row>
    <row r="690261" spans="25:37" x14ac:dyDescent="0.2">
      <c r="Y690261" s="5"/>
      <c r="AB690261" s="5"/>
      <c r="AE690261" s="5"/>
      <c r="AH690261" s="5"/>
      <c r="AK690261" s="5"/>
    </row>
    <row r="690271" spans="25:37" x14ac:dyDescent="0.2">
      <c r="Y690271" s="251"/>
      <c r="AB690271" s="251"/>
      <c r="AE690271" s="251"/>
      <c r="AH690271" s="251"/>
      <c r="AK690271" s="251"/>
    </row>
    <row r="690386" spans="25:37" x14ac:dyDescent="0.2">
      <c r="Y690386" s="5"/>
      <c r="AB690386" s="5"/>
      <c r="AE690386" s="5"/>
      <c r="AH690386" s="5"/>
      <c r="AK690386" s="5"/>
    </row>
    <row r="690396" spans="25:37" x14ac:dyDescent="0.2">
      <c r="Y690396" s="251"/>
      <c r="AB690396" s="251"/>
      <c r="AE690396" s="251"/>
      <c r="AH690396" s="251"/>
      <c r="AK690396" s="251"/>
    </row>
    <row r="690511" spans="25:37" x14ac:dyDescent="0.2">
      <c r="Y690511" s="5"/>
      <c r="AB690511" s="5"/>
      <c r="AE690511" s="5"/>
      <c r="AH690511" s="5"/>
      <c r="AK690511" s="5"/>
    </row>
    <row r="690521" spans="25:37" x14ac:dyDescent="0.2">
      <c r="Y690521" s="251"/>
      <c r="AB690521" s="251"/>
      <c r="AE690521" s="251"/>
      <c r="AH690521" s="251"/>
      <c r="AK690521" s="251"/>
    </row>
    <row r="690636" spans="25:37" x14ac:dyDescent="0.2">
      <c r="Y690636" s="5"/>
      <c r="AB690636" s="5"/>
      <c r="AE690636" s="5"/>
      <c r="AH690636" s="5"/>
      <c r="AK690636" s="5"/>
    </row>
    <row r="690646" spans="25:37" x14ac:dyDescent="0.2">
      <c r="Y690646" s="251"/>
      <c r="AB690646" s="251"/>
      <c r="AE690646" s="251"/>
      <c r="AH690646" s="251"/>
      <c r="AK690646" s="251"/>
    </row>
    <row r="690761" spans="25:37" x14ac:dyDescent="0.2">
      <c r="Y690761" s="5"/>
      <c r="AB690761" s="5"/>
      <c r="AE690761" s="5"/>
      <c r="AH690761" s="5"/>
      <c r="AK690761" s="5"/>
    </row>
    <row r="690771" spans="25:37" x14ac:dyDescent="0.2">
      <c r="Y690771" s="251"/>
      <c r="AB690771" s="251"/>
      <c r="AE690771" s="251"/>
      <c r="AH690771" s="251"/>
      <c r="AK690771" s="251"/>
    </row>
    <row r="690886" spans="25:37" x14ac:dyDescent="0.2">
      <c r="Y690886" s="5"/>
      <c r="AB690886" s="5"/>
      <c r="AE690886" s="5"/>
      <c r="AH690886" s="5"/>
      <c r="AK690886" s="5"/>
    </row>
    <row r="690896" spans="25:37" x14ac:dyDescent="0.2">
      <c r="Y690896" s="251"/>
      <c r="AB690896" s="251"/>
      <c r="AE690896" s="251"/>
      <c r="AH690896" s="251"/>
      <c r="AK690896" s="251"/>
    </row>
    <row r="691011" spans="25:37" x14ac:dyDescent="0.2">
      <c r="Y691011" s="5"/>
      <c r="AB691011" s="5"/>
      <c r="AE691011" s="5"/>
      <c r="AH691011" s="5"/>
      <c r="AK691011" s="5"/>
    </row>
    <row r="691021" spans="25:37" x14ac:dyDescent="0.2">
      <c r="Y691021" s="251"/>
      <c r="AB691021" s="251"/>
      <c r="AE691021" s="251"/>
      <c r="AH691021" s="251"/>
      <c r="AK691021" s="251"/>
    </row>
    <row r="691136" spans="25:37" x14ac:dyDescent="0.2">
      <c r="Y691136" s="5"/>
      <c r="AB691136" s="5"/>
      <c r="AE691136" s="5"/>
      <c r="AH691136" s="5"/>
      <c r="AK691136" s="5"/>
    </row>
    <row r="691146" spans="25:37" x14ac:dyDescent="0.2">
      <c r="Y691146" s="251"/>
      <c r="AB691146" s="251"/>
      <c r="AE691146" s="251"/>
      <c r="AH691146" s="251"/>
      <c r="AK691146" s="251"/>
    </row>
    <row r="691261" spans="25:37" x14ac:dyDescent="0.2">
      <c r="Y691261" s="5"/>
      <c r="AB691261" s="5"/>
      <c r="AE691261" s="5"/>
      <c r="AH691261" s="5"/>
      <c r="AK691261" s="5"/>
    </row>
    <row r="691271" spans="25:37" x14ac:dyDescent="0.2">
      <c r="Y691271" s="251"/>
      <c r="AB691271" s="251"/>
      <c r="AE691271" s="251"/>
      <c r="AH691271" s="251"/>
      <c r="AK691271" s="251"/>
    </row>
    <row r="691386" spans="25:37" x14ac:dyDescent="0.2">
      <c r="Y691386" s="5"/>
      <c r="AB691386" s="5"/>
      <c r="AE691386" s="5"/>
      <c r="AH691386" s="5"/>
      <c r="AK691386" s="5"/>
    </row>
    <row r="691396" spans="25:37" x14ac:dyDescent="0.2">
      <c r="Y691396" s="251"/>
      <c r="AB691396" s="251"/>
      <c r="AE691396" s="251"/>
      <c r="AH691396" s="251"/>
      <c r="AK691396" s="251"/>
    </row>
    <row r="691511" spans="25:37" x14ac:dyDescent="0.2">
      <c r="Y691511" s="5"/>
      <c r="AB691511" s="5"/>
      <c r="AE691511" s="5"/>
      <c r="AH691511" s="5"/>
      <c r="AK691511" s="5"/>
    </row>
    <row r="691521" spans="25:37" x14ac:dyDescent="0.2">
      <c r="Y691521" s="251"/>
      <c r="AB691521" s="251"/>
      <c r="AE691521" s="251"/>
      <c r="AH691521" s="251"/>
      <c r="AK691521" s="251"/>
    </row>
    <row r="691636" spans="25:37" x14ac:dyDescent="0.2">
      <c r="Y691636" s="5"/>
      <c r="AB691636" s="5"/>
      <c r="AE691636" s="5"/>
      <c r="AH691636" s="5"/>
      <c r="AK691636" s="5"/>
    </row>
    <row r="691646" spans="25:37" x14ac:dyDescent="0.2">
      <c r="Y691646" s="251"/>
      <c r="AB691646" s="251"/>
      <c r="AE691646" s="251"/>
      <c r="AH691646" s="251"/>
      <c r="AK691646" s="251"/>
    </row>
    <row r="691761" spans="25:37" x14ac:dyDescent="0.2">
      <c r="Y691761" s="5"/>
      <c r="AB691761" s="5"/>
      <c r="AE691761" s="5"/>
      <c r="AH691761" s="5"/>
      <c r="AK691761" s="5"/>
    </row>
    <row r="691771" spans="25:37" x14ac:dyDescent="0.2">
      <c r="Y691771" s="251"/>
      <c r="AB691771" s="251"/>
      <c r="AE691771" s="251"/>
      <c r="AH691771" s="251"/>
      <c r="AK691771" s="251"/>
    </row>
    <row r="691886" spans="25:37" x14ac:dyDescent="0.2">
      <c r="Y691886" s="5"/>
      <c r="AB691886" s="5"/>
      <c r="AE691886" s="5"/>
      <c r="AH691886" s="5"/>
      <c r="AK691886" s="5"/>
    </row>
    <row r="691896" spans="25:37" x14ac:dyDescent="0.2">
      <c r="Y691896" s="251"/>
      <c r="AB691896" s="251"/>
      <c r="AE691896" s="251"/>
      <c r="AH691896" s="251"/>
      <c r="AK691896" s="251"/>
    </row>
    <row r="692011" spans="25:37" x14ac:dyDescent="0.2">
      <c r="Y692011" s="5"/>
      <c r="AB692011" s="5"/>
      <c r="AE692011" s="5"/>
      <c r="AH692011" s="5"/>
      <c r="AK692011" s="5"/>
    </row>
    <row r="692021" spans="25:37" x14ac:dyDescent="0.2">
      <c r="Y692021" s="251"/>
      <c r="AB692021" s="251"/>
      <c r="AE692021" s="251"/>
      <c r="AH692021" s="251"/>
      <c r="AK692021" s="251"/>
    </row>
    <row r="692136" spans="25:37" x14ac:dyDescent="0.2">
      <c r="Y692136" s="5"/>
      <c r="AB692136" s="5"/>
      <c r="AE692136" s="5"/>
      <c r="AH692136" s="5"/>
      <c r="AK692136" s="5"/>
    </row>
    <row r="692146" spans="25:37" x14ac:dyDescent="0.2">
      <c r="Y692146" s="251"/>
      <c r="AB692146" s="251"/>
      <c r="AE692146" s="251"/>
      <c r="AH692146" s="251"/>
      <c r="AK692146" s="251"/>
    </row>
    <row r="692261" spans="25:37" x14ac:dyDescent="0.2">
      <c r="Y692261" s="5"/>
      <c r="AB692261" s="5"/>
      <c r="AE692261" s="5"/>
      <c r="AH692261" s="5"/>
      <c r="AK692261" s="5"/>
    </row>
    <row r="692271" spans="25:37" x14ac:dyDescent="0.2">
      <c r="Y692271" s="251"/>
      <c r="AB692271" s="251"/>
      <c r="AE692271" s="251"/>
      <c r="AH692271" s="251"/>
      <c r="AK692271" s="251"/>
    </row>
    <row r="692386" spans="25:37" x14ac:dyDescent="0.2">
      <c r="Y692386" s="5"/>
      <c r="AB692386" s="5"/>
      <c r="AE692386" s="5"/>
      <c r="AH692386" s="5"/>
      <c r="AK692386" s="5"/>
    </row>
    <row r="692396" spans="25:37" x14ac:dyDescent="0.2">
      <c r="Y692396" s="251"/>
      <c r="AB692396" s="251"/>
      <c r="AE692396" s="251"/>
      <c r="AH692396" s="251"/>
      <c r="AK692396" s="251"/>
    </row>
    <row r="692511" spans="25:37" x14ac:dyDescent="0.2">
      <c r="Y692511" s="5"/>
      <c r="AB692511" s="5"/>
      <c r="AE692511" s="5"/>
      <c r="AH692511" s="5"/>
      <c r="AK692511" s="5"/>
    </row>
    <row r="692521" spans="25:37" x14ac:dyDescent="0.2">
      <c r="Y692521" s="251"/>
      <c r="AB692521" s="251"/>
      <c r="AE692521" s="251"/>
      <c r="AH692521" s="251"/>
      <c r="AK692521" s="251"/>
    </row>
    <row r="692636" spans="25:37" x14ac:dyDescent="0.2">
      <c r="Y692636" s="5"/>
      <c r="AB692636" s="5"/>
      <c r="AE692636" s="5"/>
      <c r="AH692636" s="5"/>
      <c r="AK692636" s="5"/>
    </row>
    <row r="692646" spans="25:37" x14ac:dyDescent="0.2">
      <c r="Y692646" s="251"/>
      <c r="AB692646" s="251"/>
      <c r="AE692646" s="251"/>
      <c r="AH692646" s="251"/>
      <c r="AK692646" s="251"/>
    </row>
    <row r="692761" spans="25:37" x14ac:dyDescent="0.2">
      <c r="Y692761" s="5"/>
      <c r="AB692761" s="5"/>
      <c r="AE692761" s="5"/>
      <c r="AH692761" s="5"/>
      <c r="AK692761" s="5"/>
    </row>
    <row r="692771" spans="25:37" x14ac:dyDescent="0.2">
      <c r="Y692771" s="251"/>
      <c r="AB692771" s="251"/>
      <c r="AE692771" s="251"/>
      <c r="AH692771" s="251"/>
      <c r="AK692771" s="251"/>
    </row>
    <row r="692886" spans="25:37" x14ac:dyDescent="0.2">
      <c r="Y692886" s="5"/>
      <c r="AB692886" s="5"/>
      <c r="AE692886" s="5"/>
      <c r="AH692886" s="5"/>
      <c r="AK692886" s="5"/>
    </row>
    <row r="692896" spans="25:37" x14ac:dyDescent="0.2">
      <c r="Y692896" s="251"/>
      <c r="AB692896" s="251"/>
      <c r="AE692896" s="251"/>
      <c r="AH692896" s="251"/>
      <c r="AK692896" s="251"/>
    </row>
    <row r="693011" spans="25:37" x14ac:dyDescent="0.2">
      <c r="Y693011" s="5"/>
      <c r="AB693011" s="5"/>
      <c r="AE693011" s="5"/>
      <c r="AH693011" s="5"/>
      <c r="AK693011" s="5"/>
    </row>
    <row r="693021" spans="25:37" x14ac:dyDescent="0.2">
      <c r="Y693021" s="251"/>
      <c r="AB693021" s="251"/>
      <c r="AE693021" s="251"/>
      <c r="AH693021" s="251"/>
      <c r="AK693021" s="251"/>
    </row>
    <row r="693136" spans="25:37" x14ac:dyDescent="0.2">
      <c r="Y693136" s="5"/>
      <c r="AB693136" s="5"/>
      <c r="AE693136" s="5"/>
      <c r="AH693136" s="5"/>
      <c r="AK693136" s="5"/>
    </row>
    <row r="693146" spans="25:37" x14ac:dyDescent="0.2">
      <c r="Y693146" s="251"/>
      <c r="AB693146" s="251"/>
      <c r="AE693146" s="251"/>
      <c r="AH693146" s="251"/>
      <c r="AK693146" s="251"/>
    </row>
    <row r="693261" spans="25:37" x14ac:dyDescent="0.2">
      <c r="Y693261" s="5"/>
      <c r="AB693261" s="5"/>
      <c r="AE693261" s="5"/>
      <c r="AH693261" s="5"/>
      <c r="AK693261" s="5"/>
    </row>
    <row r="693271" spans="25:37" x14ac:dyDescent="0.2">
      <c r="Y693271" s="251"/>
      <c r="AB693271" s="251"/>
      <c r="AE693271" s="251"/>
      <c r="AH693271" s="251"/>
      <c r="AK693271" s="251"/>
    </row>
    <row r="693386" spans="25:37" x14ac:dyDescent="0.2">
      <c r="Y693386" s="5"/>
      <c r="AB693386" s="5"/>
      <c r="AE693386" s="5"/>
      <c r="AH693386" s="5"/>
      <c r="AK693386" s="5"/>
    </row>
    <row r="693396" spans="25:37" x14ac:dyDescent="0.2">
      <c r="Y693396" s="251"/>
      <c r="AB693396" s="251"/>
      <c r="AE693396" s="251"/>
      <c r="AH693396" s="251"/>
      <c r="AK693396" s="251"/>
    </row>
    <row r="693511" spans="25:37" x14ac:dyDescent="0.2">
      <c r="Y693511" s="5"/>
      <c r="AB693511" s="5"/>
      <c r="AE693511" s="5"/>
      <c r="AH693511" s="5"/>
      <c r="AK693511" s="5"/>
    </row>
    <row r="693521" spans="25:37" x14ac:dyDescent="0.2">
      <c r="Y693521" s="251"/>
      <c r="AB693521" s="251"/>
      <c r="AE693521" s="251"/>
      <c r="AH693521" s="251"/>
      <c r="AK693521" s="251"/>
    </row>
    <row r="693636" spans="25:37" x14ac:dyDescent="0.2">
      <c r="Y693636" s="5"/>
      <c r="AB693636" s="5"/>
      <c r="AE693636" s="5"/>
      <c r="AH693636" s="5"/>
      <c r="AK693636" s="5"/>
    </row>
    <row r="693646" spans="25:37" x14ac:dyDescent="0.2">
      <c r="Y693646" s="251"/>
      <c r="AB693646" s="251"/>
      <c r="AE693646" s="251"/>
      <c r="AH693646" s="251"/>
      <c r="AK693646" s="251"/>
    </row>
    <row r="693761" spans="25:37" x14ac:dyDescent="0.2">
      <c r="Y693761" s="5"/>
      <c r="AB693761" s="5"/>
      <c r="AE693761" s="5"/>
      <c r="AH693761" s="5"/>
      <c r="AK693761" s="5"/>
    </row>
    <row r="693771" spans="25:37" x14ac:dyDescent="0.2">
      <c r="Y693771" s="251"/>
      <c r="AB693771" s="251"/>
      <c r="AE693771" s="251"/>
      <c r="AH693771" s="251"/>
      <c r="AK693771" s="251"/>
    </row>
    <row r="693886" spans="25:37" x14ac:dyDescent="0.2">
      <c r="Y693886" s="5"/>
      <c r="AB693886" s="5"/>
      <c r="AE693886" s="5"/>
      <c r="AH693886" s="5"/>
      <c r="AK693886" s="5"/>
    </row>
    <row r="693896" spans="25:37" x14ac:dyDescent="0.2">
      <c r="Y693896" s="251"/>
      <c r="AB693896" s="251"/>
      <c r="AE693896" s="251"/>
      <c r="AH693896" s="251"/>
      <c r="AK693896" s="251"/>
    </row>
    <row r="694011" spans="25:37" x14ac:dyDescent="0.2">
      <c r="Y694011" s="5"/>
      <c r="AB694011" s="5"/>
      <c r="AE694011" s="5"/>
      <c r="AH694011" s="5"/>
      <c r="AK694011" s="5"/>
    </row>
    <row r="694021" spans="25:37" x14ac:dyDescent="0.2">
      <c r="Y694021" s="251"/>
      <c r="AB694021" s="251"/>
      <c r="AE694021" s="251"/>
      <c r="AH694021" s="251"/>
      <c r="AK694021" s="251"/>
    </row>
    <row r="694136" spans="25:37" x14ac:dyDescent="0.2">
      <c r="Y694136" s="5"/>
      <c r="AB694136" s="5"/>
      <c r="AE694136" s="5"/>
      <c r="AH694136" s="5"/>
      <c r="AK694136" s="5"/>
    </row>
    <row r="694146" spans="25:37" x14ac:dyDescent="0.2">
      <c r="Y694146" s="251"/>
      <c r="AB694146" s="251"/>
      <c r="AE694146" s="251"/>
      <c r="AH694146" s="251"/>
      <c r="AK694146" s="251"/>
    </row>
    <row r="694261" spans="25:37" x14ac:dyDescent="0.2">
      <c r="Y694261" s="5"/>
      <c r="AB694261" s="5"/>
      <c r="AE694261" s="5"/>
      <c r="AH694261" s="5"/>
      <c r="AK694261" s="5"/>
    </row>
    <row r="694271" spans="25:37" x14ac:dyDescent="0.2">
      <c r="Y694271" s="251"/>
      <c r="AB694271" s="251"/>
      <c r="AE694271" s="251"/>
      <c r="AH694271" s="251"/>
      <c r="AK694271" s="251"/>
    </row>
    <row r="694386" spans="25:37" x14ac:dyDescent="0.2">
      <c r="Y694386" s="5"/>
      <c r="AB694386" s="5"/>
      <c r="AE694386" s="5"/>
      <c r="AH694386" s="5"/>
      <c r="AK694386" s="5"/>
    </row>
    <row r="694396" spans="25:37" x14ac:dyDescent="0.2">
      <c r="Y694396" s="251"/>
      <c r="AB694396" s="251"/>
      <c r="AE694396" s="251"/>
      <c r="AH694396" s="251"/>
      <c r="AK694396" s="251"/>
    </row>
    <row r="694511" spans="25:37" x14ac:dyDescent="0.2">
      <c r="Y694511" s="5"/>
      <c r="AB694511" s="5"/>
      <c r="AE694511" s="5"/>
      <c r="AH694511" s="5"/>
      <c r="AK694511" s="5"/>
    </row>
    <row r="694521" spans="25:37" x14ac:dyDescent="0.2">
      <c r="Y694521" s="251"/>
      <c r="AB694521" s="251"/>
      <c r="AE694521" s="251"/>
      <c r="AH694521" s="251"/>
      <c r="AK694521" s="251"/>
    </row>
    <row r="694636" spans="25:37" x14ac:dyDescent="0.2">
      <c r="Y694636" s="5"/>
      <c r="AB694636" s="5"/>
      <c r="AE694636" s="5"/>
      <c r="AH694636" s="5"/>
      <c r="AK694636" s="5"/>
    </row>
    <row r="694646" spans="25:37" x14ac:dyDescent="0.2">
      <c r="Y694646" s="251"/>
      <c r="AB694646" s="251"/>
      <c r="AE694646" s="251"/>
      <c r="AH694646" s="251"/>
      <c r="AK694646" s="251"/>
    </row>
    <row r="694761" spans="25:37" x14ac:dyDescent="0.2">
      <c r="Y694761" s="5"/>
      <c r="AB694761" s="5"/>
      <c r="AE694761" s="5"/>
      <c r="AH694761" s="5"/>
      <c r="AK694761" s="5"/>
    </row>
    <row r="694771" spans="25:37" x14ac:dyDescent="0.2">
      <c r="Y694771" s="251"/>
      <c r="AB694771" s="251"/>
      <c r="AE694771" s="251"/>
      <c r="AH694771" s="251"/>
      <c r="AK694771" s="251"/>
    </row>
    <row r="694886" spans="25:37" x14ac:dyDescent="0.2">
      <c r="Y694886" s="5"/>
      <c r="AB694886" s="5"/>
      <c r="AE694886" s="5"/>
      <c r="AH694886" s="5"/>
      <c r="AK694886" s="5"/>
    </row>
    <row r="694896" spans="25:37" x14ac:dyDescent="0.2">
      <c r="Y694896" s="251"/>
      <c r="AB694896" s="251"/>
      <c r="AE694896" s="251"/>
      <c r="AH694896" s="251"/>
      <c r="AK694896" s="251"/>
    </row>
    <row r="695011" spans="25:37" x14ac:dyDescent="0.2">
      <c r="Y695011" s="5"/>
      <c r="AB695011" s="5"/>
      <c r="AE695011" s="5"/>
      <c r="AH695011" s="5"/>
      <c r="AK695011" s="5"/>
    </row>
    <row r="695021" spans="25:37" x14ac:dyDescent="0.2">
      <c r="Y695021" s="251"/>
      <c r="AB695021" s="251"/>
      <c r="AE695021" s="251"/>
      <c r="AH695021" s="251"/>
      <c r="AK695021" s="251"/>
    </row>
    <row r="695136" spans="25:37" x14ac:dyDescent="0.2">
      <c r="Y695136" s="5"/>
      <c r="AB695136" s="5"/>
      <c r="AE695136" s="5"/>
      <c r="AH695136" s="5"/>
      <c r="AK695136" s="5"/>
    </row>
    <row r="695146" spans="25:37" x14ac:dyDescent="0.2">
      <c r="Y695146" s="251"/>
      <c r="AB695146" s="251"/>
      <c r="AE695146" s="251"/>
      <c r="AH695146" s="251"/>
      <c r="AK695146" s="251"/>
    </row>
    <row r="695261" spans="25:37" x14ac:dyDescent="0.2">
      <c r="Y695261" s="5"/>
      <c r="AB695261" s="5"/>
      <c r="AE695261" s="5"/>
      <c r="AH695261" s="5"/>
      <c r="AK695261" s="5"/>
    </row>
    <row r="695271" spans="25:37" x14ac:dyDescent="0.2">
      <c r="Y695271" s="251"/>
      <c r="AB695271" s="251"/>
      <c r="AE695271" s="251"/>
      <c r="AH695271" s="251"/>
      <c r="AK695271" s="251"/>
    </row>
    <row r="695386" spans="25:37" x14ac:dyDescent="0.2">
      <c r="Y695386" s="5"/>
      <c r="AB695386" s="5"/>
      <c r="AE695386" s="5"/>
      <c r="AH695386" s="5"/>
      <c r="AK695386" s="5"/>
    </row>
    <row r="695396" spans="25:37" x14ac:dyDescent="0.2">
      <c r="Y695396" s="251"/>
      <c r="AB695396" s="251"/>
      <c r="AE695396" s="251"/>
      <c r="AH695396" s="251"/>
      <c r="AK695396" s="251"/>
    </row>
    <row r="695511" spans="25:37" x14ac:dyDescent="0.2">
      <c r="Y695511" s="5"/>
      <c r="AB695511" s="5"/>
      <c r="AE695511" s="5"/>
      <c r="AH695511" s="5"/>
      <c r="AK695511" s="5"/>
    </row>
    <row r="695521" spans="25:37" x14ac:dyDescent="0.2">
      <c r="Y695521" s="251"/>
      <c r="AB695521" s="251"/>
      <c r="AE695521" s="251"/>
      <c r="AH695521" s="251"/>
      <c r="AK695521" s="251"/>
    </row>
    <row r="695636" spans="25:37" x14ac:dyDescent="0.2">
      <c r="Y695636" s="5"/>
      <c r="AB695636" s="5"/>
      <c r="AE695636" s="5"/>
      <c r="AH695636" s="5"/>
      <c r="AK695636" s="5"/>
    </row>
    <row r="695646" spans="25:37" x14ac:dyDescent="0.2">
      <c r="Y695646" s="251"/>
      <c r="AB695646" s="251"/>
      <c r="AE695646" s="251"/>
      <c r="AH695646" s="251"/>
      <c r="AK695646" s="251"/>
    </row>
    <row r="695761" spans="25:37" x14ac:dyDescent="0.2">
      <c r="Y695761" s="5"/>
      <c r="AB695761" s="5"/>
      <c r="AE695761" s="5"/>
      <c r="AH695761" s="5"/>
      <c r="AK695761" s="5"/>
    </row>
    <row r="695771" spans="25:37" x14ac:dyDescent="0.2">
      <c r="Y695771" s="251"/>
      <c r="AB695771" s="251"/>
      <c r="AE695771" s="251"/>
      <c r="AH695771" s="251"/>
      <c r="AK695771" s="251"/>
    </row>
    <row r="695886" spans="25:37" x14ac:dyDescent="0.2">
      <c r="Y695886" s="5"/>
      <c r="AB695886" s="5"/>
      <c r="AE695886" s="5"/>
      <c r="AH695886" s="5"/>
      <c r="AK695886" s="5"/>
    </row>
    <row r="695896" spans="25:37" x14ac:dyDescent="0.2">
      <c r="Y695896" s="251"/>
      <c r="AB695896" s="251"/>
      <c r="AE695896" s="251"/>
      <c r="AH695896" s="251"/>
      <c r="AK695896" s="251"/>
    </row>
    <row r="696011" spans="25:37" x14ac:dyDescent="0.2">
      <c r="Y696011" s="5"/>
      <c r="AB696011" s="5"/>
      <c r="AE696011" s="5"/>
      <c r="AH696011" s="5"/>
      <c r="AK696011" s="5"/>
    </row>
    <row r="696021" spans="25:37" x14ac:dyDescent="0.2">
      <c r="Y696021" s="251"/>
      <c r="AB696021" s="251"/>
      <c r="AE696021" s="251"/>
      <c r="AH696021" s="251"/>
      <c r="AK696021" s="251"/>
    </row>
    <row r="696136" spans="25:37" x14ac:dyDescent="0.2">
      <c r="Y696136" s="5"/>
      <c r="AB696136" s="5"/>
      <c r="AE696136" s="5"/>
      <c r="AH696136" s="5"/>
      <c r="AK696136" s="5"/>
    </row>
    <row r="696146" spans="25:37" x14ac:dyDescent="0.2">
      <c r="Y696146" s="251"/>
      <c r="AB696146" s="251"/>
      <c r="AE696146" s="251"/>
      <c r="AH696146" s="251"/>
      <c r="AK696146" s="251"/>
    </row>
    <row r="696261" spans="25:37" x14ac:dyDescent="0.2">
      <c r="Y696261" s="5"/>
      <c r="AB696261" s="5"/>
      <c r="AE696261" s="5"/>
      <c r="AH696261" s="5"/>
      <c r="AK696261" s="5"/>
    </row>
    <row r="696271" spans="25:37" x14ac:dyDescent="0.2">
      <c r="Y696271" s="251"/>
      <c r="AB696271" s="251"/>
      <c r="AE696271" s="251"/>
      <c r="AH696271" s="251"/>
      <c r="AK696271" s="251"/>
    </row>
    <row r="696386" spans="25:37" x14ac:dyDescent="0.2">
      <c r="Y696386" s="5"/>
      <c r="AB696386" s="5"/>
      <c r="AE696386" s="5"/>
      <c r="AH696386" s="5"/>
      <c r="AK696386" s="5"/>
    </row>
    <row r="696396" spans="25:37" x14ac:dyDescent="0.2">
      <c r="Y696396" s="251"/>
      <c r="AB696396" s="251"/>
      <c r="AE696396" s="251"/>
      <c r="AH696396" s="251"/>
      <c r="AK696396" s="251"/>
    </row>
    <row r="696511" spans="25:37" x14ac:dyDescent="0.2">
      <c r="Y696511" s="5"/>
      <c r="AB696511" s="5"/>
      <c r="AE696511" s="5"/>
      <c r="AH696511" s="5"/>
      <c r="AK696511" s="5"/>
    </row>
    <row r="696521" spans="25:37" x14ac:dyDescent="0.2">
      <c r="Y696521" s="251"/>
      <c r="AB696521" s="251"/>
      <c r="AE696521" s="251"/>
      <c r="AH696521" s="251"/>
      <c r="AK696521" s="251"/>
    </row>
    <row r="696636" spans="25:37" x14ac:dyDescent="0.2">
      <c r="Y696636" s="5"/>
      <c r="AB696636" s="5"/>
      <c r="AE696636" s="5"/>
      <c r="AH696636" s="5"/>
      <c r="AK696636" s="5"/>
    </row>
    <row r="696646" spans="25:37" x14ac:dyDescent="0.2">
      <c r="Y696646" s="251"/>
      <c r="AB696646" s="251"/>
      <c r="AE696646" s="251"/>
      <c r="AH696646" s="251"/>
      <c r="AK696646" s="251"/>
    </row>
    <row r="696761" spans="25:37" x14ac:dyDescent="0.2">
      <c r="Y696761" s="5"/>
      <c r="AB696761" s="5"/>
      <c r="AE696761" s="5"/>
      <c r="AH696761" s="5"/>
      <c r="AK696761" s="5"/>
    </row>
    <row r="696771" spans="25:37" x14ac:dyDescent="0.2">
      <c r="Y696771" s="251"/>
      <c r="AB696771" s="251"/>
      <c r="AE696771" s="251"/>
      <c r="AH696771" s="251"/>
      <c r="AK696771" s="251"/>
    </row>
    <row r="696886" spans="25:37" x14ac:dyDescent="0.2">
      <c r="Y696886" s="5"/>
      <c r="AB696886" s="5"/>
      <c r="AE696886" s="5"/>
      <c r="AH696886" s="5"/>
      <c r="AK696886" s="5"/>
    </row>
    <row r="696896" spans="25:37" x14ac:dyDescent="0.2">
      <c r="Y696896" s="251"/>
      <c r="AB696896" s="251"/>
      <c r="AE696896" s="251"/>
      <c r="AH696896" s="251"/>
      <c r="AK696896" s="251"/>
    </row>
    <row r="697011" spans="25:37" x14ac:dyDescent="0.2">
      <c r="Y697011" s="5"/>
      <c r="AB697011" s="5"/>
      <c r="AE697011" s="5"/>
      <c r="AH697011" s="5"/>
      <c r="AK697011" s="5"/>
    </row>
    <row r="697021" spans="25:37" x14ac:dyDescent="0.2">
      <c r="Y697021" s="251"/>
      <c r="AB697021" s="251"/>
      <c r="AE697021" s="251"/>
      <c r="AH697021" s="251"/>
      <c r="AK697021" s="251"/>
    </row>
    <row r="697136" spans="25:37" x14ac:dyDescent="0.2">
      <c r="Y697136" s="5"/>
      <c r="AB697136" s="5"/>
      <c r="AE697136" s="5"/>
      <c r="AH697136" s="5"/>
      <c r="AK697136" s="5"/>
    </row>
    <row r="697146" spans="25:37" x14ac:dyDescent="0.2">
      <c r="Y697146" s="251"/>
      <c r="AB697146" s="251"/>
      <c r="AE697146" s="251"/>
      <c r="AH697146" s="251"/>
      <c r="AK697146" s="251"/>
    </row>
    <row r="697261" spans="25:37" x14ac:dyDescent="0.2">
      <c r="Y697261" s="5"/>
      <c r="AB697261" s="5"/>
      <c r="AE697261" s="5"/>
      <c r="AH697261" s="5"/>
      <c r="AK697261" s="5"/>
    </row>
    <row r="697271" spans="25:37" x14ac:dyDescent="0.2">
      <c r="Y697271" s="251"/>
      <c r="AB697271" s="251"/>
      <c r="AE697271" s="251"/>
      <c r="AH697271" s="251"/>
      <c r="AK697271" s="251"/>
    </row>
    <row r="697386" spans="25:37" x14ac:dyDescent="0.2">
      <c r="Y697386" s="5"/>
      <c r="AB697386" s="5"/>
      <c r="AE697386" s="5"/>
      <c r="AH697386" s="5"/>
      <c r="AK697386" s="5"/>
    </row>
    <row r="697396" spans="25:37" x14ac:dyDescent="0.2">
      <c r="Y697396" s="251"/>
      <c r="AB697396" s="251"/>
      <c r="AE697396" s="251"/>
      <c r="AH697396" s="251"/>
      <c r="AK697396" s="251"/>
    </row>
    <row r="697511" spans="25:37" x14ac:dyDescent="0.2">
      <c r="Y697511" s="5"/>
      <c r="AB697511" s="5"/>
      <c r="AE697511" s="5"/>
      <c r="AH697511" s="5"/>
      <c r="AK697511" s="5"/>
    </row>
    <row r="697521" spans="25:37" x14ac:dyDescent="0.2">
      <c r="Y697521" s="251"/>
      <c r="AB697521" s="251"/>
      <c r="AE697521" s="251"/>
      <c r="AH697521" s="251"/>
      <c r="AK697521" s="251"/>
    </row>
    <row r="697636" spans="25:37" x14ac:dyDescent="0.2">
      <c r="Y697636" s="5"/>
      <c r="AB697636" s="5"/>
      <c r="AE697636" s="5"/>
      <c r="AH697636" s="5"/>
      <c r="AK697636" s="5"/>
    </row>
    <row r="697646" spans="25:37" x14ac:dyDescent="0.2">
      <c r="Y697646" s="251"/>
      <c r="AB697646" s="251"/>
      <c r="AE697646" s="251"/>
      <c r="AH697646" s="251"/>
      <c r="AK697646" s="251"/>
    </row>
    <row r="697761" spans="25:37" x14ac:dyDescent="0.2">
      <c r="Y697761" s="5"/>
      <c r="AB697761" s="5"/>
      <c r="AE697761" s="5"/>
      <c r="AH697761" s="5"/>
      <c r="AK697761" s="5"/>
    </row>
    <row r="697771" spans="25:37" x14ac:dyDescent="0.2">
      <c r="Y697771" s="251"/>
      <c r="AB697771" s="251"/>
      <c r="AE697771" s="251"/>
      <c r="AH697771" s="251"/>
      <c r="AK697771" s="251"/>
    </row>
    <row r="697886" spans="25:37" x14ac:dyDescent="0.2">
      <c r="Y697886" s="5"/>
      <c r="AB697886" s="5"/>
      <c r="AE697886" s="5"/>
      <c r="AH697886" s="5"/>
      <c r="AK697886" s="5"/>
    </row>
    <row r="697896" spans="25:37" x14ac:dyDescent="0.2">
      <c r="Y697896" s="251"/>
      <c r="AB697896" s="251"/>
      <c r="AE697896" s="251"/>
      <c r="AH697896" s="251"/>
      <c r="AK697896" s="251"/>
    </row>
    <row r="698011" spans="25:37" x14ac:dyDescent="0.2">
      <c r="Y698011" s="5"/>
      <c r="AB698011" s="5"/>
      <c r="AE698011" s="5"/>
      <c r="AH698011" s="5"/>
      <c r="AK698011" s="5"/>
    </row>
    <row r="698021" spans="25:37" x14ac:dyDescent="0.2">
      <c r="Y698021" s="251"/>
      <c r="AB698021" s="251"/>
      <c r="AE698021" s="251"/>
      <c r="AH698021" s="251"/>
      <c r="AK698021" s="251"/>
    </row>
    <row r="698136" spans="25:37" x14ac:dyDescent="0.2">
      <c r="Y698136" s="5"/>
      <c r="AB698136" s="5"/>
      <c r="AE698136" s="5"/>
      <c r="AH698136" s="5"/>
      <c r="AK698136" s="5"/>
    </row>
    <row r="698146" spans="25:37" x14ac:dyDescent="0.2">
      <c r="Y698146" s="251"/>
      <c r="AB698146" s="251"/>
      <c r="AE698146" s="251"/>
      <c r="AH698146" s="251"/>
      <c r="AK698146" s="251"/>
    </row>
    <row r="698261" spans="25:37" x14ac:dyDescent="0.2">
      <c r="Y698261" s="5"/>
      <c r="AB698261" s="5"/>
      <c r="AE698261" s="5"/>
      <c r="AH698261" s="5"/>
      <c r="AK698261" s="5"/>
    </row>
    <row r="698271" spans="25:37" x14ac:dyDescent="0.2">
      <c r="Y698271" s="251"/>
      <c r="AB698271" s="251"/>
      <c r="AE698271" s="251"/>
      <c r="AH698271" s="251"/>
      <c r="AK698271" s="251"/>
    </row>
    <row r="698386" spans="25:37" x14ac:dyDescent="0.2">
      <c r="Y698386" s="5"/>
      <c r="AB698386" s="5"/>
      <c r="AE698386" s="5"/>
      <c r="AH698386" s="5"/>
      <c r="AK698386" s="5"/>
    </row>
    <row r="698396" spans="25:37" x14ac:dyDescent="0.2">
      <c r="Y698396" s="251"/>
      <c r="AB698396" s="251"/>
      <c r="AE698396" s="251"/>
      <c r="AH698396" s="251"/>
      <c r="AK698396" s="251"/>
    </row>
    <row r="698511" spans="25:37" x14ac:dyDescent="0.2">
      <c r="Y698511" s="5"/>
      <c r="AB698511" s="5"/>
      <c r="AE698511" s="5"/>
      <c r="AH698511" s="5"/>
      <c r="AK698511" s="5"/>
    </row>
    <row r="698521" spans="25:37" x14ac:dyDescent="0.2">
      <c r="Y698521" s="251"/>
      <c r="AB698521" s="251"/>
      <c r="AE698521" s="251"/>
      <c r="AH698521" s="251"/>
      <c r="AK698521" s="251"/>
    </row>
    <row r="698636" spans="25:37" x14ac:dyDescent="0.2">
      <c r="Y698636" s="5"/>
      <c r="AB698636" s="5"/>
      <c r="AE698636" s="5"/>
      <c r="AH698636" s="5"/>
      <c r="AK698636" s="5"/>
    </row>
    <row r="698646" spans="25:37" x14ac:dyDescent="0.2">
      <c r="Y698646" s="251"/>
      <c r="AB698646" s="251"/>
      <c r="AE698646" s="251"/>
      <c r="AH698646" s="251"/>
      <c r="AK698646" s="251"/>
    </row>
    <row r="698761" spans="25:37" x14ac:dyDescent="0.2">
      <c r="Y698761" s="5"/>
      <c r="AB698761" s="5"/>
      <c r="AE698761" s="5"/>
      <c r="AH698761" s="5"/>
      <c r="AK698761" s="5"/>
    </row>
    <row r="698771" spans="25:37" x14ac:dyDescent="0.2">
      <c r="Y698771" s="251"/>
      <c r="AB698771" s="251"/>
      <c r="AE698771" s="251"/>
      <c r="AH698771" s="251"/>
      <c r="AK698771" s="251"/>
    </row>
    <row r="698886" spans="25:37" x14ac:dyDescent="0.2">
      <c r="Y698886" s="5"/>
      <c r="AB698886" s="5"/>
      <c r="AE698886" s="5"/>
      <c r="AH698886" s="5"/>
      <c r="AK698886" s="5"/>
    </row>
    <row r="698896" spans="25:37" x14ac:dyDescent="0.2">
      <c r="Y698896" s="251"/>
      <c r="AB698896" s="251"/>
      <c r="AE698896" s="251"/>
      <c r="AH698896" s="251"/>
      <c r="AK698896" s="251"/>
    </row>
    <row r="699011" spans="25:37" x14ac:dyDescent="0.2">
      <c r="Y699011" s="5"/>
      <c r="AB699011" s="5"/>
      <c r="AE699011" s="5"/>
      <c r="AH699011" s="5"/>
      <c r="AK699011" s="5"/>
    </row>
    <row r="699021" spans="25:37" x14ac:dyDescent="0.2">
      <c r="Y699021" s="251"/>
      <c r="AB699021" s="251"/>
      <c r="AE699021" s="251"/>
      <c r="AH699021" s="251"/>
      <c r="AK699021" s="251"/>
    </row>
    <row r="699136" spans="25:37" x14ac:dyDescent="0.2">
      <c r="Y699136" s="5"/>
      <c r="AB699136" s="5"/>
      <c r="AE699136" s="5"/>
      <c r="AH699136" s="5"/>
      <c r="AK699136" s="5"/>
    </row>
    <row r="699146" spans="25:37" x14ac:dyDescent="0.2">
      <c r="Y699146" s="251"/>
      <c r="AB699146" s="251"/>
      <c r="AE699146" s="251"/>
      <c r="AH699146" s="251"/>
      <c r="AK699146" s="251"/>
    </row>
    <row r="699261" spans="25:37" x14ac:dyDescent="0.2">
      <c r="Y699261" s="5"/>
      <c r="AB699261" s="5"/>
      <c r="AE699261" s="5"/>
      <c r="AH699261" s="5"/>
      <c r="AK699261" s="5"/>
    </row>
    <row r="699271" spans="25:37" x14ac:dyDescent="0.2">
      <c r="Y699271" s="251"/>
      <c r="AB699271" s="251"/>
      <c r="AE699271" s="251"/>
      <c r="AH699271" s="251"/>
      <c r="AK699271" s="251"/>
    </row>
    <row r="699386" spans="25:37" x14ac:dyDescent="0.2">
      <c r="Y699386" s="5"/>
      <c r="AB699386" s="5"/>
      <c r="AE699386" s="5"/>
      <c r="AH699386" s="5"/>
      <c r="AK699386" s="5"/>
    </row>
    <row r="699396" spans="25:37" x14ac:dyDescent="0.2">
      <c r="Y699396" s="251"/>
      <c r="AB699396" s="251"/>
      <c r="AE699396" s="251"/>
      <c r="AH699396" s="251"/>
      <c r="AK699396" s="251"/>
    </row>
    <row r="699511" spans="25:37" x14ac:dyDescent="0.2">
      <c r="Y699511" s="5"/>
      <c r="AB699511" s="5"/>
      <c r="AE699511" s="5"/>
      <c r="AH699511" s="5"/>
      <c r="AK699511" s="5"/>
    </row>
    <row r="699521" spans="25:37" x14ac:dyDescent="0.2">
      <c r="Y699521" s="251"/>
      <c r="AB699521" s="251"/>
      <c r="AE699521" s="251"/>
      <c r="AH699521" s="251"/>
      <c r="AK699521" s="251"/>
    </row>
    <row r="699636" spans="25:37" x14ac:dyDescent="0.2">
      <c r="Y699636" s="5"/>
      <c r="AB699636" s="5"/>
      <c r="AE699636" s="5"/>
      <c r="AH699636" s="5"/>
      <c r="AK699636" s="5"/>
    </row>
    <row r="699646" spans="25:37" x14ac:dyDescent="0.2">
      <c r="Y699646" s="251"/>
      <c r="AB699646" s="251"/>
      <c r="AE699646" s="251"/>
      <c r="AH699646" s="251"/>
      <c r="AK699646" s="251"/>
    </row>
    <row r="699761" spans="25:37" x14ac:dyDescent="0.2">
      <c r="Y699761" s="5"/>
      <c r="AB699761" s="5"/>
      <c r="AE699761" s="5"/>
      <c r="AH699761" s="5"/>
      <c r="AK699761" s="5"/>
    </row>
    <row r="699771" spans="25:37" x14ac:dyDescent="0.2">
      <c r="Y699771" s="251"/>
      <c r="AB699771" s="251"/>
      <c r="AE699771" s="251"/>
      <c r="AH699771" s="251"/>
      <c r="AK699771" s="251"/>
    </row>
    <row r="699886" spans="25:37" x14ac:dyDescent="0.2">
      <c r="Y699886" s="5"/>
      <c r="AB699886" s="5"/>
      <c r="AE699886" s="5"/>
      <c r="AH699886" s="5"/>
      <c r="AK699886" s="5"/>
    </row>
    <row r="699896" spans="25:37" x14ac:dyDescent="0.2">
      <c r="Y699896" s="251"/>
      <c r="AB699896" s="251"/>
      <c r="AE699896" s="251"/>
      <c r="AH699896" s="251"/>
      <c r="AK699896" s="251"/>
    </row>
    <row r="700011" spans="25:37" x14ac:dyDescent="0.2">
      <c r="Y700011" s="5"/>
      <c r="AB700011" s="5"/>
      <c r="AE700011" s="5"/>
      <c r="AH700011" s="5"/>
      <c r="AK700011" s="5"/>
    </row>
    <row r="700021" spans="25:37" x14ac:dyDescent="0.2">
      <c r="Y700021" s="251"/>
      <c r="AB700021" s="251"/>
      <c r="AE700021" s="251"/>
      <c r="AH700021" s="251"/>
      <c r="AK700021" s="251"/>
    </row>
    <row r="700136" spans="25:37" x14ac:dyDescent="0.2">
      <c r="Y700136" s="5"/>
      <c r="AB700136" s="5"/>
      <c r="AE700136" s="5"/>
      <c r="AH700136" s="5"/>
      <c r="AK700136" s="5"/>
    </row>
    <row r="700146" spans="25:37" x14ac:dyDescent="0.2">
      <c r="Y700146" s="251"/>
      <c r="AB700146" s="251"/>
      <c r="AE700146" s="251"/>
      <c r="AH700146" s="251"/>
      <c r="AK700146" s="251"/>
    </row>
    <row r="700261" spans="25:37" x14ac:dyDescent="0.2">
      <c r="Y700261" s="5"/>
      <c r="AB700261" s="5"/>
      <c r="AE700261" s="5"/>
      <c r="AH700261" s="5"/>
      <c r="AK700261" s="5"/>
    </row>
    <row r="700271" spans="25:37" x14ac:dyDescent="0.2">
      <c r="Y700271" s="251"/>
      <c r="AB700271" s="251"/>
      <c r="AE700271" s="251"/>
      <c r="AH700271" s="251"/>
      <c r="AK700271" s="251"/>
    </row>
    <row r="700386" spans="25:37" x14ac:dyDescent="0.2">
      <c r="Y700386" s="5"/>
      <c r="AB700386" s="5"/>
      <c r="AE700386" s="5"/>
      <c r="AH700386" s="5"/>
      <c r="AK700386" s="5"/>
    </row>
    <row r="700396" spans="25:37" x14ac:dyDescent="0.2">
      <c r="Y700396" s="251"/>
      <c r="AB700396" s="251"/>
      <c r="AE700396" s="251"/>
      <c r="AH700396" s="251"/>
      <c r="AK700396" s="251"/>
    </row>
    <row r="700511" spans="25:37" x14ac:dyDescent="0.2">
      <c r="Y700511" s="5"/>
      <c r="AB700511" s="5"/>
      <c r="AE700511" s="5"/>
      <c r="AH700511" s="5"/>
      <c r="AK700511" s="5"/>
    </row>
    <row r="700521" spans="25:37" x14ac:dyDescent="0.2">
      <c r="Y700521" s="251"/>
      <c r="AB700521" s="251"/>
      <c r="AE700521" s="251"/>
      <c r="AH700521" s="251"/>
      <c r="AK700521" s="251"/>
    </row>
    <row r="700636" spans="25:37" x14ac:dyDescent="0.2">
      <c r="Y700636" s="5"/>
      <c r="AB700636" s="5"/>
      <c r="AE700636" s="5"/>
      <c r="AH700636" s="5"/>
      <c r="AK700636" s="5"/>
    </row>
    <row r="700646" spans="25:37" x14ac:dyDescent="0.2">
      <c r="Y700646" s="251"/>
      <c r="AB700646" s="251"/>
      <c r="AE700646" s="251"/>
      <c r="AH700646" s="251"/>
      <c r="AK700646" s="251"/>
    </row>
    <row r="700761" spans="25:37" x14ac:dyDescent="0.2">
      <c r="Y700761" s="5"/>
      <c r="AB700761" s="5"/>
      <c r="AE700761" s="5"/>
      <c r="AH700761" s="5"/>
      <c r="AK700761" s="5"/>
    </row>
    <row r="700771" spans="25:37" x14ac:dyDescent="0.2">
      <c r="Y700771" s="251"/>
      <c r="AB700771" s="251"/>
      <c r="AE700771" s="251"/>
      <c r="AH700771" s="251"/>
      <c r="AK700771" s="251"/>
    </row>
    <row r="700886" spans="25:37" x14ac:dyDescent="0.2">
      <c r="Y700886" s="5"/>
      <c r="AB700886" s="5"/>
      <c r="AE700886" s="5"/>
      <c r="AH700886" s="5"/>
      <c r="AK700886" s="5"/>
    </row>
    <row r="700896" spans="25:37" x14ac:dyDescent="0.2">
      <c r="Y700896" s="251"/>
      <c r="AB700896" s="251"/>
      <c r="AE700896" s="251"/>
      <c r="AH700896" s="251"/>
      <c r="AK700896" s="251"/>
    </row>
    <row r="701011" spans="25:37" x14ac:dyDescent="0.2">
      <c r="Y701011" s="5"/>
      <c r="AB701011" s="5"/>
      <c r="AE701011" s="5"/>
      <c r="AH701011" s="5"/>
      <c r="AK701011" s="5"/>
    </row>
    <row r="701021" spans="25:37" x14ac:dyDescent="0.2">
      <c r="Y701021" s="251"/>
      <c r="AB701021" s="251"/>
      <c r="AE701021" s="251"/>
      <c r="AH701021" s="251"/>
      <c r="AK701021" s="251"/>
    </row>
    <row r="701136" spans="25:37" x14ac:dyDescent="0.2">
      <c r="Y701136" s="5"/>
      <c r="AB701136" s="5"/>
      <c r="AE701136" s="5"/>
      <c r="AH701136" s="5"/>
      <c r="AK701136" s="5"/>
    </row>
    <row r="701146" spans="25:37" x14ac:dyDescent="0.2">
      <c r="Y701146" s="251"/>
      <c r="AB701146" s="251"/>
      <c r="AE701146" s="251"/>
      <c r="AH701146" s="251"/>
      <c r="AK701146" s="251"/>
    </row>
    <row r="701261" spans="25:37" x14ac:dyDescent="0.2">
      <c r="Y701261" s="5"/>
      <c r="AB701261" s="5"/>
      <c r="AE701261" s="5"/>
      <c r="AH701261" s="5"/>
      <c r="AK701261" s="5"/>
    </row>
    <row r="701271" spans="25:37" x14ac:dyDescent="0.2">
      <c r="Y701271" s="251"/>
      <c r="AB701271" s="251"/>
      <c r="AE701271" s="251"/>
      <c r="AH701271" s="251"/>
      <c r="AK701271" s="251"/>
    </row>
    <row r="701386" spans="25:37" x14ac:dyDescent="0.2">
      <c r="Y701386" s="5"/>
      <c r="AB701386" s="5"/>
      <c r="AE701386" s="5"/>
      <c r="AH701386" s="5"/>
      <c r="AK701386" s="5"/>
    </row>
    <row r="701396" spans="25:37" x14ac:dyDescent="0.2">
      <c r="Y701396" s="251"/>
      <c r="AB701396" s="251"/>
      <c r="AE701396" s="251"/>
      <c r="AH701396" s="251"/>
      <c r="AK701396" s="251"/>
    </row>
    <row r="701511" spans="25:37" x14ac:dyDescent="0.2">
      <c r="Y701511" s="5"/>
      <c r="AB701511" s="5"/>
      <c r="AE701511" s="5"/>
      <c r="AH701511" s="5"/>
      <c r="AK701511" s="5"/>
    </row>
    <row r="701521" spans="25:37" x14ac:dyDescent="0.2">
      <c r="Y701521" s="251"/>
      <c r="AB701521" s="251"/>
      <c r="AE701521" s="251"/>
      <c r="AH701521" s="251"/>
      <c r="AK701521" s="251"/>
    </row>
    <row r="701636" spans="25:37" x14ac:dyDescent="0.2">
      <c r="Y701636" s="5"/>
      <c r="AB701636" s="5"/>
      <c r="AE701636" s="5"/>
      <c r="AH701636" s="5"/>
      <c r="AK701636" s="5"/>
    </row>
    <row r="701646" spans="25:37" x14ac:dyDescent="0.2">
      <c r="Y701646" s="251"/>
      <c r="AB701646" s="251"/>
      <c r="AE701646" s="251"/>
      <c r="AH701646" s="251"/>
      <c r="AK701646" s="251"/>
    </row>
    <row r="701761" spans="25:37" x14ac:dyDescent="0.2">
      <c r="Y701761" s="5"/>
      <c r="AB701761" s="5"/>
      <c r="AE701761" s="5"/>
      <c r="AH701761" s="5"/>
      <c r="AK701761" s="5"/>
    </row>
    <row r="701771" spans="25:37" x14ac:dyDescent="0.2">
      <c r="Y701771" s="251"/>
      <c r="AB701771" s="251"/>
      <c r="AE701771" s="251"/>
      <c r="AH701771" s="251"/>
      <c r="AK701771" s="251"/>
    </row>
    <row r="701886" spans="25:37" x14ac:dyDescent="0.2">
      <c r="Y701886" s="5"/>
      <c r="AB701886" s="5"/>
      <c r="AE701886" s="5"/>
      <c r="AH701886" s="5"/>
      <c r="AK701886" s="5"/>
    </row>
    <row r="701896" spans="25:37" x14ac:dyDescent="0.2">
      <c r="Y701896" s="251"/>
      <c r="AB701896" s="251"/>
      <c r="AE701896" s="251"/>
      <c r="AH701896" s="251"/>
      <c r="AK701896" s="251"/>
    </row>
    <row r="702011" spans="25:37" x14ac:dyDescent="0.2">
      <c r="Y702011" s="5"/>
      <c r="AB702011" s="5"/>
      <c r="AE702011" s="5"/>
      <c r="AH702011" s="5"/>
      <c r="AK702011" s="5"/>
    </row>
    <row r="702021" spans="25:37" x14ac:dyDescent="0.2">
      <c r="Y702021" s="251"/>
      <c r="AB702021" s="251"/>
      <c r="AE702021" s="251"/>
      <c r="AH702021" s="251"/>
      <c r="AK702021" s="251"/>
    </row>
    <row r="702136" spans="25:37" x14ac:dyDescent="0.2">
      <c r="Y702136" s="5"/>
      <c r="AB702136" s="5"/>
      <c r="AE702136" s="5"/>
      <c r="AH702136" s="5"/>
      <c r="AK702136" s="5"/>
    </row>
    <row r="702146" spans="25:37" x14ac:dyDescent="0.2">
      <c r="Y702146" s="251"/>
      <c r="AB702146" s="251"/>
      <c r="AE702146" s="251"/>
      <c r="AH702146" s="251"/>
      <c r="AK702146" s="251"/>
    </row>
    <row r="702261" spans="25:37" x14ac:dyDescent="0.2">
      <c r="Y702261" s="5"/>
      <c r="AB702261" s="5"/>
      <c r="AE702261" s="5"/>
      <c r="AH702261" s="5"/>
      <c r="AK702261" s="5"/>
    </row>
    <row r="702271" spans="25:37" x14ac:dyDescent="0.2">
      <c r="Y702271" s="251"/>
      <c r="AB702271" s="251"/>
      <c r="AE702271" s="251"/>
      <c r="AH702271" s="251"/>
      <c r="AK702271" s="251"/>
    </row>
    <row r="702386" spans="25:37" x14ac:dyDescent="0.2">
      <c r="Y702386" s="5"/>
      <c r="AB702386" s="5"/>
      <c r="AE702386" s="5"/>
      <c r="AH702386" s="5"/>
      <c r="AK702386" s="5"/>
    </row>
    <row r="702396" spans="25:37" x14ac:dyDescent="0.2">
      <c r="Y702396" s="251"/>
      <c r="AB702396" s="251"/>
      <c r="AE702396" s="251"/>
      <c r="AH702396" s="251"/>
      <c r="AK702396" s="251"/>
    </row>
    <row r="702511" spans="25:37" x14ac:dyDescent="0.2">
      <c r="Y702511" s="5"/>
      <c r="AB702511" s="5"/>
      <c r="AE702511" s="5"/>
      <c r="AH702511" s="5"/>
      <c r="AK702511" s="5"/>
    </row>
    <row r="702521" spans="25:37" x14ac:dyDescent="0.2">
      <c r="Y702521" s="251"/>
      <c r="AB702521" s="251"/>
      <c r="AE702521" s="251"/>
      <c r="AH702521" s="251"/>
      <c r="AK702521" s="251"/>
    </row>
    <row r="702636" spans="25:37" x14ac:dyDescent="0.2">
      <c r="Y702636" s="5"/>
      <c r="AB702636" s="5"/>
      <c r="AE702636" s="5"/>
      <c r="AH702636" s="5"/>
      <c r="AK702636" s="5"/>
    </row>
    <row r="702646" spans="25:37" x14ac:dyDescent="0.2">
      <c r="Y702646" s="251"/>
      <c r="AB702646" s="251"/>
      <c r="AE702646" s="251"/>
      <c r="AH702646" s="251"/>
      <c r="AK702646" s="251"/>
    </row>
    <row r="702761" spans="25:37" x14ac:dyDescent="0.2">
      <c r="Y702761" s="5"/>
      <c r="AB702761" s="5"/>
      <c r="AE702761" s="5"/>
      <c r="AH702761" s="5"/>
      <c r="AK702761" s="5"/>
    </row>
    <row r="702771" spans="25:37" x14ac:dyDescent="0.2">
      <c r="Y702771" s="251"/>
      <c r="AB702771" s="251"/>
      <c r="AE702771" s="251"/>
      <c r="AH702771" s="251"/>
      <c r="AK702771" s="251"/>
    </row>
    <row r="702886" spans="25:37" x14ac:dyDescent="0.2">
      <c r="Y702886" s="5"/>
      <c r="AB702886" s="5"/>
      <c r="AE702886" s="5"/>
      <c r="AH702886" s="5"/>
      <c r="AK702886" s="5"/>
    </row>
    <row r="702896" spans="25:37" x14ac:dyDescent="0.2">
      <c r="Y702896" s="251"/>
      <c r="AB702896" s="251"/>
      <c r="AE702896" s="251"/>
      <c r="AH702896" s="251"/>
      <c r="AK702896" s="251"/>
    </row>
    <row r="703011" spans="25:37" x14ac:dyDescent="0.2">
      <c r="Y703011" s="5"/>
      <c r="AB703011" s="5"/>
      <c r="AE703011" s="5"/>
      <c r="AH703011" s="5"/>
      <c r="AK703011" s="5"/>
    </row>
    <row r="703021" spans="25:37" x14ac:dyDescent="0.2">
      <c r="Y703021" s="251"/>
      <c r="AB703021" s="251"/>
      <c r="AE703021" s="251"/>
      <c r="AH703021" s="251"/>
      <c r="AK703021" s="251"/>
    </row>
    <row r="703136" spans="25:37" x14ac:dyDescent="0.2">
      <c r="Y703136" s="5"/>
      <c r="AB703136" s="5"/>
      <c r="AE703136" s="5"/>
      <c r="AH703136" s="5"/>
      <c r="AK703136" s="5"/>
    </row>
    <row r="703146" spans="25:37" x14ac:dyDescent="0.2">
      <c r="Y703146" s="251"/>
      <c r="AB703146" s="251"/>
      <c r="AE703146" s="251"/>
      <c r="AH703146" s="251"/>
      <c r="AK703146" s="251"/>
    </row>
    <row r="703261" spans="25:37" x14ac:dyDescent="0.2">
      <c r="Y703261" s="5"/>
      <c r="AB703261" s="5"/>
      <c r="AE703261" s="5"/>
      <c r="AH703261" s="5"/>
      <c r="AK703261" s="5"/>
    </row>
    <row r="703271" spans="25:37" x14ac:dyDescent="0.2">
      <c r="Y703271" s="251"/>
      <c r="AB703271" s="251"/>
      <c r="AE703271" s="251"/>
      <c r="AH703271" s="251"/>
      <c r="AK703271" s="251"/>
    </row>
    <row r="703386" spans="25:37" x14ac:dyDescent="0.2">
      <c r="Y703386" s="5"/>
      <c r="AB703386" s="5"/>
      <c r="AE703386" s="5"/>
      <c r="AH703386" s="5"/>
      <c r="AK703386" s="5"/>
    </row>
    <row r="703396" spans="25:37" x14ac:dyDescent="0.2">
      <c r="Y703396" s="251"/>
      <c r="AB703396" s="251"/>
      <c r="AE703396" s="251"/>
      <c r="AH703396" s="251"/>
      <c r="AK703396" s="251"/>
    </row>
    <row r="703511" spans="25:37" x14ac:dyDescent="0.2">
      <c r="Y703511" s="5"/>
      <c r="AB703511" s="5"/>
      <c r="AE703511" s="5"/>
      <c r="AH703511" s="5"/>
      <c r="AK703511" s="5"/>
    </row>
    <row r="703521" spans="25:37" x14ac:dyDescent="0.2">
      <c r="Y703521" s="251"/>
      <c r="AB703521" s="251"/>
      <c r="AE703521" s="251"/>
      <c r="AH703521" s="251"/>
      <c r="AK703521" s="251"/>
    </row>
    <row r="703636" spans="25:37" x14ac:dyDescent="0.2">
      <c r="Y703636" s="5"/>
      <c r="AB703636" s="5"/>
      <c r="AE703636" s="5"/>
      <c r="AH703636" s="5"/>
      <c r="AK703636" s="5"/>
    </row>
    <row r="703646" spans="25:37" x14ac:dyDescent="0.2">
      <c r="Y703646" s="251"/>
      <c r="AB703646" s="251"/>
      <c r="AE703646" s="251"/>
      <c r="AH703646" s="251"/>
      <c r="AK703646" s="251"/>
    </row>
    <row r="703761" spans="25:37" x14ac:dyDescent="0.2">
      <c r="Y703761" s="5"/>
      <c r="AB703761" s="5"/>
      <c r="AE703761" s="5"/>
      <c r="AH703761" s="5"/>
      <c r="AK703761" s="5"/>
    </row>
    <row r="703771" spans="25:37" x14ac:dyDescent="0.2">
      <c r="Y703771" s="251"/>
      <c r="AB703771" s="251"/>
      <c r="AE703771" s="251"/>
      <c r="AH703771" s="251"/>
      <c r="AK703771" s="251"/>
    </row>
    <row r="703886" spans="25:37" x14ac:dyDescent="0.2">
      <c r="Y703886" s="5"/>
      <c r="AB703886" s="5"/>
      <c r="AE703886" s="5"/>
      <c r="AH703886" s="5"/>
      <c r="AK703886" s="5"/>
    </row>
    <row r="703896" spans="25:37" x14ac:dyDescent="0.2">
      <c r="Y703896" s="251"/>
      <c r="AB703896" s="251"/>
      <c r="AE703896" s="251"/>
      <c r="AH703896" s="251"/>
      <c r="AK703896" s="251"/>
    </row>
    <row r="704011" spans="25:37" x14ac:dyDescent="0.2">
      <c r="Y704011" s="5"/>
      <c r="AB704011" s="5"/>
      <c r="AE704011" s="5"/>
      <c r="AH704011" s="5"/>
      <c r="AK704011" s="5"/>
    </row>
    <row r="704021" spans="25:37" x14ac:dyDescent="0.2">
      <c r="Y704021" s="251"/>
      <c r="AB704021" s="251"/>
      <c r="AE704021" s="251"/>
      <c r="AH704021" s="251"/>
      <c r="AK704021" s="251"/>
    </row>
    <row r="704136" spans="25:37" x14ac:dyDescent="0.2">
      <c r="Y704136" s="5"/>
      <c r="AB704136" s="5"/>
      <c r="AE704136" s="5"/>
      <c r="AH704136" s="5"/>
      <c r="AK704136" s="5"/>
    </row>
    <row r="704146" spans="25:37" x14ac:dyDescent="0.2">
      <c r="Y704146" s="251"/>
      <c r="AB704146" s="251"/>
      <c r="AE704146" s="251"/>
      <c r="AH704146" s="251"/>
      <c r="AK704146" s="251"/>
    </row>
    <row r="704261" spans="25:37" x14ac:dyDescent="0.2">
      <c r="Y704261" s="5"/>
      <c r="AB704261" s="5"/>
      <c r="AE704261" s="5"/>
      <c r="AH704261" s="5"/>
      <c r="AK704261" s="5"/>
    </row>
    <row r="704271" spans="25:37" x14ac:dyDescent="0.2">
      <c r="Y704271" s="251"/>
      <c r="AB704271" s="251"/>
      <c r="AE704271" s="251"/>
      <c r="AH704271" s="251"/>
      <c r="AK704271" s="251"/>
    </row>
    <row r="704386" spans="25:37" x14ac:dyDescent="0.2">
      <c r="Y704386" s="5"/>
      <c r="AB704386" s="5"/>
      <c r="AE704386" s="5"/>
      <c r="AH704386" s="5"/>
      <c r="AK704386" s="5"/>
    </row>
    <row r="704396" spans="25:37" x14ac:dyDescent="0.2">
      <c r="Y704396" s="251"/>
      <c r="AB704396" s="251"/>
      <c r="AE704396" s="251"/>
      <c r="AH704396" s="251"/>
      <c r="AK704396" s="251"/>
    </row>
    <row r="704511" spans="25:37" x14ac:dyDescent="0.2">
      <c r="Y704511" s="5"/>
      <c r="AB704511" s="5"/>
      <c r="AE704511" s="5"/>
      <c r="AH704511" s="5"/>
      <c r="AK704511" s="5"/>
    </row>
    <row r="704521" spans="25:37" x14ac:dyDescent="0.2">
      <c r="Y704521" s="251"/>
      <c r="AB704521" s="251"/>
      <c r="AE704521" s="251"/>
      <c r="AH704521" s="251"/>
      <c r="AK704521" s="251"/>
    </row>
    <row r="704636" spans="25:37" x14ac:dyDescent="0.2">
      <c r="Y704636" s="5"/>
      <c r="AB704636" s="5"/>
      <c r="AE704636" s="5"/>
      <c r="AH704636" s="5"/>
      <c r="AK704636" s="5"/>
    </row>
    <row r="704646" spans="25:37" x14ac:dyDescent="0.2">
      <c r="Y704646" s="251"/>
      <c r="AB704646" s="251"/>
      <c r="AE704646" s="251"/>
      <c r="AH704646" s="251"/>
      <c r="AK704646" s="251"/>
    </row>
    <row r="704761" spans="25:37" x14ac:dyDescent="0.2">
      <c r="Y704761" s="5"/>
      <c r="AB704761" s="5"/>
      <c r="AE704761" s="5"/>
      <c r="AH704761" s="5"/>
      <c r="AK704761" s="5"/>
    </row>
    <row r="704771" spans="25:37" x14ac:dyDescent="0.2">
      <c r="Y704771" s="251"/>
      <c r="AB704771" s="251"/>
      <c r="AE704771" s="251"/>
      <c r="AH704771" s="251"/>
      <c r="AK704771" s="251"/>
    </row>
    <row r="704886" spans="25:37" x14ac:dyDescent="0.2">
      <c r="Y704886" s="5"/>
      <c r="AB704886" s="5"/>
      <c r="AE704886" s="5"/>
      <c r="AH704886" s="5"/>
      <c r="AK704886" s="5"/>
    </row>
    <row r="704896" spans="25:37" x14ac:dyDescent="0.2">
      <c r="Y704896" s="251"/>
      <c r="AB704896" s="251"/>
      <c r="AE704896" s="251"/>
      <c r="AH704896" s="251"/>
      <c r="AK704896" s="251"/>
    </row>
    <row r="705011" spans="25:37" x14ac:dyDescent="0.2">
      <c r="Y705011" s="5"/>
      <c r="AB705011" s="5"/>
      <c r="AE705011" s="5"/>
      <c r="AH705011" s="5"/>
      <c r="AK705011" s="5"/>
    </row>
    <row r="705021" spans="25:37" x14ac:dyDescent="0.2">
      <c r="Y705021" s="251"/>
      <c r="AB705021" s="251"/>
      <c r="AE705021" s="251"/>
      <c r="AH705021" s="251"/>
      <c r="AK705021" s="251"/>
    </row>
    <row r="705136" spans="25:37" x14ac:dyDescent="0.2">
      <c r="Y705136" s="5"/>
      <c r="AB705136" s="5"/>
      <c r="AE705136" s="5"/>
      <c r="AH705136" s="5"/>
      <c r="AK705136" s="5"/>
    </row>
    <row r="705146" spans="25:37" x14ac:dyDescent="0.2">
      <c r="Y705146" s="251"/>
      <c r="AB705146" s="251"/>
      <c r="AE705146" s="251"/>
      <c r="AH705146" s="251"/>
      <c r="AK705146" s="251"/>
    </row>
    <row r="705261" spans="25:37" x14ac:dyDescent="0.2">
      <c r="Y705261" s="5"/>
      <c r="AB705261" s="5"/>
      <c r="AE705261" s="5"/>
      <c r="AH705261" s="5"/>
      <c r="AK705261" s="5"/>
    </row>
    <row r="705271" spans="25:37" x14ac:dyDescent="0.2">
      <c r="Y705271" s="251"/>
      <c r="AB705271" s="251"/>
      <c r="AE705271" s="251"/>
      <c r="AH705271" s="251"/>
      <c r="AK705271" s="251"/>
    </row>
    <row r="705386" spans="25:37" x14ac:dyDescent="0.2">
      <c r="Y705386" s="5"/>
      <c r="AB705386" s="5"/>
      <c r="AE705386" s="5"/>
      <c r="AH705386" s="5"/>
      <c r="AK705386" s="5"/>
    </row>
    <row r="705396" spans="25:37" x14ac:dyDescent="0.2">
      <c r="Y705396" s="251"/>
      <c r="AB705396" s="251"/>
      <c r="AE705396" s="251"/>
      <c r="AH705396" s="251"/>
      <c r="AK705396" s="251"/>
    </row>
    <row r="705511" spans="25:37" x14ac:dyDescent="0.2">
      <c r="Y705511" s="5"/>
      <c r="AB705511" s="5"/>
      <c r="AE705511" s="5"/>
      <c r="AH705511" s="5"/>
      <c r="AK705511" s="5"/>
    </row>
    <row r="705521" spans="25:37" x14ac:dyDescent="0.2">
      <c r="Y705521" s="251"/>
      <c r="AB705521" s="251"/>
      <c r="AE705521" s="251"/>
      <c r="AH705521" s="251"/>
      <c r="AK705521" s="251"/>
    </row>
    <row r="705636" spans="25:37" x14ac:dyDescent="0.2">
      <c r="Y705636" s="5"/>
      <c r="AB705636" s="5"/>
      <c r="AE705636" s="5"/>
      <c r="AH705636" s="5"/>
      <c r="AK705636" s="5"/>
    </row>
    <row r="705646" spans="25:37" x14ac:dyDescent="0.2">
      <c r="Y705646" s="251"/>
      <c r="AB705646" s="251"/>
      <c r="AE705646" s="251"/>
      <c r="AH705646" s="251"/>
      <c r="AK705646" s="251"/>
    </row>
    <row r="705761" spans="25:37" x14ac:dyDescent="0.2">
      <c r="Y705761" s="5"/>
      <c r="AB705761" s="5"/>
      <c r="AE705761" s="5"/>
      <c r="AH705761" s="5"/>
      <c r="AK705761" s="5"/>
    </row>
    <row r="705771" spans="25:37" x14ac:dyDescent="0.2">
      <c r="Y705771" s="251"/>
      <c r="AB705771" s="251"/>
      <c r="AE705771" s="251"/>
      <c r="AH705771" s="251"/>
      <c r="AK705771" s="251"/>
    </row>
    <row r="705886" spans="25:37" x14ac:dyDescent="0.2">
      <c r="Y705886" s="5"/>
      <c r="AB705886" s="5"/>
      <c r="AE705886" s="5"/>
      <c r="AH705886" s="5"/>
      <c r="AK705886" s="5"/>
    </row>
    <row r="705896" spans="25:37" x14ac:dyDescent="0.2">
      <c r="Y705896" s="251"/>
      <c r="AB705896" s="251"/>
      <c r="AE705896" s="251"/>
      <c r="AH705896" s="251"/>
      <c r="AK705896" s="251"/>
    </row>
    <row r="706011" spans="25:37" x14ac:dyDescent="0.2">
      <c r="Y706011" s="5"/>
      <c r="AB706011" s="5"/>
      <c r="AE706011" s="5"/>
      <c r="AH706011" s="5"/>
      <c r="AK706011" s="5"/>
    </row>
    <row r="706021" spans="25:37" x14ac:dyDescent="0.2">
      <c r="Y706021" s="251"/>
      <c r="AB706021" s="251"/>
      <c r="AE706021" s="251"/>
      <c r="AH706021" s="251"/>
      <c r="AK706021" s="251"/>
    </row>
    <row r="706136" spans="25:37" x14ac:dyDescent="0.2">
      <c r="Y706136" s="5"/>
      <c r="AB706136" s="5"/>
      <c r="AE706136" s="5"/>
      <c r="AH706136" s="5"/>
      <c r="AK706136" s="5"/>
    </row>
    <row r="706146" spans="25:37" x14ac:dyDescent="0.2">
      <c r="Y706146" s="251"/>
      <c r="AB706146" s="251"/>
      <c r="AE706146" s="251"/>
      <c r="AH706146" s="251"/>
      <c r="AK706146" s="251"/>
    </row>
    <row r="706261" spans="25:37" x14ac:dyDescent="0.2">
      <c r="Y706261" s="5"/>
      <c r="AB706261" s="5"/>
      <c r="AE706261" s="5"/>
      <c r="AH706261" s="5"/>
      <c r="AK706261" s="5"/>
    </row>
    <row r="706271" spans="25:37" x14ac:dyDescent="0.2">
      <c r="Y706271" s="251"/>
      <c r="AB706271" s="251"/>
      <c r="AE706271" s="251"/>
      <c r="AH706271" s="251"/>
      <c r="AK706271" s="251"/>
    </row>
    <row r="706386" spans="25:37" x14ac:dyDescent="0.2">
      <c r="Y706386" s="5"/>
      <c r="AB706386" s="5"/>
      <c r="AE706386" s="5"/>
      <c r="AH706386" s="5"/>
      <c r="AK706386" s="5"/>
    </row>
    <row r="706396" spans="25:37" x14ac:dyDescent="0.2">
      <c r="Y706396" s="251"/>
      <c r="AB706396" s="251"/>
      <c r="AE706396" s="251"/>
      <c r="AH706396" s="251"/>
      <c r="AK706396" s="251"/>
    </row>
    <row r="706511" spans="25:37" x14ac:dyDescent="0.2">
      <c r="Y706511" s="5"/>
      <c r="AB706511" s="5"/>
      <c r="AE706511" s="5"/>
      <c r="AH706511" s="5"/>
      <c r="AK706511" s="5"/>
    </row>
    <row r="706521" spans="25:37" x14ac:dyDescent="0.2">
      <c r="Y706521" s="251"/>
      <c r="AB706521" s="251"/>
      <c r="AE706521" s="251"/>
      <c r="AH706521" s="251"/>
      <c r="AK706521" s="251"/>
    </row>
    <row r="706636" spans="25:37" x14ac:dyDescent="0.2">
      <c r="Y706636" s="5"/>
      <c r="AB706636" s="5"/>
      <c r="AE706636" s="5"/>
      <c r="AH706636" s="5"/>
      <c r="AK706636" s="5"/>
    </row>
    <row r="706646" spans="25:37" x14ac:dyDescent="0.2">
      <c r="Y706646" s="251"/>
      <c r="AB706646" s="251"/>
      <c r="AE706646" s="251"/>
      <c r="AH706646" s="251"/>
      <c r="AK706646" s="251"/>
    </row>
    <row r="706761" spans="25:37" x14ac:dyDescent="0.2">
      <c r="Y706761" s="5"/>
      <c r="AB706761" s="5"/>
      <c r="AE706761" s="5"/>
      <c r="AH706761" s="5"/>
      <c r="AK706761" s="5"/>
    </row>
    <row r="706771" spans="25:37" x14ac:dyDescent="0.2">
      <c r="Y706771" s="251"/>
      <c r="AB706771" s="251"/>
      <c r="AE706771" s="251"/>
      <c r="AH706771" s="251"/>
      <c r="AK706771" s="251"/>
    </row>
    <row r="706886" spans="25:37" x14ac:dyDescent="0.2">
      <c r="Y706886" s="5"/>
      <c r="AB706886" s="5"/>
      <c r="AE706886" s="5"/>
      <c r="AH706886" s="5"/>
      <c r="AK706886" s="5"/>
    </row>
    <row r="706896" spans="25:37" x14ac:dyDescent="0.2">
      <c r="Y706896" s="251"/>
      <c r="AB706896" s="251"/>
      <c r="AE706896" s="251"/>
      <c r="AH706896" s="251"/>
      <c r="AK706896" s="251"/>
    </row>
    <row r="707011" spans="25:37" x14ac:dyDescent="0.2">
      <c r="Y707011" s="5"/>
      <c r="AB707011" s="5"/>
      <c r="AE707011" s="5"/>
      <c r="AH707011" s="5"/>
      <c r="AK707011" s="5"/>
    </row>
    <row r="707021" spans="25:37" x14ac:dyDescent="0.2">
      <c r="Y707021" s="251"/>
      <c r="AB707021" s="251"/>
      <c r="AE707021" s="251"/>
      <c r="AH707021" s="251"/>
      <c r="AK707021" s="251"/>
    </row>
    <row r="707136" spans="25:37" x14ac:dyDescent="0.2">
      <c r="Y707136" s="5"/>
      <c r="AB707136" s="5"/>
      <c r="AE707136" s="5"/>
      <c r="AH707136" s="5"/>
      <c r="AK707136" s="5"/>
    </row>
    <row r="707146" spans="25:37" x14ac:dyDescent="0.2">
      <c r="Y707146" s="251"/>
      <c r="AB707146" s="251"/>
      <c r="AE707146" s="251"/>
      <c r="AH707146" s="251"/>
      <c r="AK707146" s="251"/>
    </row>
    <row r="707261" spans="25:37" x14ac:dyDescent="0.2">
      <c r="Y707261" s="5"/>
      <c r="AB707261" s="5"/>
      <c r="AE707261" s="5"/>
      <c r="AH707261" s="5"/>
      <c r="AK707261" s="5"/>
    </row>
    <row r="707271" spans="25:37" x14ac:dyDescent="0.2">
      <c r="Y707271" s="251"/>
      <c r="AB707271" s="251"/>
      <c r="AE707271" s="251"/>
      <c r="AH707271" s="251"/>
      <c r="AK707271" s="251"/>
    </row>
    <row r="707386" spans="25:37" x14ac:dyDescent="0.2">
      <c r="Y707386" s="5"/>
      <c r="AB707386" s="5"/>
      <c r="AE707386" s="5"/>
      <c r="AH707386" s="5"/>
      <c r="AK707386" s="5"/>
    </row>
    <row r="707396" spans="25:37" x14ac:dyDescent="0.2">
      <c r="Y707396" s="251"/>
      <c r="AB707396" s="251"/>
      <c r="AE707396" s="251"/>
      <c r="AH707396" s="251"/>
      <c r="AK707396" s="251"/>
    </row>
    <row r="707511" spans="25:37" x14ac:dyDescent="0.2">
      <c r="Y707511" s="5"/>
      <c r="AB707511" s="5"/>
      <c r="AE707511" s="5"/>
      <c r="AH707511" s="5"/>
      <c r="AK707511" s="5"/>
    </row>
    <row r="707521" spans="25:37" x14ac:dyDescent="0.2">
      <c r="Y707521" s="251"/>
      <c r="AB707521" s="251"/>
      <c r="AE707521" s="251"/>
      <c r="AH707521" s="251"/>
      <c r="AK707521" s="251"/>
    </row>
    <row r="707636" spans="25:37" x14ac:dyDescent="0.2">
      <c r="Y707636" s="5"/>
      <c r="AB707636" s="5"/>
      <c r="AE707636" s="5"/>
      <c r="AH707636" s="5"/>
      <c r="AK707636" s="5"/>
    </row>
    <row r="707646" spans="25:37" x14ac:dyDescent="0.2">
      <c r="Y707646" s="251"/>
      <c r="AB707646" s="251"/>
      <c r="AE707646" s="251"/>
      <c r="AH707646" s="251"/>
      <c r="AK707646" s="251"/>
    </row>
    <row r="707761" spans="25:37" x14ac:dyDescent="0.2">
      <c r="Y707761" s="5"/>
      <c r="AB707761" s="5"/>
      <c r="AE707761" s="5"/>
      <c r="AH707761" s="5"/>
      <c r="AK707761" s="5"/>
    </row>
    <row r="707771" spans="25:37" x14ac:dyDescent="0.2">
      <c r="Y707771" s="251"/>
      <c r="AB707771" s="251"/>
      <c r="AE707771" s="251"/>
      <c r="AH707771" s="251"/>
      <c r="AK707771" s="251"/>
    </row>
    <row r="707886" spans="25:37" x14ac:dyDescent="0.2">
      <c r="Y707886" s="5"/>
      <c r="AB707886" s="5"/>
      <c r="AE707886" s="5"/>
      <c r="AH707886" s="5"/>
      <c r="AK707886" s="5"/>
    </row>
    <row r="707896" spans="25:37" x14ac:dyDescent="0.2">
      <c r="Y707896" s="251"/>
      <c r="AB707896" s="251"/>
      <c r="AE707896" s="251"/>
      <c r="AH707896" s="251"/>
      <c r="AK707896" s="251"/>
    </row>
    <row r="708011" spans="25:37" x14ac:dyDescent="0.2">
      <c r="Y708011" s="5"/>
      <c r="AB708011" s="5"/>
      <c r="AE708011" s="5"/>
      <c r="AH708011" s="5"/>
      <c r="AK708011" s="5"/>
    </row>
    <row r="708021" spans="25:37" x14ac:dyDescent="0.2">
      <c r="Y708021" s="251"/>
      <c r="AB708021" s="251"/>
      <c r="AE708021" s="251"/>
      <c r="AH708021" s="251"/>
      <c r="AK708021" s="251"/>
    </row>
    <row r="708136" spans="25:37" x14ac:dyDescent="0.2">
      <c r="Y708136" s="5"/>
      <c r="AB708136" s="5"/>
      <c r="AE708136" s="5"/>
      <c r="AH708136" s="5"/>
      <c r="AK708136" s="5"/>
    </row>
    <row r="708146" spans="25:37" x14ac:dyDescent="0.2">
      <c r="Y708146" s="251"/>
      <c r="AB708146" s="251"/>
      <c r="AE708146" s="251"/>
      <c r="AH708146" s="251"/>
      <c r="AK708146" s="251"/>
    </row>
    <row r="708261" spans="25:37" x14ac:dyDescent="0.2">
      <c r="Y708261" s="5"/>
      <c r="AB708261" s="5"/>
      <c r="AE708261" s="5"/>
      <c r="AH708261" s="5"/>
      <c r="AK708261" s="5"/>
    </row>
    <row r="708271" spans="25:37" x14ac:dyDescent="0.2">
      <c r="Y708271" s="251"/>
      <c r="AB708271" s="251"/>
      <c r="AE708271" s="251"/>
      <c r="AH708271" s="251"/>
      <c r="AK708271" s="251"/>
    </row>
    <row r="708386" spans="25:37" x14ac:dyDescent="0.2">
      <c r="Y708386" s="5"/>
      <c r="AB708386" s="5"/>
      <c r="AE708386" s="5"/>
      <c r="AH708386" s="5"/>
      <c r="AK708386" s="5"/>
    </row>
    <row r="708396" spans="25:37" x14ac:dyDescent="0.2">
      <c r="Y708396" s="251"/>
      <c r="AB708396" s="251"/>
      <c r="AE708396" s="251"/>
      <c r="AH708396" s="251"/>
      <c r="AK708396" s="251"/>
    </row>
    <row r="708511" spans="25:37" x14ac:dyDescent="0.2">
      <c r="Y708511" s="5"/>
      <c r="AB708511" s="5"/>
      <c r="AE708511" s="5"/>
      <c r="AH708511" s="5"/>
      <c r="AK708511" s="5"/>
    </row>
    <row r="708521" spans="25:37" x14ac:dyDescent="0.2">
      <c r="Y708521" s="251"/>
      <c r="AB708521" s="251"/>
      <c r="AE708521" s="251"/>
      <c r="AH708521" s="251"/>
      <c r="AK708521" s="251"/>
    </row>
    <row r="708636" spans="25:37" x14ac:dyDescent="0.2">
      <c r="Y708636" s="5"/>
      <c r="AB708636" s="5"/>
      <c r="AE708636" s="5"/>
      <c r="AH708636" s="5"/>
      <c r="AK708636" s="5"/>
    </row>
    <row r="708646" spans="25:37" x14ac:dyDescent="0.2">
      <c r="Y708646" s="251"/>
      <c r="AB708646" s="251"/>
      <c r="AE708646" s="251"/>
      <c r="AH708646" s="251"/>
      <c r="AK708646" s="251"/>
    </row>
    <row r="708761" spans="25:37" x14ac:dyDescent="0.2">
      <c r="Y708761" s="5"/>
      <c r="AB708761" s="5"/>
      <c r="AE708761" s="5"/>
      <c r="AH708761" s="5"/>
      <c r="AK708761" s="5"/>
    </row>
    <row r="708771" spans="25:37" x14ac:dyDescent="0.2">
      <c r="Y708771" s="251"/>
      <c r="AB708771" s="251"/>
      <c r="AE708771" s="251"/>
      <c r="AH708771" s="251"/>
      <c r="AK708771" s="251"/>
    </row>
    <row r="708886" spans="25:37" x14ac:dyDescent="0.2">
      <c r="Y708886" s="5"/>
      <c r="AB708886" s="5"/>
      <c r="AE708886" s="5"/>
      <c r="AH708886" s="5"/>
      <c r="AK708886" s="5"/>
    </row>
    <row r="708896" spans="25:37" x14ac:dyDescent="0.2">
      <c r="Y708896" s="251"/>
      <c r="AB708896" s="251"/>
      <c r="AE708896" s="251"/>
      <c r="AH708896" s="251"/>
      <c r="AK708896" s="251"/>
    </row>
    <row r="709011" spans="25:37" x14ac:dyDescent="0.2">
      <c r="Y709011" s="5"/>
      <c r="AB709011" s="5"/>
      <c r="AE709011" s="5"/>
      <c r="AH709011" s="5"/>
      <c r="AK709011" s="5"/>
    </row>
    <row r="709021" spans="25:37" x14ac:dyDescent="0.2">
      <c r="Y709021" s="251"/>
      <c r="AB709021" s="251"/>
      <c r="AE709021" s="251"/>
      <c r="AH709021" s="251"/>
      <c r="AK709021" s="251"/>
    </row>
    <row r="709136" spans="25:37" x14ac:dyDescent="0.2">
      <c r="Y709136" s="5"/>
      <c r="AB709136" s="5"/>
      <c r="AE709136" s="5"/>
      <c r="AH709136" s="5"/>
      <c r="AK709136" s="5"/>
    </row>
    <row r="709146" spans="25:37" x14ac:dyDescent="0.2">
      <c r="Y709146" s="251"/>
      <c r="AB709146" s="251"/>
      <c r="AE709146" s="251"/>
      <c r="AH709146" s="251"/>
      <c r="AK709146" s="251"/>
    </row>
    <row r="709261" spans="25:37" x14ac:dyDescent="0.2">
      <c r="Y709261" s="5"/>
      <c r="AB709261" s="5"/>
      <c r="AE709261" s="5"/>
      <c r="AH709261" s="5"/>
      <c r="AK709261" s="5"/>
    </row>
    <row r="709271" spans="25:37" x14ac:dyDescent="0.2">
      <c r="Y709271" s="251"/>
      <c r="AB709271" s="251"/>
      <c r="AE709271" s="251"/>
      <c r="AH709271" s="251"/>
      <c r="AK709271" s="251"/>
    </row>
    <row r="709386" spans="25:37" x14ac:dyDescent="0.2">
      <c r="Y709386" s="5"/>
      <c r="AB709386" s="5"/>
      <c r="AE709386" s="5"/>
      <c r="AH709386" s="5"/>
      <c r="AK709386" s="5"/>
    </row>
    <row r="709396" spans="25:37" x14ac:dyDescent="0.2">
      <c r="Y709396" s="251"/>
      <c r="AB709396" s="251"/>
      <c r="AE709396" s="251"/>
      <c r="AH709396" s="251"/>
      <c r="AK709396" s="251"/>
    </row>
    <row r="709511" spans="25:37" x14ac:dyDescent="0.2">
      <c r="Y709511" s="5"/>
      <c r="AB709511" s="5"/>
      <c r="AE709511" s="5"/>
      <c r="AH709511" s="5"/>
      <c r="AK709511" s="5"/>
    </row>
    <row r="709521" spans="25:37" x14ac:dyDescent="0.2">
      <c r="Y709521" s="251"/>
      <c r="AB709521" s="251"/>
      <c r="AE709521" s="251"/>
      <c r="AH709521" s="251"/>
      <c r="AK709521" s="251"/>
    </row>
    <row r="709636" spans="25:37" x14ac:dyDescent="0.2">
      <c r="Y709636" s="5"/>
      <c r="AB709636" s="5"/>
      <c r="AE709636" s="5"/>
      <c r="AH709636" s="5"/>
      <c r="AK709636" s="5"/>
    </row>
    <row r="709646" spans="25:37" x14ac:dyDescent="0.2">
      <c r="Y709646" s="251"/>
      <c r="AB709646" s="251"/>
      <c r="AE709646" s="251"/>
      <c r="AH709646" s="251"/>
      <c r="AK709646" s="251"/>
    </row>
    <row r="709761" spans="25:37" x14ac:dyDescent="0.2">
      <c r="Y709761" s="5"/>
      <c r="AB709761" s="5"/>
      <c r="AE709761" s="5"/>
      <c r="AH709761" s="5"/>
      <c r="AK709761" s="5"/>
    </row>
    <row r="709771" spans="25:37" x14ac:dyDescent="0.2">
      <c r="Y709771" s="251"/>
      <c r="AB709771" s="251"/>
      <c r="AE709771" s="251"/>
      <c r="AH709771" s="251"/>
      <c r="AK709771" s="251"/>
    </row>
    <row r="709886" spans="25:37" x14ac:dyDescent="0.2">
      <c r="Y709886" s="5"/>
      <c r="AB709886" s="5"/>
      <c r="AE709886" s="5"/>
      <c r="AH709886" s="5"/>
      <c r="AK709886" s="5"/>
    </row>
    <row r="709896" spans="25:37" x14ac:dyDescent="0.2">
      <c r="Y709896" s="251"/>
      <c r="AB709896" s="251"/>
      <c r="AE709896" s="251"/>
      <c r="AH709896" s="251"/>
      <c r="AK709896" s="251"/>
    </row>
    <row r="710011" spans="25:37" x14ac:dyDescent="0.2">
      <c r="Y710011" s="5"/>
      <c r="AB710011" s="5"/>
      <c r="AE710011" s="5"/>
      <c r="AH710011" s="5"/>
      <c r="AK710011" s="5"/>
    </row>
    <row r="710021" spans="25:37" x14ac:dyDescent="0.2">
      <c r="Y710021" s="251"/>
      <c r="AB710021" s="251"/>
      <c r="AE710021" s="251"/>
      <c r="AH710021" s="251"/>
      <c r="AK710021" s="251"/>
    </row>
    <row r="710136" spans="25:37" x14ac:dyDescent="0.2">
      <c r="Y710136" s="5"/>
      <c r="AB710136" s="5"/>
      <c r="AE710136" s="5"/>
      <c r="AH710136" s="5"/>
      <c r="AK710136" s="5"/>
    </row>
    <row r="710146" spans="25:37" x14ac:dyDescent="0.2">
      <c r="Y710146" s="251"/>
      <c r="AB710146" s="251"/>
      <c r="AE710146" s="251"/>
      <c r="AH710146" s="251"/>
      <c r="AK710146" s="251"/>
    </row>
    <row r="710261" spans="25:37" x14ac:dyDescent="0.2">
      <c r="Y710261" s="5"/>
      <c r="AB710261" s="5"/>
      <c r="AE710261" s="5"/>
      <c r="AH710261" s="5"/>
      <c r="AK710261" s="5"/>
    </row>
    <row r="710271" spans="25:37" x14ac:dyDescent="0.2">
      <c r="Y710271" s="251"/>
      <c r="AB710271" s="251"/>
      <c r="AE710271" s="251"/>
      <c r="AH710271" s="251"/>
      <c r="AK710271" s="251"/>
    </row>
    <row r="710386" spans="25:37" x14ac:dyDescent="0.2">
      <c r="Y710386" s="5"/>
      <c r="AB710386" s="5"/>
      <c r="AE710386" s="5"/>
      <c r="AH710386" s="5"/>
      <c r="AK710386" s="5"/>
    </row>
    <row r="710396" spans="25:37" x14ac:dyDescent="0.2">
      <c r="Y710396" s="251"/>
      <c r="AB710396" s="251"/>
      <c r="AE710396" s="251"/>
      <c r="AH710396" s="251"/>
      <c r="AK710396" s="251"/>
    </row>
    <row r="710511" spans="25:37" x14ac:dyDescent="0.2">
      <c r="Y710511" s="5"/>
      <c r="AB710511" s="5"/>
      <c r="AE710511" s="5"/>
      <c r="AH710511" s="5"/>
      <c r="AK710511" s="5"/>
    </row>
    <row r="710521" spans="25:37" x14ac:dyDescent="0.2">
      <c r="Y710521" s="251"/>
      <c r="AB710521" s="251"/>
      <c r="AE710521" s="251"/>
      <c r="AH710521" s="251"/>
      <c r="AK710521" s="251"/>
    </row>
    <row r="710636" spans="25:37" x14ac:dyDescent="0.2">
      <c r="Y710636" s="5"/>
      <c r="AB710636" s="5"/>
      <c r="AE710636" s="5"/>
      <c r="AH710636" s="5"/>
      <c r="AK710636" s="5"/>
    </row>
    <row r="710646" spans="25:37" x14ac:dyDescent="0.2">
      <c r="Y710646" s="251"/>
      <c r="AB710646" s="251"/>
      <c r="AE710646" s="251"/>
      <c r="AH710646" s="251"/>
      <c r="AK710646" s="251"/>
    </row>
    <row r="710761" spans="25:37" x14ac:dyDescent="0.2">
      <c r="Y710761" s="5"/>
      <c r="AB710761" s="5"/>
      <c r="AE710761" s="5"/>
      <c r="AH710761" s="5"/>
      <c r="AK710761" s="5"/>
    </row>
    <row r="710771" spans="25:37" x14ac:dyDescent="0.2">
      <c r="Y710771" s="251"/>
      <c r="AB710771" s="251"/>
      <c r="AE710771" s="251"/>
      <c r="AH710771" s="251"/>
      <c r="AK710771" s="251"/>
    </row>
    <row r="710886" spans="25:37" x14ac:dyDescent="0.2">
      <c r="Y710886" s="5"/>
      <c r="AB710886" s="5"/>
      <c r="AE710886" s="5"/>
      <c r="AH710886" s="5"/>
      <c r="AK710886" s="5"/>
    </row>
    <row r="710896" spans="25:37" x14ac:dyDescent="0.2">
      <c r="Y710896" s="251"/>
      <c r="AB710896" s="251"/>
      <c r="AE710896" s="251"/>
      <c r="AH710896" s="251"/>
      <c r="AK710896" s="251"/>
    </row>
    <row r="711011" spans="25:37" x14ac:dyDescent="0.2">
      <c r="Y711011" s="5"/>
      <c r="AB711011" s="5"/>
      <c r="AE711011" s="5"/>
      <c r="AH711011" s="5"/>
      <c r="AK711011" s="5"/>
    </row>
    <row r="711021" spans="25:37" x14ac:dyDescent="0.2">
      <c r="Y711021" s="251"/>
      <c r="AB711021" s="251"/>
      <c r="AE711021" s="251"/>
      <c r="AH711021" s="251"/>
      <c r="AK711021" s="251"/>
    </row>
    <row r="711136" spans="25:37" x14ac:dyDescent="0.2">
      <c r="Y711136" s="5"/>
      <c r="AB711136" s="5"/>
      <c r="AE711136" s="5"/>
      <c r="AH711136" s="5"/>
      <c r="AK711136" s="5"/>
    </row>
    <row r="711146" spans="25:37" x14ac:dyDescent="0.2">
      <c r="Y711146" s="251"/>
      <c r="AB711146" s="251"/>
      <c r="AE711146" s="251"/>
      <c r="AH711146" s="251"/>
      <c r="AK711146" s="251"/>
    </row>
    <row r="711261" spans="25:37" x14ac:dyDescent="0.2">
      <c r="Y711261" s="5"/>
      <c r="AB711261" s="5"/>
      <c r="AE711261" s="5"/>
      <c r="AH711261" s="5"/>
      <c r="AK711261" s="5"/>
    </row>
    <row r="711271" spans="25:37" x14ac:dyDescent="0.2">
      <c r="Y711271" s="251"/>
      <c r="AB711271" s="251"/>
      <c r="AE711271" s="251"/>
      <c r="AH711271" s="251"/>
      <c r="AK711271" s="251"/>
    </row>
    <row r="711386" spans="25:37" x14ac:dyDescent="0.2">
      <c r="Y711386" s="5"/>
      <c r="AB711386" s="5"/>
      <c r="AE711386" s="5"/>
      <c r="AH711386" s="5"/>
      <c r="AK711386" s="5"/>
    </row>
    <row r="711396" spans="25:37" x14ac:dyDescent="0.2">
      <c r="Y711396" s="251"/>
      <c r="AB711396" s="251"/>
      <c r="AE711396" s="251"/>
      <c r="AH711396" s="251"/>
      <c r="AK711396" s="251"/>
    </row>
    <row r="711511" spans="25:37" x14ac:dyDescent="0.2">
      <c r="Y711511" s="5"/>
      <c r="AB711511" s="5"/>
      <c r="AE711511" s="5"/>
      <c r="AH711511" s="5"/>
      <c r="AK711511" s="5"/>
    </row>
    <row r="711521" spans="25:37" x14ac:dyDescent="0.2">
      <c r="Y711521" s="251"/>
      <c r="AB711521" s="251"/>
      <c r="AE711521" s="251"/>
      <c r="AH711521" s="251"/>
      <c r="AK711521" s="251"/>
    </row>
    <row r="711636" spans="25:37" x14ac:dyDescent="0.2">
      <c r="Y711636" s="5"/>
      <c r="AB711636" s="5"/>
      <c r="AE711636" s="5"/>
      <c r="AH711636" s="5"/>
      <c r="AK711636" s="5"/>
    </row>
    <row r="711646" spans="25:37" x14ac:dyDescent="0.2">
      <c r="Y711646" s="251"/>
      <c r="AB711646" s="251"/>
      <c r="AE711646" s="251"/>
      <c r="AH711646" s="251"/>
      <c r="AK711646" s="251"/>
    </row>
    <row r="711761" spans="25:37" x14ac:dyDescent="0.2">
      <c r="Y711761" s="5"/>
      <c r="AB711761" s="5"/>
      <c r="AE711761" s="5"/>
      <c r="AH711761" s="5"/>
      <c r="AK711761" s="5"/>
    </row>
    <row r="711771" spans="25:37" x14ac:dyDescent="0.2">
      <c r="Y711771" s="251"/>
      <c r="AB711771" s="251"/>
      <c r="AE711771" s="251"/>
      <c r="AH711771" s="251"/>
      <c r="AK711771" s="251"/>
    </row>
    <row r="711886" spans="25:37" x14ac:dyDescent="0.2">
      <c r="Y711886" s="5"/>
      <c r="AB711886" s="5"/>
      <c r="AE711886" s="5"/>
      <c r="AH711886" s="5"/>
      <c r="AK711886" s="5"/>
    </row>
    <row r="711896" spans="25:37" x14ac:dyDescent="0.2">
      <c r="Y711896" s="251"/>
      <c r="AB711896" s="251"/>
      <c r="AE711896" s="251"/>
      <c r="AH711896" s="251"/>
      <c r="AK711896" s="251"/>
    </row>
    <row r="712011" spans="25:37" x14ac:dyDescent="0.2">
      <c r="Y712011" s="5"/>
      <c r="AB712011" s="5"/>
      <c r="AE712011" s="5"/>
      <c r="AH712011" s="5"/>
      <c r="AK712011" s="5"/>
    </row>
    <row r="712021" spans="25:37" x14ac:dyDescent="0.2">
      <c r="Y712021" s="251"/>
      <c r="AB712021" s="251"/>
      <c r="AE712021" s="251"/>
      <c r="AH712021" s="251"/>
      <c r="AK712021" s="251"/>
    </row>
    <row r="712136" spans="25:37" x14ac:dyDescent="0.2">
      <c r="Y712136" s="5"/>
      <c r="AB712136" s="5"/>
      <c r="AE712136" s="5"/>
      <c r="AH712136" s="5"/>
      <c r="AK712136" s="5"/>
    </row>
    <row r="712146" spans="25:37" x14ac:dyDescent="0.2">
      <c r="Y712146" s="251"/>
      <c r="AB712146" s="251"/>
      <c r="AE712146" s="251"/>
      <c r="AH712146" s="251"/>
      <c r="AK712146" s="251"/>
    </row>
    <row r="712261" spans="25:37" x14ac:dyDescent="0.2">
      <c r="Y712261" s="5"/>
      <c r="AB712261" s="5"/>
      <c r="AE712261" s="5"/>
      <c r="AH712261" s="5"/>
      <c r="AK712261" s="5"/>
    </row>
    <row r="712271" spans="25:37" x14ac:dyDescent="0.2">
      <c r="Y712271" s="251"/>
      <c r="AB712271" s="251"/>
      <c r="AE712271" s="251"/>
      <c r="AH712271" s="251"/>
      <c r="AK712271" s="251"/>
    </row>
    <row r="712386" spans="25:37" x14ac:dyDescent="0.2">
      <c r="Y712386" s="5"/>
      <c r="AB712386" s="5"/>
      <c r="AE712386" s="5"/>
      <c r="AH712386" s="5"/>
      <c r="AK712386" s="5"/>
    </row>
    <row r="712396" spans="25:37" x14ac:dyDescent="0.2">
      <c r="Y712396" s="251"/>
      <c r="AB712396" s="251"/>
      <c r="AE712396" s="251"/>
      <c r="AH712396" s="251"/>
      <c r="AK712396" s="251"/>
    </row>
    <row r="712511" spans="25:37" x14ac:dyDescent="0.2">
      <c r="Y712511" s="5"/>
      <c r="AB712511" s="5"/>
      <c r="AE712511" s="5"/>
      <c r="AH712511" s="5"/>
      <c r="AK712511" s="5"/>
    </row>
    <row r="712521" spans="25:37" x14ac:dyDescent="0.2">
      <c r="Y712521" s="251"/>
      <c r="AB712521" s="251"/>
      <c r="AE712521" s="251"/>
      <c r="AH712521" s="251"/>
      <c r="AK712521" s="251"/>
    </row>
    <row r="712636" spans="25:37" x14ac:dyDescent="0.2">
      <c r="Y712636" s="5"/>
      <c r="AB712636" s="5"/>
      <c r="AE712636" s="5"/>
      <c r="AH712636" s="5"/>
      <c r="AK712636" s="5"/>
    </row>
    <row r="712646" spans="25:37" x14ac:dyDescent="0.2">
      <c r="Y712646" s="251"/>
      <c r="AB712646" s="251"/>
      <c r="AE712646" s="251"/>
      <c r="AH712646" s="251"/>
      <c r="AK712646" s="251"/>
    </row>
    <row r="712761" spans="25:37" x14ac:dyDescent="0.2">
      <c r="Y712761" s="5"/>
      <c r="AB712761" s="5"/>
      <c r="AE712761" s="5"/>
      <c r="AH712761" s="5"/>
      <c r="AK712761" s="5"/>
    </row>
    <row r="712771" spans="25:37" x14ac:dyDescent="0.2">
      <c r="Y712771" s="251"/>
      <c r="AB712771" s="251"/>
      <c r="AE712771" s="251"/>
      <c r="AH712771" s="251"/>
      <c r="AK712771" s="251"/>
    </row>
    <row r="712886" spans="25:37" x14ac:dyDescent="0.2">
      <c r="Y712886" s="5"/>
      <c r="AB712886" s="5"/>
      <c r="AE712886" s="5"/>
      <c r="AH712886" s="5"/>
      <c r="AK712886" s="5"/>
    </row>
    <row r="712896" spans="25:37" x14ac:dyDescent="0.2">
      <c r="Y712896" s="251"/>
      <c r="AB712896" s="251"/>
      <c r="AE712896" s="251"/>
      <c r="AH712896" s="251"/>
      <c r="AK712896" s="251"/>
    </row>
    <row r="713011" spans="25:37" x14ac:dyDescent="0.2">
      <c r="Y713011" s="5"/>
      <c r="AB713011" s="5"/>
      <c r="AE713011" s="5"/>
      <c r="AH713011" s="5"/>
      <c r="AK713011" s="5"/>
    </row>
    <row r="713021" spans="25:37" x14ac:dyDescent="0.2">
      <c r="Y713021" s="251"/>
      <c r="AB713021" s="251"/>
      <c r="AE713021" s="251"/>
      <c r="AH713021" s="251"/>
      <c r="AK713021" s="251"/>
    </row>
    <row r="713136" spans="25:37" x14ac:dyDescent="0.2">
      <c r="Y713136" s="5"/>
      <c r="AB713136" s="5"/>
      <c r="AE713136" s="5"/>
      <c r="AH713136" s="5"/>
      <c r="AK713136" s="5"/>
    </row>
    <row r="713146" spans="25:37" x14ac:dyDescent="0.2">
      <c r="Y713146" s="251"/>
      <c r="AB713146" s="251"/>
      <c r="AE713146" s="251"/>
      <c r="AH713146" s="251"/>
      <c r="AK713146" s="251"/>
    </row>
    <row r="713261" spans="25:37" x14ac:dyDescent="0.2">
      <c r="Y713261" s="5"/>
      <c r="AB713261" s="5"/>
      <c r="AE713261" s="5"/>
      <c r="AH713261" s="5"/>
      <c r="AK713261" s="5"/>
    </row>
    <row r="713271" spans="25:37" x14ac:dyDescent="0.2">
      <c r="Y713271" s="251"/>
      <c r="AB713271" s="251"/>
      <c r="AE713271" s="251"/>
      <c r="AH713271" s="251"/>
      <c r="AK713271" s="251"/>
    </row>
    <row r="713386" spans="25:37" x14ac:dyDescent="0.2">
      <c r="Y713386" s="5"/>
      <c r="AB713386" s="5"/>
      <c r="AE713386" s="5"/>
      <c r="AH713386" s="5"/>
      <c r="AK713386" s="5"/>
    </row>
    <row r="713396" spans="25:37" x14ac:dyDescent="0.2">
      <c r="Y713396" s="251"/>
      <c r="AB713396" s="251"/>
      <c r="AE713396" s="251"/>
      <c r="AH713396" s="251"/>
      <c r="AK713396" s="251"/>
    </row>
    <row r="713511" spans="25:37" x14ac:dyDescent="0.2">
      <c r="Y713511" s="5"/>
      <c r="AB713511" s="5"/>
      <c r="AE713511" s="5"/>
      <c r="AH713511" s="5"/>
      <c r="AK713511" s="5"/>
    </row>
    <row r="713521" spans="25:37" x14ac:dyDescent="0.2">
      <c r="Y713521" s="251"/>
      <c r="AB713521" s="251"/>
      <c r="AE713521" s="251"/>
      <c r="AH713521" s="251"/>
      <c r="AK713521" s="251"/>
    </row>
    <row r="713636" spans="25:37" x14ac:dyDescent="0.2">
      <c r="Y713636" s="5"/>
      <c r="AB713636" s="5"/>
      <c r="AE713636" s="5"/>
      <c r="AH713636" s="5"/>
      <c r="AK713636" s="5"/>
    </row>
    <row r="713646" spans="25:37" x14ac:dyDescent="0.2">
      <c r="Y713646" s="251"/>
      <c r="AB713646" s="251"/>
      <c r="AE713646" s="251"/>
      <c r="AH713646" s="251"/>
      <c r="AK713646" s="251"/>
    </row>
    <row r="713761" spans="25:37" x14ac:dyDescent="0.2">
      <c r="Y713761" s="5"/>
      <c r="AB713761" s="5"/>
      <c r="AE713761" s="5"/>
      <c r="AH713761" s="5"/>
      <c r="AK713761" s="5"/>
    </row>
    <row r="713771" spans="25:37" x14ac:dyDescent="0.2">
      <c r="Y713771" s="251"/>
      <c r="AB713771" s="251"/>
      <c r="AE713771" s="251"/>
      <c r="AH713771" s="251"/>
      <c r="AK713771" s="251"/>
    </row>
    <row r="713886" spans="25:37" x14ac:dyDescent="0.2">
      <c r="Y713886" s="5"/>
      <c r="AB713886" s="5"/>
      <c r="AE713886" s="5"/>
      <c r="AH713886" s="5"/>
      <c r="AK713886" s="5"/>
    </row>
    <row r="713896" spans="25:37" x14ac:dyDescent="0.2">
      <c r="Y713896" s="251"/>
      <c r="AB713896" s="251"/>
      <c r="AE713896" s="251"/>
      <c r="AH713896" s="251"/>
      <c r="AK713896" s="251"/>
    </row>
    <row r="714011" spans="25:37" x14ac:dyDescent="0.2">
      <c r="Y714011" s="5"/>
      <c r="AB714011" s="5"/>
      <c r="AE714011" s="5"/>
      <c r="AH714011" s="5"/>
      <c r="AK714011" s="5"/>
    </row>
    <row r="714021" spans="25:37" x14ac:dyDescent="0.2">
      <c r="Y714021" s="251"/>
      <c r="AB714021" s="251"/>
      <c r="AE714021" s="251"/>
      <c r="AH714021" s="251"/>
      <c r="AK714021" s="251"/>
    </row>
    <row r="714136" spans="25:37" x14ac:dyDescent="0.2">
      <c r="Y714136" s="5"/>
      <c r="AB714136" s="5"/>
      <c r="AE714136" s="5"/>
      <c r="AH714136" s="5"/>
      <c r="AK714136" s="5"/>
    </row>
    <row r="714146" spans="25:37" x14ac:dyDescent="0.2">
      <c r="Y714146" s="251"/>
      <c r="AB714146" s="251"/>
      <c r="AE714146" s="251"/>
      <c r="AH714146" s="251"/>
      <c r="AK714146" s="251"/>
    </row>
    <row r="714261" spans="25:37" x14ac:dyDescent="0.2">
      <c r="Y714261" s="5"/>
      <c r="AB714261" s="5"/>
      <c r="AE714261" s="5"/>
      <c r="AH714261" s="5"/>
      <c r="AK714261" s="5"/>
    </row>
    <row r="714271" spans="25:37" x14ac:dyDescent="0.2">
      <c r="Y714271" s="251"/>
      <c r="AB714271" s="251"/>
      <c r="AE714271" s="251"/>
      <c r="AH714271" s="251"/>
      <c r="AK714271" s="251"/>
    </row>
    <row r="714386" spans="25:37" x14ac:dyDescent="0.2">
      <c r="Y714386" s="5"/>
      <c r="AB714386" s="5"/>
      <c r="AE714386" s="5"/>
      <c r="AH714386" s="5"/>
      <c r="AK714386" s="5"/>
    </row>
    <row r="714396" spans="25:37" x14ac:dyDescent="0.2">
      <c r="Y714396" s="251"/>
      <c r="AB714396" s="251"/>
      <c r="AE714396" s="251"/>
      <c r="AH714396" s="251"/>
      <c r="AK714396" s="251"/>
    </row>
    <row r="714511" spans="25:37" x14ac:dyDescent="0.2">
      <c r="Y714511" s="5"/>
      <c r="AB714511" s="5"/>
      <c r="AE714511" s="5"/>
      <c r="AH714511" s="5"/>
      <c r="AK714511" s="5"/>
    </row>
    <row r="714521" spans="25:37" x14ac:dyDescent="0.2">
      <c r="Y714521" s="251"/>
      <c r="AB714521" s="251"/>
      <c r="AE714521" s="251"/>
      <c r="AH714521" s="251"/>
      <c r="AK714521" s="251"/>
    </row>
    <row r="714636" spans="25:37" x14ac:dyDescent="0.2">
      <c r="Y714636" s="5"/>
      <c r="AB714636" s="5"/>
      <c r="AE714636" s="5"/>
      <c r="AH714636" s="5"/>
      <c r="AK714636" s="5"/>
    </row>
    <row r="714646" spans="25:37" x14ac:dyDescent="0.2">
      <c r="Y714646" s="251"/>
      <c r="AB714646" s="251"/>
      <c r="AE714646" s="251"/>
      <c r="AH714646" s="251"/>
      <c r="AK714646" s="251"/>
    </row>
    <row r="714761" spans="25:37" x14ac:dyDescent="0.2">
      <c r="Y714761" s="5"/>
      <c r="AB714761" s="5"/>
      <c r="AE714761" s="5"/>
      <c r="AH714761" s="5"/>
      <c r="AK714761" s="5"/>
    </row>
    <row r="714771" spans="25:37" x14ac:dyDescent="0.2">
      <c r="Y714771" s="251"/>
      <c r="AB714771" s="251"/>
      <c r="AE714771" s="251"/>
      <c r="AH714771" s="251"/>
      <c r="AK714771" s="251"/>
    </row>
    <row r="714886" spans="25:37" x14ac:dyDescent="0.2">
      <c r="Y714886" s="5"/>
      <c r="AB714886" s="5"/>
      <c r="AE714886" s="5"/>
      <c r="AH714886" s="5"/>
      <c r="AK714886" s="5"/>
    </row>
    <row r="714896" spans="25:37" x14ac:dyDescent="0.2">
      <c r="Y714896" s="251"/>
      <c r="AB714896" s="251"/>
      <c r="AE714896" s="251"/>
      <c r="AH714896" s="251"/>
      <c r="AK714896" s="251"/>
    </row>
    <row r="715011" spans="25:37" x14ac:dyDescent="0.2">
      <c r="Y715011" s="5"/>
      <c r="AB715011" s="5"/>
      <c r="AE715011" s="5"/>
      <c r="AH715011" s="5"/>
      <c r="AK715011" s="5"/>
    </row>
    <row r="715021" spans="25:37" x14ac:dyDescent="0.2">
      <c r="Y715021" s="251"/>
      <c r="AB715021" s="251"/>
      <c r="AE715021" s="251"/>
      <c r="AH715021" s="251"/>
      <c r="AK715021" s="251"/>
    </row>
    <row r="715136" spans="25:37" x14ac:dyDescent="0.2">
      <c r="Y715136" s="5"/>
      <c r="AB715136" s="5"/>
      <c r="AE715136" s="5"/>
      <c r="AH715136" s="5"/>
      <c r="AK715136" s="5"/>
    </row>
    <row r="715146" spans="25:37" x14ac:dyDescent="0.2">
      <c r="Y715146" s="251"/>
      <c r="AB715146" s="251"/>
      <c r="AE715146" s="251"/>
      <c r="AH715146" s="251"/>
      <c r="AK715146" s="251"/>
    </row>
    <row r="715261" spans="25:37" x14ac:dyDescent="0.2">
      <c r="Y715261" s="5"/>
      <c r="AB715261" s="5"/>
      <c r="AE715261" s="5"/>
      <c r="AH715261" s="5"/>
      <c r="AK715261" s="5"/>
    </row>
    <row r="715271" spans="25:37" x14ac:dyDescent="0.2">
      <c r="Y715271" s="251"/>
      <c r="AB715271" s="251"/>
      <c r="AE715271" s="251"/>
      <c r="AH715271" s="251"/>
      <c r="AK715271" s="251"/>
    </row>
    <row r="715386" spans="25:37" x14ac:dyDescent="0.2">
      <c r="Y715386" s="5"/>
      <c r="AB715386" s="5"/>
      <c r="AE715386" s="5"/>
      <c r="AH715386" s="5"/>
      <c r="AK715386" s="5"/>
    </row>
    <row r="715396" spans="25:37" x14ac:dyDescent="0.2">
      <c r="Y715396" s="251"/>
      <c r="AB715396" s="251"/>
      <c r="AE715396" s="251"/>
      <c r="AH715396" s="251"/>
      <c r="AK715396" s="251"/>
    </row>
    <row r="715511" spans="25:37" x14ac:dyDescent="0.2">
      <c r="Y715511" s="5"/>
      <c r="AB715511" s="5"/>
      <c r="AE715511" s="5"/>
      <c r="AH715511" s="5"/>
      <c r="AK715511" s="5"/>
    </row>
    <row r="715521" spans="25:37" x14ac:dyDescent="0.2">
      <c r="Y715521" s="251"/>
      <c r="AB715521" s="251"/>
      <c r="AE715521" s="251"/>
      <c r="AH715521" s="251"/>
      <c r="AK715521" s="251"/>
    </row>
    <row r="715636" spans="25:37" x14ac:dyDescent="0.2">
      <c r="Y715636" s="5"/>
      <c r="AB715636" s="5"/>
      <c r="AE715636" s="5"/>
      <c r="AH715636" s="5"/>
      <c r="AK715636" s="5"/>
    </row>
    <row r="715646" spans="25:37" x14ac:dyDescent="0.2">
      <c r="Y715646" s="251"/>
      <c r="AB715646" s="251"/>
      <c r="AE715646" s="251"/>
      <c r="AH715646" s="251"/>
      <c r="AK715646" s="251"/>
    </row>
    <row r="715761" spans="25:37" x14ac:dyDescent="0.2">
      <c r="Y715761" s="5"/>
      <c r="AB715761" s="5"/>
      <c r="AE715761" s="5"/>
      <c r="AH715761" s="5"/>
      <c r="AK715761" s="5"/>
    </row>
    <row r="715771" spans="25:37" x14ac:dyDescent="0.2">
      <c r="Y715771" s="251"/>
      <c r="AB715771" s="251"/>
      <c r="AE715771" s="251"/>
      <c r="AH715771" s="251"/>
      <c r="AK715771" s="251"/>
    </row>
    <row r="715886" spans="25:37" x14ac:dyDescent="0.2">
      <c r="Y715886" s="5"/>
      <c r="AB715886" s="5"/>
      <c r="AE715886" s="5"/>
      <c r="AH715886" s="5"/>
      <c r="AK715886" s="5"/>
    </row>
    <row r="715896" spans="25:37" x14ac:dyDescent="0.2">
      <c r="Y715896" s="251"/>
      <c r="AB715896" s="251"/>
      <c r="AE715896" s="251"/>
      <c r="AH715896" s="251"/>
      <c r="AK715896" s="251"/>
    </row>
    <row r="716011" spans="25:37" x14ac:dyDescent="0.2">
      <c r="Y716011" s="5"/>
      <c r="AB716011" s="5"/>
      <c r="AE716011" s="5"/>
      <c r="AH716011" s="5"/>
      <c r="AK716011" s="5"/>
    </row>
    <row r="716021" spans="25:37" x14ac:dyDescent="0.2">
      <c r="Y716021" s="251"/>
      <c r="AB716021" s="251"/>
      <c r="AE716021" s="251"/>
      <c r="AH716021" s="251"/>
      <c r="AK716021" s="251"/>
    </row>
    <row r="716136" spans="25:37" x14ac:dyDescent="0.2">
      <c r="Y716136" s="5"/>
      <c r="AB716136" s="5"/>
      <c r="AE716136" s="5"/>
      <c r="AH716136" s="5"/>
      <c r="AK716136" s="5"/>
    </row>
    <row r="716146" spans="25:37" x14ac:dyDescent="0.2">
      <c r="Y716146" s="251"/>
      <c r="AB716146" s="251"/>
      <c r="AE716146" s="251"/>
      <c r="AH716146" s="251"/>
      <c r="AK716146" s="251"/>
    </row>
    <row r="716261" spans="25:37" x14ac:dyDescent="0.2">
      <c r="Y716261" s="5"/>
      <c r="AB716261" s="5"/>
      <c r="AE716261" s="5"/>
      <c r="AH716261" s="5"/>
      <c r="AK716261" s="5"/>
    </row>
    <row r="716271" spans="25:37" x14ac:dyDescent="0.2">
      <c r="Y716271" s="251"/>
      <c r="AB716271" s="251"/>
      <c r="AE716271" s="251"/>
      <c r="AH716271" s="251"/>
      <c r="AK716271" s="251"/>
    </row>
    <row r="716386" spans="25:37" x14ac:dyDescent="0.2">
      <c r="Y716386" s="5"/>
      <c r="AB716386" s="5"/>
      <c r="AE716386" s="5"/>
      <c r="AH716386" s="5"/>
      <c r="AK716386" s="5"/>
    </row>
    <row r="716396" spans="25:37" x14ac:dyDescent="0.2">
      <c r="Y716396" s="251"/>
      <c r="AB716396" s="251"/>
      <c r="AE716396" s="251"/>
      <c r="AH716396" s="251"/>
      <c r="AK716396" s="251"/>
    </row>
    <row r="716511" spans="25:37" x14ac:dyDescent="0.2">
      <c r="Y716511" s="5"/>
      <c r="AB716511" s="5"/>
      <c r="AE716511" s="5"/>
      <c r="AH716511" s="5"/>
      <c r="AK716511" s="5"/>
    </row>
    <row r="716521" spans="25:37" x14ac:dyDescent="0.2">
      <c r="Y716521" s="251"/>
      <c r="AB716521" s="251"/>
      <c r="AE716521" s="251"/>
      <c r="AH716521" s="251"/>
      <c r="AK716521" s="251"/>
    </row>
    <row r="716636" spans="25:37" x14ac:dyDescent="0.2">
      <c r="Y716636" s="5"/>
      <c r="AB716636" s="5"/>
      <c r="AE716636" s="5"/>
      <c r="AH716636" s="5"/>
      <c r="AK716636" s="5"/>
    </row>
    <row r="716646" spans="25:37" x14ac:dyDescent="0.2">
      <c r="Y716646" s="251"/>
      <c r="AB716646" s="251"/>
      <c r="AE716646" s="251"/>
      <c r="AH716646" s="251"/>
      <c r="AK716646" s="251"/>
    </row>
    <row r="716761" spans="25:37" x14ac:dyDescent="0.2">
      <c r="Y716761" s="5"/>
      <c r="AB716761" s="5"/>
      <c r="AE716761" s="5"/>
      <c r="AH716761" s="5"/>
      <c r="AK716761" s="5"/>
    </row>
    <row r="716771" spans="25:37" x14ac:dyDescent="0.2">
      <c r="Y716771" s="251"/>
      <c r="AB716771" s="251"/>
      <c r="AE716771" s="251"/>
      <c r="AH716771" s="251"/>
      <c r="AK716771" s="251"/>
    </row>
    <row r="716886" spans="25:37" x14ac:dyDescent="0.2">
      <c r="Y716886" s="5"/>
      <c r="AB716886" s="5"/>
      <c r="AE716886" s="5"/>
      <c r="AH716886" s="5"/>
      <c r="AK716886" s="5"/>
    </row>
    <row r="716896" spans="25:37" x14ac:dyDescent="0.2">
      <c r="Y716896" s="251"/>
      <c r="AB716896" s="251"/>
      <c r="AE716896" s="251"/>
      <c r="AH716896" s="251"/>
      <c r="AK716896" s="251"/>
    </row>
    <row r="717011" spans="25:37" x14ac:dyDescent="0.2">
      <c r="Y717011" s="5"/>
      <c r="AB717011" s="5"/>
      <c r="AE717011" s="5"/>
      <c r="AH717011" s="5"/>
      <c r="AK717011" s="5"/>
    </row>
    <row r="717021" spans="25:37" x14ac:dyDescent="0.2">
      <c r="Y717021" s="251"/>
      <c r="AB717021" s="251"/>
      <c r="AE717021" s="251"/>
      <c r="AH717021" s="251"/>
      <c r="AK717021" s="251"/>
    </row>
    <row r="717136" spans="25:37" x14ac:dyDescent="0.2">
      <c r="Y717136" s="5"/>
      <c r="AB717136" s="5"/>
      <c r="AE717136" s="5"/>
      <c r="AH717136" s="5"/>
      <c r="AK717136" s="5"/>
    </row>
    <row r="717146" spans="25:37" x14ac:dyDescent="0.2">
      <c r="Y717146" s="251"/>
      <c r="AB717146" s="251"/>
      <c r="AE717146" s="251"/>
      <c r="AH717146" s="251"/>
      <c r="AK717146" s="251"/>
    </row>
    <row r="717261" spans="25:37" x14ac:dyDescent="0.2">
      <c r="Y717261" s="5"/>
      <c r="AB717261" s="5"/>
      <c r="AE717261" s="5"/>
      <c r="AH717261" s="5"/>
      <c r="AK717261" s="5"/>
    </row>
    <row r="717271" spans="25:37" x14ac:dyDescent="0.2">
      <c r="Y717271" s="251"/>
      <c r="AB717271" s="251"/>
      <c r="AE717271" s="251"/>
      <c r="AH717271" s="251"/>
      <c r="AK717271" s="251"/>
    </row>
    <row r="717386" spans="25:37" x14ac:dyDescent="0.2">
      <c r="Y717386" s="5"/>
      <c r="AB717386" s="5"/>
      <c r="AE717386" s="5"/>
      <c r="AH717386" s="5"/>
      <c r="AK717386" s="5"/>
    </row>
    <row r="717396" spans="25:37" x14ac:dyDescent="0.2">
      <c r="Y717396" s="251"/>
      <c r="AB717396" s="251"/>
      <c r="AE717396" s="251"/>
      <c r="AH717396" s="251"/>
      <c r="AK717396" s="251"/>
    </row>
    <row r="717511" spans="25:37" x14ac:dyDescent="0.2">
      <c r="Y717511" s="5"/>
      <c r="AB717511" s="5"/>
      <c r="AE717511" s="5"/>
      <c r="AH717511" s="5"/>
      <c r="AK717511" s="5"/>
    </row>
    <row r="717521" spans="25:37" x14ac:dyDescent="0.2">
      <c r="Y717521" s="251"/>
      <c r="AB717521" s="251"/>
      <c r="AE717521" s="251"/>
      <c r="AH717521" s="251"/>
      <c r="AK717521" s="251"/>
    </row>
    <row r="717636" spans="25:37" x14ac:dyDescent="0.2">
      <c r="Y717636" s="5"/>
      <c r="AB717636" s="5"/>
      <c r="AE717636" s="5"/>
      <c r="AH717636" s="5"/>
      <c r="AK717636" s="5"/>
    </row>
    <row r="717646" spans="25:37" x14ac:dyDescent="0.2">
      <c r="Y717646" s="251"/>
      <c r="AB717646" s="251"/>
      <c r="AE717646" s="251"/>
      <c r="AH717646" s="251"/>
      <c r="AK717646" s="251"/>
    </row>
    <row r="717761" spans="25:37" x14ac:dyDescent="0.2">
      <c r="Y717761" s="5"/>
      <c r="AB717761" s="5"/>
      <c r="AE717761" s="5"/>
      <c r="AH717761" s="5"/>
      <c r="AK717761" s="5"/>
    </row>
    <row r="717771" spans="25:37" x14ac:dyDescent="0.2">
      <c r="Y717771" s="251"/>
      <c r="AB717771" s="251"/>
      <c r="AE717771" s="251"/>
      <c r="AH717771" s="251"/>
      <c r="AK717771" s="251"/>
    </row>
    <row r="717886" spans="25:37" x14ac:dyDescent="0.2">
      <c r="Y717886" s="5"/>
      <c r="AB717886" s="5"/>
      <c r="AE717886" s="5"/>
      <c r="AH717886" s="5"/>
      <c r="AK717886" s="5"/>
    </row>
    <row r="717896" spans="25:37" x14ac:dyDescent="0.2">
      <c r="Y717896" s="251"/>
      <c r="AB717896" s="251"/>
      <c r="AE717896" s="251"/>
      <c r="AH717896" s="251"/>
      <c r="AK717896" s="251"/>
    </row>
    <row r="718011" spans="25:37" x14ac:dyDescent="0.2">
      <c r="Y718011" s="5"/>
      <c r="AB718011" s="5"/>
      <c r="AE718011" s="5"/>
      <c r="AH718011" s="5"/>
      <c r="AK718011" s="5"/>
    </row>
    <row r="718021" spans="25:37" x14ac:dyDescent="0.2">
      <c r="Y718021" s="251"/>
      <c r="AB718021" s="251"/>
      <c r="AE718021" s="251"/>
      <c r="AH718021" s="251"/>
      <c r="AK718021" s="251"/>
    </row>
    <row r="718136" spans="25:37" x14ac:dyDescent="0.2">
      <c r="Y718136" s="5"/>
      <c r="AB718136" s="5"/>
      <c r="AE718136" s="5"/>
      <c r="AH718136" s="5"/>
      <c r="AK718136" s="5"/>
    </row>
    <row r="718146" spans="25:37" x14ac:dyDescent="0.2">
      <c r="Y718146" s="251"/>
      <c r="AB718146" s="251"/>
      <c r="AE718146" s="251"/>
      <c r="AH718146" s="251"/>
      <c r="AK718146" s="251"/>
    </row>
    <row r="718261" spans="25:37" x14ac:dyDescent="0.2">
      <c r="Y718261" s="5"/>
      <c r="AB718261" s="5"/>
      <c r="AE718261" s="5"/>
      <c r="AH718261" s="5"/>
      <c r="AK718261" s="5"/>
    </row>
    <row r="718271" spans="25:37" x14ac:dyDescent="0.2">
      <c r="Y718271" s="251"/>
      <c r="AB718271" s="251"/>
      <c r="AE718271" s="251"/>
      <c r="AH718271" s="251"/>
      <c r="AK718271" s="251"/>
    </row>
    <row r="718386" spans="25:37" x14ac:dyDescent="0.2">
      <c r="Y718386" s="5"/>
      <c r="AB718386" s="5"/>
      <c r="AE718386" s="5"/>
      <c r="AH718386" s="5"/>
      <c r="AK718386" s="5"/>
    </row>
    <row r="718396" spans="25:37" x14ac:dyDescent="0.2">
      <c r="Y718396" s="251"/>
      <c r="AB718396" s="251"/>
      <c r="AE718396" s="251"/>
      <c r="AH718396" s="251"/>
      <c r="AK718396" s="251"/>
    </row>
    <row r="718511" spans="25:37" x14ac:dyDescent="0.2">
      <c r="Y718511" s="5"/>
      <c r="AB718511" s="5"/>
      <c r="AE718511" s="5"/>
      <c r="AH718511" s="5"/>
      <c r="AK718511" s="5"/>
    </row>
    <row r="718521" spans="25:37" x14ac:dyDescent="0.2">
      <c r="Y718521" s="251"/>
      <c r="AB718521" s="251"/>
      <c r="AE718521" s="251"/>
      <c r="AH718521" s="251"/>
      <c r="AK718521" s="251"/>
    </row>
    <row r="718636" spans="25:37" x14ac:dyDescent="0.2">
      <c r="Y718636" s="5"/>
      <c r="AB718636" s="5"/>
      <c r="AE718636" s="5"/>
      <c r="AH718636" s="5"/>
      <c r="AK718636" s="5"/>
    </row>
    <row r="718646" spans="25:37" x14ac:dyDescent="0.2">
      <c r="Y718646" s="251"/>
      <c r="AB718646" s="251"/>
      <c r="AE718646" s="251"/>
      <c r="AH718646" s="251"/>
      <c r="AK718646" s="251"/>
    </row>
    <row r="718761" spans="25:37" x14ac:dyDescent="0.2">
      <c r="Y718761" s="5"/>
      <c r="AB718761" s="5"/>
      <c r="AE718761" s="5"/>
      <c r="AH718761" s="5"/>
      <c r="AK718761" s="5"/>
    </row>
    <row r="718771" spans="25:37" x14ac:dyDescent="0.2">
      <c r="Y718771" s="251"/>
      <c r="AB718771" s="251"/>
      <c r="AE718771" s="251"/>
      <c r="AH718771" s="251"/>
      <c r="AK718771" s="251"/>
    </row>
    <row r="718886" spans="25:37" x14ac:dyDescent="0.2">
      <c r="Y718886" s="5"/>
      <c r="AB718886" s="5"/>
      <c r="AE718886" s="5"/>
      <c r="AH718886" s="5"/>
      <c r="AK718886" s="5"/>
    </row>
    <row r="718896" spans="25:37" x14ac:dyDescent="0.2">
      <c r="Y718896" s="251"/>
      <c r="AB718896" s="251"/>
      <c r="AE718896" s="251"/>
      <c r="AH718896" s="251"/>
      <c r="AK718896" s="251"/>
    </row>
    <row r="719011" spans="25:37" x14ac:dyDescent="0.2">
      <c r="Y719011" s="5"/>
      <c r="AB719011" s="5"/>
      <c r="AE719011" s="5"/>
      <c r="AH719011" s="5"/>
      <c r="AK719011" s="5"/>
    </row>
    <row r="719021" spans="25:37" x14ac:dyDescent="0.2">
      <c r="Y719021" s="251"/>
      <c r="AB719021" s="251"/>
      <c r="AE719021" s="251"/>
      <c r="AH719021" s="251"/>
      <c r="AK719021" s="251"/>
    </row>
    <row r="719136" spans="25:37" x14ac:dyDescent="0.2">
      <c r="Y719136" s="5"/>
      <c r="AB719136" s="5"/>
      <c r="AE719136" s="5"/>
      <c r="AH719136" s="5"/>
      <c r="AK719136" s="5"/>
    </row>
    <row r="719146" spans="25:37" x14ac:dyDescent="0.2">
      <c r="Y719146" s="251"/>
      <c r="AB719146" s="251"/>
      <c r="AE719146" s="251"/>
      <c r="AH719146" s="251"/>
      <c r="AK719146" s="251"/>
    </row>
    <row r="719261" spans="25:37" x14ac:dyDescent="0.2">
      <c r="Y719261" s="5"/>
      <c r="AB719261" s="5"/>
      <c r="AE719261" s="5"/>
      <c r="AH719261" s="5"/>
      <c r="AK719261" s="5"/>
    </row>
    <row r="719271" spans="25:37" x14ac:dyDescent="0.2">
      <c r="Y719271" s="251"/>
      <c r="AB719271" s="251"/>
      <c r="AE719271" s="251"/>
      <c r="AH719271" s="251"/>
      <c r="AK719271" s="251"/>
    </row>
    <row r="719386" spans="25:37" x14ac:dyDescent="0.2">
      <c r="Y719386" s="5"/>
      <c r="AB719386" s="5"/>
      <c r="AE719386" s="5"/>
      <c r="AH719386" s="5"/>
      <c r="AK719386" s="5"/>
    </row>
    <row r="719396" spans="25:37" x14ac:dyDescent="0.2">
      <c r="Y719396" s="251"/>
      <c r="AB719396" s="251"/>
      <c r="AE719396" s="251"/>
      <c r="AH719396" s="251"/>
      <c r="AK719396" s="251"/>
    </row>
    <row r="719511" spans="25:37" x14ac:dyDescent="0.2">
      <c r="Y719511" s="5"/>
      <c r="AB719511" s="5"/>
      <c r="AE719511" s="5"/>
      <c r="AH719511" s="5"/>
      <c r="AK719511" s="5"/>
    </row>
    <row r="719521" spans="25:37" x14ac:dyDescent="0.2">
      <c r="Y719521" s="251"/>
      <c r="AB719521" s="251"/>
      <c r="AE719521" s="251"/>
      <c r="AH719521" s="251"/>
      <c r="AK719521" s="251"/>
    </row>
    <row r="719636" spans="25:37" x14ac:dyDescent="0.2">
      <c r="Y719636" s="5"/>
      <c r="AB719636" s="5"/>
      <c r="AE719636" s="5"/>
      <c r="AH719636" s="5"/>
      <c r="AK719636" s="5"/>
    </row>
    <row r="719646" spans="25:37" x14ac:dyDescent="0.2">
      <c r="Y719646" s="251"/>
      <c r="AB719646" s="251"/>
      <c r="AE719646" s="251"/>
      <c r="AH719646" s="251"/>
      <c r="AK719646" s="251"/>
    </row>
    <row r="719761" spans="25:37" x14ac:dyDescent="0.2">
      <c r="Y719761" s="5"/>
      <c r="AB719761" s="5"/>
      <c r="AE719761" s="5"/>
      <c r="AH719761" s="5"/>
      <c r="AK719761" s="5"/>
    </row>
    <row r="719771" spans="25:37" x14ac:dyDescent="0.2">
      <c r="Y719771" s="251"/>
      <c r="AB719771" s="251"/>
      <c r="AE719771" s="251"/>
      <c r="AH719771" s="251"/>
      <c r="AK719771" s="251"/>
    </row>
    <row r="719886" spans="25:37" x14ac:dyDescent="0.2">
      <c r="Y719886" s="5"/>
      <c r="AB719886" s="5"/>
      <c r="AE719886" s="5"/>
      <c r="AH719886" s="5"/>
      <c r="AK719886" s="5"/>
    </row>
    <row r="719896" spans="25:37" x14ac:dyDescent="0.2">
      <c r="Y719896" s="251"/>
      <c r="AB719896" s="251"/>
      <c r="AE719896" s="251"/>
      <c r="AH719896" s="251"/>
      <c r="AK719896" s="251"/>
    </row>
    <row r="720011" spans="25:37" x14ac:dyDescent="0.2">
      <c r="Y720011" s="5"/>
      <c r="AB720011" s="5"/>
      <c r="AE720011" s="5"/>
      <c r="AH720011" s="5"/>
      <c r="AK720011" s="5"/>
    </row>
    <row r="720021" spans="25:37" x14ac:dyDescent="0.2">
      <c r="Y720021" s="251"/>
      <c r="AB720021" s="251"/>
      <c r="AE720021" s="251"/>
      <c r="AH720021" s="251"/>
      <c r="AK720021" s="251"/>
    </row>
    <row r="720136" spans="25:37" x14ac:dyDescent="0.2">
      <c r="Y720136" s="5"/>
      <c r="AB720136" s="5"/>
      <c r="AE720136" s="5"/>
      <c r="AH720136" s="5"/>
      <c r="AK720136" s="5"/>
    </row>
    <row r="720146" spans="25:37" x14ac:dyDescent="0.2">
      <c r="Y720146" s="251"/>
      <c r="AB720146" s="251"/>
      <c r="AE720146" s="251"/>
      <c r="AH720146" s="251"/>
      <c r="AK720146" s="251"/>
    </row>
    <row r="720261" spans="25:37" x14ac:dyDescent="0.2">
      <c r="Y720261" s="5"/>
      <c r="AB720261" s="5"/>
      <c r="AE720261" s="5"/>
      <c r="AH720261" s="5"/>
      <c r="AK720261" s="5"/>
    </row>
    <row r="720271" spans="25:37" x14ac:dyDescent="0.2">
      <c r="Y720271" s="251"/>
      <c r="AB720271" s="251"/>
      <c r="AE720271" s="251"/>
      <c r="AH720271" s="251"/>
      <c r="AK720271" s="251"/>
    </row>
    <row r="720386" spans="25:37" x14ac:dyDescent="0.2">
      <c r="Y720386" s="5"/>
      <c r="AB720386" s="5"/>
      <c r="AE720386" s="5"/>
      <c r="AH720386" s="5"/>
      <c r="AK720386" s="5"/>
    </row>
    <row r="720396" spans="25:37" x14ac:dyDescent="0.2">
      <c r="Y720396" s="251"/>
      <c r="AB720396" s="251"/>
      <c r="AE720396" s="251"/>
      <c r="AH720396" s="251"/>
      <c r="AK720396" s="251"/>
    </row>
    <row r="720511" spans="25:37" x14ac:dyDescent="0.2">
      <c r="Y720511" s="5"/>
      <c r="AB720511" s="5"/>
      <c r="AE720511" s="5"/>
      <c r="AH720511" s="5"/>
      <c r="AK720511" s="5"/>
    </row>
    <row r="720521" spans="25:37" x14ac:dyDescent="0.2">
      <c r="Y720521" s="251"/>
      <c r="AB720521" s="251"/>
      <c r="AE720521" s="251"/>
      <c r="AH720521" s="251"/>
      <c r="AK720521" s="251"/>
    </row>
    <row r="720636" spans="25:37" x14ac:dyDescent="0.2">
      <c r="Y720636" s="5"/>
      <c r="AB720636" s="5"/>
      <c r="AE720636" s="5"/>
      <c r="AH720636" s="5"/>
      <c r="AK720636" s="5"/>
    </row>
    <row r="720646" spans="25:37" x14ac:dyDescent="0.2">
      <c r="Y720646" s="251"/>
      <c r="AB720646" s="251"/>
      <c r="AE720646" s="251"/>
      <c r="AH720646" s="251"/>
      <c r="AK720646" s="251"/>
    </row>
    <row r="720761" spans="25:37" x14ac:dyDescent="0.2">
      <c r="Y720761" s="5"/>
      <c r="AB720761" s="5"/>
      <c r="AE720761" s="5"/>
      <c r="AH720761" s="5"/>
      <c r="AK720761" s="5"/>
    </row>
    <row r="720771" spans="25:37" x14ac:dyDescent="0.2">
      <c r="Y720771" s="251"/>
      <c r="AB720771" s="251"/>
      <c r="AE720771" s="251"/>
      <c r="AH720771" s="251"/>
      <c r="AK720771" s="251"/>
    </row>
    <row r="720886" spans="25:37" x14ac:dyDescent="0.2">
      <c r="Y720886" s="5"/>
      <c r="AB720886" s="5"/>
      <c r="AE720886" s="5"/>
      <c r="AH720886" s="5"/>
      <c r="AK720886" s="5"/>
    </row>
    <row r="720896" spans="25:37" x14ac:dyDescent="0.2">
      <c r="Y720896" s="251"/>
      <c r="AB720896" s="251"/>
      <c r="AE720896" s="251"/>
      <c r="AH720896" s="251"/>
      <c r="AK720896" s="251"/>
    </row>
    <row r="721011" spans="25:37" x14ac:dyDescent="0.2">
      <c r="Y721011" s="5"/>
      <c r="AB721011" s="5"/>
      <c r="AE721011" s="5"/>
      <c r="AH721011" s="5"/>
      <c r="AK721011" s="5"/>
    </row>
    <row r="721021" spans="25:37" x14ac:dyDescent="0.2">
      <c r="Y721021" s="251"/>
      <c r="AB721021" s="251"/>
      <c r="AE721021" s="251"/>
      <c r="AH721021" s="251"/>
      <c r="AK721021" s="251"/>
    </row>
    <row r="721136" spans="25:37" x14ac:dyDescent="0.2">
      <c r="Y721136" s="5"/>
      <c r="AB721136" s="5"/>
      <c r="AE721136" s="5"/>
      <c r="AH721136" s="5"/>
      <c r="AK721136" s="5"/>
    </row>
    <row r="721146" spans="25:37" x14ac:dyDescent="0.2">
      <c r="Y721146" s="251"/>
      <c r="AB721146" s="251"/>
      <c r="AE721146" s="251"/>
      <c r="AH721146" s="251"/>
      <c r="AK721146" s="251"/>
    </row>
    <row r="721261" spans="25:37" x14ac:dyDescent="0.2">
      <c r="Y721261" s="5"/>
      <c r="AB721261" s="5"/>
      <c r="AE721261" s="5"/>
      <c r="AH721261" s="5"/>
      <c r="AK721261" s="5"/>
    </row>
    <row r="721271" spans="25:37" x14ac:dyDescent="0.2">
      <c r="Y721271" s="251"/>
      <c r="AB721271" s="251"/>
      <c r="AE721271" s="251"/>
      <c r="AH721271" s="251"/>
      <c r="AK721271" s="251"/>
    </row>
    <row r="721386" spans="25:37" x14ac:dyDescent="0.2">
      <c r="Y721386" s="5"/>
      <c r="AB721386" s="5"/>
      <c r="AE721386" s="5"/>
      <c r="AH721386" s="5"/>
      <c r="AK721386" s="5"/>
    </row>
    <row r="721396" spans="25:37" x14ac:dyDescent="0.2">
      <c r="Y721396" s="251"/>
      <c r="AB721396" s="251"/>
      <c r="AE721396" s="251"/>
      <c r="AH721396" s="251"/>
      <c r="AK721396" s="251"/>
    </row>
    <row r="721511" spans="25:37" x14ac:dyDescent="0.2">
      <c r="Y721511" s="5"/>
      <c r="AB721511" s="5"/>
      <c r="AE721511" s="5"/>
      <c r="AH721511" s="5"/>
      <c r="AK721511" s="5"/>
    </row>
    <row r="721521" spans="25:37" x14ac:dyDescent="0.2">
      <c r="Y721521" s="251"/>
      <c r="AB721521" s="251"/>
      <c r="AE721521" s="251"/>
      <c r="AH721521" s="251"/>
      <c r="AK721521" s="251"/>
    </row>
    <row r="721636" spans="25:37" x14ac:dyDescent="0.2">
      <c r="Y721636" s="5"/>
      <c r="AB721636" s="5"/>
      <c r="AE721636" s="5"/>
      <c r="AH721636" s="5"/>
      <c r="AK721636" s="5"/>
    </row>
    <row r="721646" spans="25:37" x14ac:dyDescent="0.2">
      <c r="Y721646" s="251"/>
      <c r="AB721646" s="251"/>
      <c r="AE721646" s="251"/>
      <c r="AH721646" s="251"/>
      <c r="AK721646" s="251"/>
    </row>
    <row r="721761" spans="25:37" x14ac:dyDescent="0.2">
      <c r="Y721761" s="5"/>
      <c r="AB721761" s="5"/>
      <c r="AE721761" s="5"/>
      <c r="AH721761" s="5"/>
      <c r="AK721761" s="5"/>
    </row>
    <row r="721771" spans="25:37" x14ac:dyDescent="0.2">
      <c r="Y721771" s="251"/>
      <c r="AB721771" s="251"/>
      <c r="AE721771" s="251"/>
      <c r="AH721771" s="251"/>
      <c r="AK721771" s="251"/>
    </row>
    <row r="721886" spans="25:37" x14ac:dyDescent="0.2">
      <c r="Y721886" s="5"/>
      <c r="AB721886" s="5"/>
      <c r="AE721886" s="5"/>
      <c r="AH721886" s="5"/>
      <c r="AK721886" s="5"/>
    </row>
    <row r="721896" spans="25:37" x14ac:dyDescent="0.2">
      <c r="Y721896" s="251"/>
      <c r="AB721896" s="251"/>
      <c r="AE721896" s="251"/>
      <c r="AH721896" s="251"/>
      <c r="AK721896" s="251"/>
    </row>
    <row r="722011" spans="25:37" x14ac:dyDescent="0.2">
      <c r="Y722011" s="5"/>
      <c r="AB722011" s="5"/>
      <c r="AE722011" s="5"/>
      <c r="AH722011" s="5"/>
      <c r="AK722011" s="5"/>
    </row>
    <row r="722021" spans="25:37" x14ac:dyDescent="0.2">
      <c r="Y722021" s="251"/>
      <c r="AB722021" s="251"/>
      <c r="AE722021" s="251"/>
      <c r="AH722021" s="251"/>
      <c r="AK722021" s="251"/>
    </row>
    <row r="722136" spans="25:37" x14ac:dyDescent="0.2">
      <c r="Y722136" s="5"/>
      <c r="AB722136" s="5"/>
      <c r="AE722136" s="5"/>
      <c r="AH722136" s="5"/>
      <c r="AK722136" s="5"/>
    </row>
    <row r="722146" spans="25:37" x14ac:dyDescent="0.2">
      <c r="Y722146" s="251"/>
      <c r="AB722146" s="251"/>
      <c r="AE722146" s="251"/>
      <c r="AH722146" s="251"/>
      <c r="AK722146" s="251"/>
    </row>
    <row r="722261" spans="25:37" x14ac:dyDescent="0.2">
      <c r="Y722261" s="5"/>
      <c r="AB722261" s="5"/>
      <c r="AE722261" s="5"/>
      <c r="AH722261" s="5"/>
      <c r="AK722261" s="5"/>
    </row>
    <row r="722271" spans="25:37" x14ac:dyDescent="0.2">
      <c r="Y722271" s="251"/>
      <c r="AB722271" s="251"/>
      <c r="AE722271" s="251"/>
      <c r="AH722271" s="251"/>
      <c r="AK722271" s="251"/>
    </row>
    <row r="722386" spans="25:37" x14ac:dyDescent="0.2">
      <c r="Y722386" s="5"/>
      <c r="AB722386" s="5"/>
      <c r="AE722386" s="5"/>
      <c r="AH722386" s="5"/>
      <c r="AK722386" s="5"/>
    </row>
    <row r="722396" spans="25:37" x14ac:dyDescent="0.2">
      <c r="Y722396" s="251"/>
      <c r="AB722396" s="251"/>
      <c r="AE722396" s="251"/>
      <c r="AH722396" s="251"/>
      <c r="AK722396" s="251"/>
    </row>
    <row r="722511" spans="25:37" x14ac:dyDescent="0.2">
      <c r="Y722511" s="5"/>
      <c r="AB722511" s="5"/>
      <c r="AE722511" s="5"/>
      <c r="AH722511" s="5"/>
      <c r="AK722511" s="5"/>
    </row>
    <row r="722521" spans="25:37" x14ac:dyDescent="0.2">
      <c r="Y722521" s="251"/>
      <c r="AB722521" s="251"/>
      <c r="AE722521" s="251"/>
      <c r="AH722521" s="251"/>
      <c r="AK722521" s="251"/>
    </row>
    <row r="722636" spans="25:37" x14ac:dyDescent="0.2">
      <c r="Y722636" s="5"/>
      <c r="AB722636" s="5"/>
      <c r="AE722636" s="5"/>
      <c r="AH722636" s="5"/>
      <c r="AK722636" s="5"/>
    </row>
    <row r="722646" spans="25:37" x14ac:dyDescent="0.2">
      <c r="Y722646" s="251"/>
      <c r="AB722646" s="251"/>
      <c r="AE722646" s="251"/>
      <c r="AH722646" s="251"/>
      <c r="AK722646" s="251"/>
    </row>
    <row r="722761" spans="25:37" x14ac:dyDescent="0.2">
      <c r="Y722761" s="5"/>
      <c r="AB722761" s="5"/>
      <c r="AE722761" s="5"/>
      <c r="AH722761" s="5"/>
      <c r="AK722761" s="5"/>
    </row>
    <row r="722771" spans="25:37" x14ac:dyDescent="0.2">
      <c r="Y722771" s="251"/>
      <c r="AB722771" s="251"/>
      <c r="AE722771" s="251"/>
      <c r="AH722771" s="251"/>
      <c r="AK722771" s="251"/>
    </row>
    <row r="722886" spans="25:37" x14ac:dyDescent="0.2">
      <c r="Y722886" s="5"/>
      <c r="AB722886" s="5"/>
      <c r="AE722886" s="5"/>
      <c r="AH722886" s="5"/>
      <c r="AK722886" s="5"/>
    </row>
    <row r="722896" spans="25:37" x14ac:dyDescent="0.2">
      <c r="Y722896" s="251"/>
      <c r="AB722896" s="251"/>
      <c r="AE722896" s="251"/>
      <c r="AH722896" s="251"/>
      <c r="AK722896" s="251"/>
    </row>
    <row r="723011" spans="25:37" x14ac:dyDescent="0.2">
      <c r="Y723011" s="5"/>
      <c r="AB723011" s="5"/>
      <c r="AE723011" s="5"/>
      <c r="AH723011" s="5"/>
      <c r="AK723011" s="5"/>
    </row>
    <row r="723021" spans="25:37" x14ac:dyDescent="0.2">
      <c r="Y723021" s="251"/>
      <c r="AB723021" s="251"/>
      <c r="AE723021" s="251"/>
      <c r="AH723021" s="251"/>
      <c r="AK723021" s="251"/>
    </row>
    <row r="723136" spans="25:37" x14ac:dyDescent="0.2">
      <c r="Y723136" s="5"/>
      <c r="AB723136" s="5"/>
      <c r="AE723136" s="5"/>
      <c r="AH723136" s="5"/>
      <c r="AK723136" s="5"/>
    </row>
    <row r="723146" spans="25:37" x14ac:dyDescent="0.2">
      <c r="Y723146" s="251"/>
      <c r="AB723146" s="251"/>
      <c r="AE723146" s="251"/>
      <c r="AH723146" s="251"/>
      <c r="AK723146" s="251"/>
    </row>
    <row r="723261" spans="25:37" x14ac:dyDescent="0.2">
      <c r="Y723261" s="5"/>
      <c r="AB723261" s="5"/>
      <c r="AE723261" s="5"/>
      <c r="AH723261" s="5"/>
      <c r="AK723261" s="5"/>
    </row>
    <row r="723271" spans="25:37" x14ac:dyDescent="0.2">
      <c r="Y723271" s="251"/>
      <c r="AB723271" s="251"/>
      <c r="AE723271" s="251"/>
      <c r="AH723271" s="251"/>
      <c r="AK723271" s="251"/>
    </row>
    <row r="723386" spans="25:37" x14ac:dyDescent="0.2">
      <c r="Y723386" s="5"/>
      <c r="AB723386" s="5"/>
      <c r="AE723386" s="5"/>
      <c r="AH723386" s="5"/>
      <c r="AK723386" s="5"/>
    </row>
    <row r="723396" spans="25:37" x14ac:dyDescent="0.2">
      <c r="Y723396" s="251"/>
      <c r="AB723396" s="251"/>
      <c r="AE723396" s="251"/>
      <c r="AH723396" s="251"/>
      <c r="AK723396" s="251"/>
    </row>
    <row r="723511" spans="25:37" x14ac:dyDescent="0.2">
      <c r="Y723511" s="5"/>
      <c r="AB723511" s="5"/>
      <c r="AE723511" s="5"/>
      <c r="AH723511" s="5"/>
      <c r="AK723511" s="5"/>
    </row>
    <row r="723521" spans="25:37" x14ac:dyDescent="0.2">
      <c r="Y723521" s="251"/>
      <c r="AB723521" s="251"/>
      <c r="AE723521" s="251"/>
      <c r="AH723521" s="251"/>
      <c r="AK723521" s="251"/>
    </row>
    <row r="723636" spans="25:37" x14ac:dyDescent="0.2">
      <c r="Y723636" s="5"/>
      <c r="AB723636" s="5"/>
      <c r="AE723636" s="5"/>
      <c r="AH723636" s="5"/>
      <c r="AK723636" s="5"/>
    </row>
    <row r="723646" spans="25:37" x14ac:dyDescent="0.2">
      <c r="Y723646" s="251"/>
      <c r="AB723646" s="251"/>
      <c r="AE723646" s="251"/>
      <c r="AH723646" s="251"/>
      <c r="AK723646" s="251"/>
    </row>
    <row r="723761" spans="25:37" x14ac:dyDescent="0.2">
      <c r="Y723761" s="5"/>
      <c r="AB723761" s="5"/>
      <c r="AE723761" s="5"/>
      <c r="AH723761" s="5"/>
      <c r="AK723761" s="5"/>
    </row>
    <row r="723771" spans="25:37" x14ac:dyDescent="0.2">
      <c r="Y723771" s="251"/>
      <c r="AB723771" s="251"/>
      <c r="AE723771" s="251"/>
      <c r="AH723771" s="251"/>
      <c r="AK723771" s="251"/>
    </row>
    <row r="723886" spans="25:37" x14ac:dyDescent="0.2">
      <c r="Y723886" s="5"/>
      <c r="AB723886" s="5"/>
      <c r="AE723886" s="5"/>
      <c r="AH723886" s="5"/>
      <c r="AK723886" s="5"/>
    </row>
    <row r="723896" spans="25:37" x14ac:dyDescent="0.2">
      <c r="Y723896" s="251"/>
      <c r="AB723896" s="251"/>
      <c r="AE723896" s="251"/>
      <c r="AH723896" s="251"/>
      <c r="AK723896" s="251"/>
    </row>
    <row r="724011" spans="25:37" x14ac:dyDescent="0.2">
      <c r="Y724011" s="5"/>
      <c r="AB724011" s="5"/>
      <c r="AE724011" s="5"/>
      <c r="AH724011" s="5"/>
      <c r="AK724011" s="5"/>
    </row>
    <row r="724021" spans="25:37" x14ac:dyDescent="0.2">
      <c r="Y724021" s="251"/>
      <c r="AB724021" s="251"/>
      <c r="AE724021" s="251"/>
      <c r="AH724021" s="251"/>
      <c r="AK724021" s="251"/>
    </row>
    <row r="724136" spans="25:37" x14ac:dyDescent="0.2">
      <c r="Y724136" s="5"/>
      <c r="AB724136" s="5"/>
      <c r="AE724136" s="5"/>
      <c r="AH724136" s="5"/>
      <c r="AK724136" s="5"/>
    </row>
    <row r="724146" spans="25:37" x14ac:dyDescent="0.2">
      <c r="Y724146" s="251"/>
      <c r="AB724146" s="251"/>
      <c r="AE724146" s="251"/>
      <c r="AH724146" s="251"/>
      <c r="AK724146" s="251"/>
    </row>
    <row r="724261" spans="25:37" x14ac:dyDescent="0.2">
      <c r="Y724261" s="5"/>
      <c r="AB724261" s="5"/>
      <c r="AE724261" s="5"/>
      <c r="AH724261" s="5"/>
      <c r="AK724261" s="5"/>
    </row>
    <row r="724271" spans="25:37" x14ac:dyDescent="0.2">
      <c r="Y724271" s="251"/>
      <c r="AB724271" s="251"/>
      <c r="AE724271" s="251"/>
      <c r="AH724271" s="251"/>
      <c r="AK724271" s="251"/>
    </row>
    <row r="724386" spans="25:37" x14ac:dyDescent="0.2">
      <c r="Y724386" s="5"/>
      <c r="AB724386" s="5"/>
      <c r="AE724386" s="5"/>
      <c r="AH724386" s="5"/>
      <c r="AK724386" s="5"/>
    </row>
    <row r="724396" spans="25:37" x14ac:dyDescent="0.2">
      <c r="Y724396" s="251"/>
      <c r="AB724396" s="251"/>
      <c r="AE724396" s="251"/>
      <c r="AH724396" s="251"/>
      <c r="AK724396" s="251"/>
    </row>
    <row r="724511" spans="25:37" x14ac:dyDescent="0.2">
      <c r="Y724511" s="5"/>
      <c r="AB724511" s="5"/>
      <c r="AE724511" s="5"/>
      <c r="AH724511" s="5"/>
      <c r="AK724511" s="5"/>
    </row>
    <row r="724521" spans="25:37" x14ac:dyDescent="0.2">
      <c r="Y724521" s="251"/>
      <c r="AB724521" s="251"/>
      <c r="AE724521" s="251"/>
      <c r="AH724521" s="251"/>
      <c r="AK724521" s="251"/>
    </row>
    <row r="724636" spans="25:37" x14ac:dyDescent="0.2">
      <c r="Y724636" s="5"/>
      <c r="AB724636" s="5"/>
      <c r="AE724636" s="5"/>
      <c r="AH724636" s="5"/>
      <c r="AK724636" s="5"/>
    </row>
    <row r="724646" spans="25:37" x14ac:dyDescent="0.2">
      <c r="Y724646" s="251"/>
      <c r="AB724646" s="251"/>
      <c r="AE724646" s="251"/>
      <c r="AH724646" s="251"/>
      <c r="AK724646" s="251"/>
    </row>
    <row r="724761" spans="25:37" x14ac:dyDescent="0.2">
      <c r="Y724761" s="5"/>
      <c r="AB724761" s="5"/>
      <c r="AE724761" s="5"/>
      <c r="AH724761" s="5"/>
      <c r="AK724761" s="5"/>
    </row>
    <row r="724771" spans="25:37" x14ac:dyDescent="0.2">
      <c r="Y724771" s="251"/>
      <c r="AB724771" s="251"/>
      <c r="AE724771" s="251"/>
      <c r="AH724771" s="251"/>
      <c r="AK724771" s="251"/>
    </row>
    <row r="724886" spans="25:37" x14ac:dyDescent="0.2">
      <c r="Y724886" s="5"/>
      <c r="AB724886" s="5"/>
      <c r="AE724886" s="5"/>
      <c r="AH724886" s="5"/>
      <c r="AK724886" s="5"/>
    </row>
    <row r="724896" spans="25:37" x14ac:dyDescent="0.2">
      <c r="Y724896" s="251"/>
      <c r="AB724896" s="251"/>
      <c r="AE724896" s="251"/>
      <c r="AH724896" s="251"/>
      <c r="AK724896" s="251"/>
    </row>
    <row r="725011" spans="25:37" x14ac:dyDescent="0.2">
      <c r="Y725011" s="5"/>
      <c r="AB725011" s="5"/>
      <c r="AE725011" s="5"/>
      <c r="AH725011" s="5"/>
      <c r="AK725011" s="5"/>
    </row>
    <row r="725021" spans="25:37" x14ac:dyDescent="0.2">
      <c r="Y725021" s="251"/>
      <c r="AB725021" s="251"/>
      <c r="AE725021" s="251"/>
      <c r="AH725021" s="251"/>
      <c r="AK725021" s="251"/>
    </row>
    <row r="725136" spans="25:37" x14ac:dyDescent="0.2">
      <c r="Y725136" s="5"/>
      <c r="AB725136" s="5"/>
      <c r="AE725136" s="5"/>
      <c r="AH725136" s="5"/>
      <c r="AK725136" s="5"/>
    </row>
    <row r="725146" spans="25:37" x14ac:dyDescent="0.2">
      <c r="Y725146" s="251"/>
      <c r="AB725146" s="251"/>
      <c r="AE725146" s="251"/>
      <c r="AH725146" s="251"/>
      <c r="AK725146" s="251"/>
    </row>
    <row r="725261" spans="25:37" x14ac:dyDescent="0.2">
      <c r="Y725261" s="5"/>
      <c r="AB725261" s="5"/>
      <c r="AE725261" s="5"/>
      <c r="AH725261" s="5"/>
      <c r="AK725261" s="5"/>
    </row>
    <row r="725271" spans="25:37" x14ac:dyDescent="0.2">
      <c r="Y725271" s="251"/>
      <c r="AB725271" s="251"/>
      <c r="AE725271" s="251"/>
      <c r="AH725271" s="251"/>
      <c r="AK725271" s="251"/>
    </row>
    <row r="725386" spans="25:37" x14ac:dyDescent="0.2">
      <c r="Y725386" s="5"/>
      <c r="AB725386" s="5"/>
      <c r="AE725386" s="5"/>
      <c r="AH725386" s="5"/>
      <c r="AK725386" s="5"/>
    </row>
    <row r="725396" spans="25:37" x14ac:dyDescent="0.2">
      <c r="Y725396" s="251"/>
      <c r="AB725396" s="251"/>
      <c r="AE725396" s="251"/>
      <c r="AH725396" s="251"/>
      <c r="AK725396" s="251"/>
    </row>
    <row r="725511" spans="25:37" x14ac:dyDescent="0.2">
      <c r="Y725511" s="5"/>
      <c r="AB725511" s="5"/>
      <c r="AE725511" s="5"/>
      <c r="AH725511" s="5"/>
      <c r="AK725511" s="5"/>
    </row>
    <row r="725521" spans="25:37" x14ac:dyDescent="0.2">
      <c r="Y725521" s="251"/>
      <c r="AB725521" s="251"/>
      <c r="AE725521" s="251"/>
      <c r="AH725521" s="251"/>
      <c r="AK725521" s="251"/>
    </row>
    <row r="725636" spans="25:37" x14ac:dyDescent="0.2">
      <c r="Y725636" s="5"/>
      <c r="AB725636" s="5"/>
      <c r="AE725636" s="5"/>
      <c r="AH725636" s="5"/>
      <c r="AK725636" s="5"/>
    </row>
    <row r="725646" spans="25:37" x14ac:dyDescent="0.2">
      <c r="Y725646" s="251"/>
      <c r="AB725646" s="251"/>
      <c r="AE725646" s="251"/>
      <c r="AH725646" s="251"/>
      <c r="AK725646" s="251"/>
    </row>
    <row r="725761" spans="25:37" x14ac:dyDescent="0.2">
      <c r="Y725761" s="5"/>
      <c r="AB725761" s="5"/>
      <c r="AE725761" s="5"/>
      <c r="AH725761" s="5"/>
      <c r="AK725761" s="5"/>
    </row>
    <row r="725771" spans="25:37" x14ac:dyDescent="0.2">
      <c r="Y725771" s="251"/>
      <c r="AB725771" s="251"/>
      <c r="AE725771" s="251"/>
      <c r="AH725771" s="251"/>
      <c r="AK725771" s="251"/>
    </row>
    <row r="725886" spans="25:37" x14ac:dyDescent="0.2">
      <c r="Y725886" s="5"/>
      <c r="AB725886" s="5"/>
      <c r="AE725886" s="5"/>
      <c r="AH725886" s="5"/>
      <c r="AK725886" s="5"/>
    </row>
    <row r="725896" spans="25:37" x14ac:dyDescent="0.2">
      <c r="Y725896" s="251"/>
      <c r="AB725896" s="251"/>
      <c r="AE725896" s="251"/>
      <c r="AH725896" s="251"/>
      <c r="AK725896" s="251"/>
    </row>
    <row r="726011" spans="25:37" x14ac:dyDescent="0.2">
      <c r="Y726011" s="5"/>
      <c r="AB726011" s="5"/>
      <c r="AE726011" s="5"/>
      <c r="AH726011" s="5"/>
      <c r="AK726011" s="5"/>
    </row>
    <row r="726021" spans="25:37" x14ac:dyDescent="0.2">
      <c r="Y726021" s="251"/>
      <c r="AB726021" s="251"/>
      <c r="AE726021" s="251"/>
      <c r="AH726021" s="251"/>
      <c r="AK726021" s="251"/>
    </row>
    <row r="726136" spans="25:37" x14ac:dyDescent="0.2">
      <c r="Y726136" s="5"/>
      <c r="AB726136" s="5"/>
      <c r="AE726136" s="5"/>
      <c r="AH726136" s="5"/>
      <c r="AK726136" s="5"/>
    </row>
    <row r="726146" spans="25:37" x14ac:dyDescent="0.2">
      <c r="Y726146" s="251"/>
      <c r="AB726146" s="251"/>
      <c r="AE726146" s="251"/>
      <c r="AH726146" s="251"/>
      <c r="AK726146" s="251"/>
    </row>
    <row r="726261" spans="25:37" x14ac:dyDescent="0.2">
      <c r="Y726261" s="5"/>
      <c r="AB726261" s="5"/>
      <c r="AE726261" s="5"/>
      <c r="AH726261" s="5"/>
      <c r="AK726261" s="5"/>
    </row>
    <row r="726271" spans="25:37" x14ac:dyDescent="0.2">
      <c r="Y726271" s="251"/>
      <c r="AB726271" s="251"/>
      <c r="AE726271" s="251"/>
      <c r="AH726271" s="251"/>
      <c r="AK726271" s="251"/>
    </row>
    <row r="726386" spans="25:37" x14ac:dyDescent="0.2">
      <c r="Y726386" s="5"/>
      <c r="AB726386" s="5"/>
      <c r="AE726386" s="5"/>
      <c r="AH726386" s="5"/>
      <c r="AK726386" s="5"/>
    </row>
    <row r="726396" spans="25:37" x14ac:dyDescent="0.2">
      <c r="Y726396" s="251"/>
      <c r="AB726396" s="251"/>
      <c r="AE726396" s="251"/>
      <c r="AH726396" s="251"/>
      <c r="AK726396" s="251"/>
    </row>
    <row r="726511" spans="25:37" x14ac:dyDescent="0.2">
      <c r="Y726511" s="5"/>
      <c r="AB726511" s="5"/>
      <c r="AE726511" s="5"/>
      <c r="AH726511" s="5"/>
      <c r="AK726511" s="5"/>
    </row>
    <row r="726521" spans="25:37" x14ac:dyDescent="0.2">
      <c r="Y726521" s="251"/>
      <c r="AB726521" s="251"/>
      <c r="AE726521" s="251"/>
      <c r="AH726521" s="251"/>
      <c r="AK726521" s="251"/>
    </row>
    <row r="726636" spans="25:37" x14ac:dyDescent="0.2">
      <c r="Y726636" s="5"/>
      <c r="AB726636" s="5"/>
      <c r="AE726636" s="5"/>
      <c r="AH726636" s="5"/>
      <c r="AK726636" s="5"/>
    </row>
    <row r="726646" spans="25:37" x14ac:dyDescent="0.2">
      <c r="Y726646" s="251"/>
      <c r="AB726646" s="251"/>
      <c r="AE726646" s="251"/>
      <c r="AH726646" s="251"/>
      <c r="AK726646" s="251"/>
    </row>
    <row r="726761" spans="25:37" x14ac:dyDescent="0.2">
      <c r="Y726761" s="5"/>
      <c r="AB726761" s="5"/>
      <c r="AE726761" s="5"/>
      <c r="AH726761" s="5"/>
      <c r="AK726761" s="5"/>
    </row>
    <row r="726771" spans="25:37" x14ac:dyDescent="0.2">
      <c r="Y726771" s="251"/>
      <c r="AB726771" s="251"/>
      <c r="AE726771" s="251"/>
      <c r="AH726771" s="251"/>
      <c r="AK726771" s="251"/>
    </row>
    <row r="726886" spans="25:37" x14ac:dyDescent="0.2">
      <c r="Y726886" s="5"/>
      <c r="AB726886" s="5"/>
      <c r="AE726886" s="5"/>
      <c r="AH726886" s="5"/>
      <c r="AK726886" s="5"/>
    </row>
    <row r="726896" spans="25:37" x14ac:dyDescent="0.2">
      <c r="Y726896" s="251"/>
      <c r="AB726896" s="251"/>
      <c r="AE726896" s="251"/>
      <c r="AH726896" s="251"/>
      <c r="AK726896" s="251"/>
    </row>
    <row r="727011" spans="25:37" x14ac:dyDescent="0.2">
      <c r="Y727011" s="5"/>
      <c r="AB727011" s="5"/>
      <c r="AE727011" s="5"/>
      <c r="AH727011" s="5"/>
      <c r="AK727011" s="5"/>
    </row>
    <row r="727021" spans="25:37" x14ac:dyDescent="0.2">
      <c r="Y727021" s="251"/>
      <c r="AB727021" s="251"/>
      <c r="AE727021" s="251"/>
      <c r="AH727021" s="251"/>
      <c r="AK727021" s="251"/>
    </row>
    <row r="727136" spans="25:37" x14ac:dyDescent="0.2">
      <c r="Y727136" s="5"/>
      <c r="AB727136" s="5"/>
      <c r="AE727136" s="5"/>
      <c r="AH727136" s="5"/>
      <c r="AK727136" s="5"/>
    </row>
    <row r="727146" spans="25:37" x14ac:dyDescent="0.2">
      <c r="Y727146" s="251"/>
      <c r="AB727146" s="251"/>
      <c r="AE727146" s="251"/>
      <c r="AH727146" s="251"/>
      <c r="AK727146" s="251"/>
    </row>
    <row r="727261" spans="25:37" x14ac:dyDescent="0.2">
      <c r="Y727261" s="5"/>
      <c r="AB727261" s="5"/>
      <c r="AE727261" s="5"/>
      <c r="AH727261" s="5"/>
      <c r="AK727261" s="5"/>
    </row>
    <row r="727271" spans="25:37" x14ac:dyDescent="0.2">
      <c r="Y727271" s="251"/>
      <c r="AB727271" s="251"/>
      <c r="AE727271" s="251"/>
      <c r="AH727271" s="251"/>
      <c r="AK727271" s="251"/>
    </row>
    <row r="727386" spans="25:37" x14ac:dyDescent="0.2">
      <c r="Y727386" s="5"/>
      <c r="AB727386" s="5"/>
      <c r="AE727386" s="5"/>
      <c r="AH727386" s="5"/>
      <c r="AK727386" s="5"/>
    </row>
    <row r="727396" spans="25:37" x14ac:dyDescent="0.2">
      <c r="Y727396" s="251"/>
      <c r="AB727396" s="251"/>
      <c r="AE727396" s="251"/>
      <c r="AH727396" s="251"/>
      <c r="AK727396" s="251"/>
    </row>
    <row r="727511" spans="25:37" x14ac:dyDescent="0.2">
      <c r="Y727511" s="5"/>
      <c r="AB727511" s="5"/>
      <c r="AE727511" s="5"/>
      <c r="AH727511" s="5"/>
      <c r="AK727511" s="5"/>
    </row>
    <row r="727521" spans="25:37" x14ac:dyDescent="0.2">
      <c r="Y727521" s="251"/>
      <c r="AB727521" s="251"/>
      <c r="AE727521" s="251"/>
      <c r="AH727521" s="251"/>
      <c r="AK727521" s="251"/>
    </row>
    <row r="727636" spans="25:37" x14ac:dyDescent="0.2">
      <c r="Y727636" s="5"/>
      <c r="AB727636" s="5"/>
      <c r="AE727636" s="5"/>
      <c r="AH727636" s="5"/>
      <c r="AK727636" s="5"/>
    </row>
    <row r="727646" spans="25:37" x14ac:dyDescent="0.2">
      <c r="Y727646" s="251"/>
      <c r="AB727646" s="251"/>
      <c r="AE727646" s="251"/>
      <c r="AH727646" s="251"/>
      <c r="AK727646" s="251"/>
    </row>
    <row r="727761" spans="25:37" x14ac:dyDescent="0.2">
      <c r="Y727761" s="5"/>
      <c r="AB727761" s="5"/>
      <c r="AE727761" s="5"/>
      <c r="AH727761" s="5"/>
      <c r="AK727761" s="5"/>
    </row>
    <row r="727771" spans="25:37" x14ac:dyDescent="0.2">
      <c r="Y727771" s="251"/>
      <c r="AB727771" s="251"/>
      <c r="AE727771" s="251"/>
      <c r="AH727771" s="251"/>
      <c r="AK727771" s="251"/>
    </row>
    <row r="727886" spans="25:37" x14ac:dyDescent="0.2">
      <c r="Y727886" s="5"/>
      <c r="AB727886" s="5"/>
      <c r="AE727886" s="5"/>
      <c r="AH727886" s="5"/>
      <c r="AK727886" s="5"/>
    </row>
    <row r="727896" spans="25:37" x14ac:dyDescent="0.2">
      <c r="Y727896" s="251"/>
      <c r="AB727896" s="251"/>
      <c r="AE727896" s="251"/>
      <c r="AH727896" s="251"/>
      <c r="AK727896" s="251"/>
    </row>
    <row r="728011" spans="25:37" x14ac:dyDescent="0.2">
      <c r="Y728011" s="5"/>
      <c r="AB728011" s="5"/>
      <c r="AE728011" s="5"/>
      <c r="AH728011" s="5"/>
      <c r="AK728011" s="5"/>
    </row>
    <row r="728021" spans="25:37" x14ac:dyDescent="0.2">
      <c r="Y728021" s="251"/>
      <c r="AB728021" s="251"/>
      <c r="AE728021" s="251"/>
      <c r="AH728021" s="251"/>
      <c r="AK728021" s="251"/>
    </row>
    <row r="728136" spans="25:37" x14ac:dyDescent="0.2">
      <c r="Y728136" s="5"/>
      <c r="AB728136" s="5"/>
      <c r="AE728136" s="5"/>
      <c r="AH728136" s="5"/>
      <c r="AK728136" s="5"/>
    </row>
    <row r="728146" spans="25:37" x14ac:dyDescent="0.2">
      <c r="Y728146" s="251"/>
      <c r="AB728146" s="251"/>
      <c r="AE728146" s="251"/>
      <c r="AH728146" s="251"/>
      <c r="AK728146" s="251"/>
    </row>
    <row r="728261" spans="25:37" x14ac:dyDescent="0.2">
      <c r="Y728261" s="5"/>
      <c r="AB728261" s="5"/>
      <c r="AE728261" s="5"/>
      <c r="AH728261" s="5"/>
      <c r="AK728261" s="5"/>
    </row>
    <row r="728271" spans="25:37" x14ac:dyDescent="0.2">
      <c r="Y728271" s="251"/>
      <c r="AB728271" s="251"/>
      <c r="AE728271" s="251"/>
      <c r="AH728271" s="251"/>
      <c r="AK728271" s="251"/>
    </row>
    <row r="728386" spans="25:37" x14ac:dyDescent="0.2">
      <c r="Y728386" s="5"/>
      <c r="AB728386" s="5"/>
      <c r="AE728386" s="5"/>
      <c r="AH728386" s="5"/>
      <c r="AK728386" s="5"/>
    </row>
    <row r="728396" spans="25:37" x14ac:dyDescent="0.2">
      <c r="Y728396" s="251"/>
      <c r="AB728396" s="251"/>
      <c r="AE728396" s="251"/>
      <c r="AH728396" s="251"/>
      <c r="AK728396" s="251"/>
    </row>
    <row r="728511" spans="25:37" x14ac:dyDescent="0.2">
      <c r="Y728511" s="5"/>
      <c r="AB728511" s="5"/>
      <c r="AE728511" s="5"/>
      <c r="AH728511" s="5"/>
      <c r="AK728511" s="5"/>
    </row>
    <row r="728521" spans="25:37" x14ac:dyDescent="0.2">
      <c r="Y728521" s="251"/>
      <c r="AB728521" s="251"/>
      <c r="AE728521" s="251"/>
      <c r="AH728521" s="251"/>
      <c r="AK728521" s="251"/>
    </row>
    <row r="728636" spans="25:37" x14ac:dyDescent="0.2">
      <c r="Y728636" s="5"/>
      <c r="AB728636" s="5"/>
      <c r="AE728636" s="5"/>
      <c r="AH728636" s="5"/>
      <c r="AK728636" s="5"/>
    </row>
    <row r="728646" spans="25:37" x14ac:dyDescent="0.2">
      <c r="Y728646" s="251"/>
      <c r="AB728646" s="251"/>
      <c r="AE728646" s="251"/>
      <c r="AH728646" s="251"/>
      <c r="AK728646" s="251"/>
    </row>
    <row r="728761" spans="25:37" x14ac:dyDescent="0.2">
      <c r="Y728761" s="5"/>
      <c r="AB728761" s="5"/>
      <c r="AE728761" s="5"/>
      <c r="AH728761" s="5"/>
      <c r="AK728761" s="5"/>
    </row>
    <row r="728771" spans="25:37" x14ac:dyDescent="0.2">
      <c r="Y728771" s="251"/>
      <c r="AB728771" s="251"/>
      <c r="AE728771" s="251"/>
      <c r="AH728771" s="251"/>
      <c r="AK728771" s="251"/>
    </row>
    <row r="728886" spans="25:37" x14ac:dyDescent="0.2">
      <c r="Y728886" s="5"/>
      <c r="AB728886" s="5"/>
      <c r="AE728886" s="5"/>
      <c r="AH728886" s="5"/>
      <c r="AK728886" s="5"/>
    </row>
    <row r="728896" spans="25:37" x14ac:dyDescent="0.2">
      <c r="Y728896" s="251"/>
      <c r="AB728896" s="251"/>
      <c r="AE728896" s="251"/>
      <c r="AH728896" s="251"/>
      <c r="AK728896" s="251"/>
    </row>
    <row r="729011" spans="25:37" x14ac:dyDescent="0.2">
      <c r="Y729011" s="5"/>
      <c r="AB729011" s="5"/>
      <c r="AE729011" s="5"/>
      <c r="AH729011" s="5"/>
      <c r="AK729011" s="5"/>
    </row>
    <row r="729021" spans="25:37" x14ac:dyDescent="0.2">
      <c r="Y729021" s="251"/>
      <c r="AB729021" s="251"/>
      <c r="AE729021" s="251"/>
      <c r="AH729021" s="251"/>
      <c r="AK729021" s="251"/>
    </row>
    <row r="729136" spans="25:37" x14ac:dyDescent="0.2">
      <c r="Y729136" s="5"/>
      <c r="AB729136" s="5"/>
      <c r="AE729136" s="5"/>
      <c r="AH729136" s="5"/>
      <c r="AK729136" s="5"/>
    </row>
    <row r="729146" spans="25:37" x14ac:dyDescent="0.2">
      <c r="Y729146" s="251"/>
      <c r="AB729146" s="251"/>
      <c r="AE729146" s="251"/>
      <c r="AH729146" s="251"/>
      <c r="AK729146" s="251"/>
    </row>
    <row r="729261" spans="25:37" x14ac:dyDescent="0.2">
      <c r="Y729261" s="5"/>
      <c r="AB729261" s="5"/>
      <c r="AE729261" s="5"/>
      <c r="AH729261" s="5"/>
      <c r="AK729261" s="5"/>
    </row>
    <row r="729271" spans="25:37" x14ac:dyDescent="0.2">
      <c r="Y729271" s="251"/>
      <c r="AB729271" s="251"/>
      <c r="AE729271" s="251"/>
      <c r="AH729271" s="251"/>
      <c r="AK729271" s="251"/>
    </row>
    <row r="729386" spans="25:37" x14ac:dyDescent="0.2">
      <c r="Y729386" s="5"/>
      <c r="AB729386" s="5"/>
      <c r="AE729386" s="5"/>
      <c r="AH729386" s="5"/>
      <c r="AK729386" s="5"/>
    </row>
    <row r="729396" spans="25:37" x14ac:dyDescent="0.2">
      <c r="Y729396" s="251"/>
      <c r="AB729396" s="251"/>
      <c r="AE729396" s="251"/>
      <c r="AH729396" s="251"/>
      <c r="AK729396" s="251"/>
    </row>
    <row r="729511" spans="25:37" x14ac:dyDescent="0.2">
      <c r="Y729511" s="5"/>
      <c r="AB729511" s="5"/>
      <c r="AE729511" s="5"/>
      <c r="AH729511" s="5"/>
      <c r="AK729511" s="5"/>
    </row>
    <row r="729521" spans="25:37" x14ac:dyDescent="0.2">
      <c r="Y729521" s="251"/>
      <c r="AB729521" s="251"/>
      <c r="AE729521" s="251"/>
      <c r="AH729521" s="251"/>
      <c r="AK729521" s="251"/>
    </row>
    <row r="729636" spans="25:37" x14ac:dyDescent="0.2">
      <c r="Y729636" s="5"/>
      <c r="AB729636" s="5"/>
      <c r="AE729636" s="5"/>
      <c r="AH729636" s="5"/>
      <c r="AK729636" s="5"/>
    </row>
    <row r="729646" spans="25:37" x14ac:dyDescent="0.2">
      <c r="Y729646" s="251"/>
      <c r="AB729646" s="251"/>
      <c r="AE729646" s="251"/>
      <c r="AH729646" s="251"/>
      <c r="AK729646" s="251"/>
    </row>
    <row r="729761" spans="25:37" x14ac:dyDescent="0.2">
      <c r="Y729761" s="5"/>
      <c r="AB729761" s="5"/>
      <c r="AE729761" s="5"/>
      <c r="AH729761" s="5"/>
      <c r="AK729761" s="5"/>
    </row>
    <row r="729771" spans="25:37" x14ac:dyDescent="0.2">
      <c r="Y729771" s="251"/>
      <c r="AB729771" s="251"/>
      <c r="AE729771" s="251"/>
      <c r="AH729771" s="251"/>
      <c r="AK729771" s="251"/>
    </row>
    <row r="729886" spans="25:37" x14ac:dyDescent="0.2">
      <c r="Y729886" s="5"/>
      <c r="AB729886" s="5"/>
      <c r="AE729886" s="5"/>
      <c r="AH729886" s="5"/>
      <c r="AK729886" s="5"/>
    </row>
    <row r="729896" spans="25:37" x14ac:dyDescent="0.2">
      <c r="Y729896" s="251"/>
      <c r="AB729896" s="251"/>
      <c r="AE729896" s="251"/>
      <c r="AH729896" s="251"/>
      <c r="AK729896" s="251"/>
    </row>
    <row r="730011" spans="25:37" x14ac:dyDescent="0.2">
      <c r="Y730011" s="5"/>
      <c r="AB730011" s="5"/>
      <c r="AE730011" s="5"/>
      <c r="AH730011" s="5"/>
      <c r="AK730011" s="5"/>
    </row>
    <row r="730021" spans="25:37" x14ac:dyDescent="0.2">
      <c r="Y730021" s="251"/>
      <c r="AB730021" s="251"/>
      <c r="AE730021" s="251"/>
      <c r="AH730021" s="251"/>
      <c r="AK730021" s="251"/>
    </row>
    <row r="730136" spans="25:37" x14ac:dyDescent="0.2">
      <c r="Y730136" s="5"/>
      <c r="AB730136" s="5"/>
      <c r="AE730136" s="5"/>
      <c r="AH730136" s="5"/>
      <c r="AK730136" s="5"/>
    </row>
    <row r="730146" spans="25:37" x14ac:dyDescent="0.2">
      <c r="Y730146" s="251"/>
      <c r="AB730146" s="251"/>
      <c r="AE730146" s="251"/>
      <c r="AH730146" s="251"/>
      <c r="AK730146" s="251"/>
    </row>
    <row r="730261" spans="25:37" x14ac:dyDescent="0.2">
      <c r="Y730261" s="5"/>
      <c r="AB730261" s="5"/>
      <c r="AE730261" s="5"/>
      <c r="AH730261" s="5"/>
      <c r="AK730261" s="5"/>
    </row>
    <row r="730271" spans="25:37" x14ac:dyDescent="0.2">
      <c r="Y730271" s="251"/>
      <c r="AB730271" s="251"/>
      <c r="AE730271" s="251"/>
      <c r="AH730271" s="251"/>
      <c r="AK730271" s="251"/>
    </row>
    <row r="730386" spans="25:37" x14ac:dyDescent="0.2">
      <c r="Y730386" s="5"/>
      <c r="AB730386" s="5"/>
      <c r="AE730386" s="5"/>
      <c r="AH730386" s="5"/>
      <c r="AK730386" s="5"/>
    </row>
    <row r="730396" spans="25:37" x14ac:dyDescent="0.2">
      <c r="Y730396" s="251"/>
      <c r="AB730396" s="251"/>
      <c r="AE730396" s="251"/>
      <c r="AH730396" s="251"/>
      <c r="AK730396" s="251"/>
    </row>
    <row r="730511" spans="25:37" x14ac:dyDescent="0.2">
      <c r="Y730511" s="5"/>
      <c r="AB730511" s="5"/>
      <c r="AE730511" s="5"/>
      <c r="AH730511" s="5"/>
      <c r="AK730511" s="5"/>
    </row>
    <row r="730521" spans="25:37" x14ac:dyDescent="0.2">
      <c r="Y730521" s="251"/>
      <c r="AB730521" s="251"/>
      <c r="AE730521" s="251"/>
      <c r="AH730521" s="251"/>
      <c r="AK730521" s="251"/>
    </row>
    <row r="730636" spans="25:37" x14ac:dyDescent="0.2">
      <c r="Y730636" s="5"/>
      <c r="AB730636" s="5"/>
      <c r="AE730636" s="5"/>
      <c r="AH730636" s="5"/>
      <c r="AK730636" s="5"/>
    </row>
    <row r="730646" spans="25:37" x14ac:dyDescent="0.2">
      <c r="Y730646" s="251"/>
      <c r="AB730646" s="251"/>
      <c r="AE730646" s="251"/>
      <c r="AH730646" s="251"/>
      <c r="AK730646" s="251"/>
    </row>
    <row r="730761" spans="25:37" x14ac:dyDescent="0.2">
      <c r="Y730761" s="5"/>
      <c r="AB730761" s="5"/>
      <c r="AE730761" s="5"/>
      <c r="AH730761" s="5"/>
      <c r="AK730761" s="5"/>
    </row>
    <row r="730771" spans="25:37" x14ac:dyDescent="0.2">
      <c r="Y730771" s="251"/>
      <c r="AB730771" s="251"/>
      <c r="AE730771" s="251"/>
      <c r="AH730771" s="251"/>
      <c r="AK730771" s="251"/>
    </row>
    <row r="730886" spans="25:37" x14ac:dyDescent="0.2">
      <c r="Y730886" s="5"/>
      <c r="AB730886" s="5"/>
      <c r="AE730886" s="5"/>
      <c r="AH730886" s="5"/>
      <c r="AK730886" s="5"/>
    </row>
    <row r="730896" spans="25:37" x14ac:dyDescent="0.2">
      <c r="Y730896" s="251"/>
      <c r="AB730896" s="251"/>
      <c r="AE730896" s="251"/>
      <c r="AH730896" s="251"/>
      <c r="AK730896" s="251"/>
    </row>
    <row r="731011" spans="25:37" x14ac:dyDescent="0.2">
      <c r="Y731011" s="5"/>
      <c r="AB731011" s="5"/>
      <c r="AE731011" s="5"/>
      <c r="AH731011" s="5"/>
      <c r="AK731011" s="5"/>
    </row>
    <row r="731021" spans="25:37" x14ac:dyDescent="0.2">
      <c r="Y731021" s="251"/>
      <c r="AB731021" s="251"/>
      <c r="AE731021" s="251"/>
      <c r="AH731021" s="251"/>
      <c r="AK731021" s="251"/>
    </row>
    <row r="731136" spans="25:37" x14ac:dyDescent="0.2">
      <c r="Y731136" s="5"/>
      <c r="AB731136" s="5"/>
      <c r="AE731136" s="5"/>
      <c r="AH731136" s="5"/>
      <c r="AK731136" s="5"/>
    </row>
    <row r="731146" spans="25:37" x14ac:dyDescent="0.2">
      <c r="Y731146" s="251"/>
      <c r="AB731146" s="251"/>
      <c r="AE731146" s="251"/>
      <c r="AH731146" s="251"/>
      <c r="AK731146" s="251"/>
    </row>
    <row r="731261" spans="25:37" x14ac:dyDescent="0.2">
      <c r="Y731261" s="5"/>
      <c r="AB731261" s="5"/>
      <c r="AE731261" s="5"/>
      <c r="AH731261" s="5"/>
      <c r="AK731261" s="5"/>
    </row>
    <row r="731271" spans="25:37" x14ac:dyDescent="0.2">
      <c r="Y731271" s="251"/>
      <c r="AB731271" s="251"/>
      <c r="AE731271" s="251"/>
      <c r="AH731271" s="251"/>
      <c r="AK731271" s="251"/>
    </row>
    <row r="731386" spans="25:37" x14ac:dyDescent="0.2">
      <c r="Y731386" s="5"/>
      <c r="AB731386" s="5"/>
      <c r="AE731386" s="5"/>
      <c r="AH731386" s="5"/>
      <c r="AK731386" s="5"/>
    </row>
    <row r="731396" spans="25:37" x14ac:dyDescent="0.2">
      <c r="Y731396" s="251"/>
      <c r="AB731396" s="251"/>
      <c r="AE731396" s="251"/>
      <c r="AH731396" s="251"/>
      <c r="AK731396" s="251"/>
    </row>
    <row r="731511" spans="25:37" x14ac:dyDescent="0.2">
      <c r="Y731511" s="5"/>
      <c r="AB731511" s="5"/>
      <c r="AE731511" s="5"/>
      <c r="AH731511" s="5"/>
      <c r="AK731511" s="5"/>
    </row>
    <row r="731521" spans="25:37" x14ac:dyDescent="0.2">
      <c r="Y731521" s="251"/>
      <c r="AB731521" s="251"/>
      <c r="AE731521" s="251"/>
      <c r="AH731521" s="251"/>
      <c r="AK731521" s="251"/>
    </row>
    <row r="731636" spans="25:37" x14ac:dyDescent="0.2">
      <c r="Y731636" s="5"/>
      <c r="AB731636" s="5"/>
      <c r="AE731636" s="5"/>
      <c r="AH731636" s="5"/>
      <c r="AK731636" s="5"/>
    </row>
    <row r="731646" spans="25:37" x14ac:dyDescent="0.2">
      <c r="Y731646" s="251"/>
      <c r="AB731646" s="251"/>
      <c r="AE731646" s="251"/>
      <c r="AH731646" s="251"/>
      <c r="AK731646" s="251"/>
    </row>
    <row r="731761" spans="25:37" x14ac:dyDescent="0.2">
      <c r="Y731761" s="5"/>
      <c r="AB731761" s="5"/>
      <c r="AE731761" s="5"/>
      <c r="AH731761" s="5"/>
      <c r="AK731761" s="5"/>
    </row>
    <row r="731771" spans="25:37" x14ac:dyDescent="0.2">
      <c r="Y731771" s="251"/>
      <c r="AB731771" s="251"/>
      <c r="AE731771" s="251"/>
      <c r="AH731771" s="251"/>
      <c r="AK731771" s="251"/>
    </row>
    <row r="731886" spans="25:37" x14ac:dyDescent="0.2">
      <c r="Y731886" s="5"/>
      <c r="AB731886" s="5"/>
      <c r="AE731886" s="5"/>
      <c r="AH731886" s="5"/>
      <c r="AK731886" s="5"/>
    </row>
    <row r="731896" spans="25:37" x14ac:dyDescent="0.2">
      <c r="Y731896" s="251"/>
      <c r="AB731896" s="251"/>
      <c r="AE731896" s="251"/>
      <c r="AH731896" s="251"/>
      <c r="AK731896" s="251"/>
    </row>
    <row r="732011" spans="25:37" x14ac:dyDescent="0.2">
      <c r="Y732011" s="5"/>
      <c r="AB732011" s="5"/>
      <c r="AE732011" s="5"/>
      <c r="AH732011" s="5"/>
      <c r="AK732011" s="5"/>
    </row>
    <row r="732021" spans="25:37" x14ac:dyDescent="0.2">
      <c r="Y732021" s="251"/>
      <c r="AB732021" s="251"/>
      <c r="AE732021" s="251"/>
      <c r="AH732021" s="251"/>
      <c r="AK732021" s="251"/>
    </row>
    <row r="732136" spans="25:37" x14ac:dyDescent="0.2">
      <c r="Y732136" s="5"/>
      <c r="AB732136" s="5"/>
      <c r="AE732136" s="5"/>
      <c r="AH732136" s="5"/>
      <c r="AK732136" s="5"/>
    </row>
    <row r="732146" spans="25:37" x14ac:dyDescent="0.2">
      <c r="Y732146" s="251"/>
      <c r="AB732146" s="251"/>
      <c r="AE732146" s="251"/>
      <c r="AH732146" s="251"/>
      <c r="AK732146" s="251"/>
    </row>
    <row r="732261" spans="25:37" x14ac:dyDescent="0.2">
      <c r="Y732261" s="5"/>
      <c r="AB732261" s="5"/>
      <c r="AE732261" s="5"/>
      <c r="AH732261" s="5"/>
      <c r="AK732261" s="5"/>
    </row>
    <row r="732271" spans="25:37" x14ac:dyDescent="0.2">
      <c r="Y732271" s="251"/>
      <c r="AB732271" s="251"/>
      <c r="AE732271" s="251"/>
      <c r="AH732271" s="251"/>
      <c r="AK732271" s="251"/>
    </row>
    <row r="732386" spans="25:37" x14ac:dyDescent="0.2">
      <c r="Y732386" s="5"/>
      <c r="AB732386" s="5"/>
      <c r="AE732386" s="5"/>
      <c r="AH732386" s="5"/>
      <c r="AK732386" s="5"/>
    </row>
    <row r="732396" spans="25:37" x14ac:dyDescent="0.2">
      <c r="Y732396" s="251"/>
      <c r="AB732396" s="251"/>
      <c r="AE732396" s="251"/>
      <c r="AH732396" s="251"/>
      <c r="AK732396" s="251"/>
    </row>
    <row r="732511" spans="25:37" x14ac:dyDescent="0.2">
      <c r="Y732511" s="5"/>
      <c r="AB732511" s="5"/>
      <c r="AE732511" s="5"/>
      <c r="AH732511" s="5"/>
      <c r="AK732511" s="5"/>
    </row>
    <row r="732521" spans="25:37" x14ac:dyDescent="0.2">
      <c r="Y732521" s="251"/>
      <c r="AB732521" s="251"/>
      <c r="AE732521" s="251"/>
      <c r="AH732521" s="251"/>
      <c r="AK732521" s="251"/>
    </row>
    <row r="732636" spans="25:37" x14ac:dyDescent="0.2">
      <c r="Y732636" s="5"/>
      <c r="AB732636" s="5"/>
      <c r="AE732636" s="5"/>
      <c r="AH732636" s="5"/>
      <c r="AK732636" s="5"/>
    </row>
    <row r="732646" spans="25:37" x14ac:dyDescent="0.2">
      <c r="Y732646" s="251"/>
      <c r="AB732646" s="251"/>
      <c r="AE732646" s="251"/>
      <c r="AH732646" s="251"/>
      <c r="AK732646" s="251"/>
    </row>
    <row r="732761" spans="25:37" x14ac:dyDescent="0.2">
      <c r="Y732761" s="5"/>
      <c r="AB732761" s="5"/>
      <c r="AE732761" s="5"/>
      <c r="AH732761" s="5"/>
      <c r="AK732761" s="5"/>
    </row>
    <row r="732771" spans="25:37" x14ac:dyDescent="0.2">
      <c r="Y732771" s="251"/>
      <c r="AB732771" s="251"/>
      <c r="AE732771" s="251"/>
      <c r="AH732771" s="251"/>
      <c r="AK732771" s="251"/>
    </row>
    <row r="732886" spans="25:37" x14ac:dyDescent="0.2">
      <c r="Y732886" s="5"/>
      <c r="AB732886" s="5"/>
      <c r="AE732886" s="5"/>
      <c r="AH732886" s="5"/>
      <c r="AK732886" s="5"/>
    </row>
    <row r="732896" spans="25:37" x14ac:dyDescent="0.2">
      <c r="Y732896" s="251"/>
      <c r="AB732896" s="251"/>
      <c r="AE732896" s="251"/>
      <c r="AH732896" s="251"/>
      <c r="AK732896" s="251"/>
    </row>
    <row r="733011" spans="25:37" x14ac:dyDescent="0.2">
      <c r="Y733011" s="5"/>
      <c r="AB733011" s="5"/>
      <c r="AE733011" s="5"/>
      <c r="AH733011" s="5"/>
      <c r="AK733011" s="5"/>
    </row>
    <row r="733021" spans="25:37" x14ac:dyDescent="0.2">
      <c r="Y733021" s="251"/>
      <c r="AB733021" s="251"/>
      <c r="AE733021" s="251"/>
      <c r="AH733021" s="251"/>
      <c r="AK733021" s="251"/>
    </row>
    <row r="733136" spans="25:37" x14ac:dyDescent="0.2">
      <c r="Y733136" s="5"/>
      <c r="AB733136" s="5"/>
      <c r="AE733136" s="5"/>
      <c r="AH733136" s="5"/>
      <c r="AK733136" s="5"/>
    </row>
    <row r="733146" spans="25:37" x14ac:dyDescent="0.2">
      <c r="Y733146" s="251"/>
      <c r="AB733146" s="251"/>
      <c r="AE733146" s="251"/>
      <c r="AH733146" s="251"/>
      <c r="AK733146" s="251"/>
    </row>
    <row r="733261" spans="25:37" x14ac:dyDescent="0.2">
      <c r="Y733261" s="5"/>
      <c r="AB733261" s="5"/>
      <c r="AE733261" s="5"/>
      <c r="AH733261" s="5"/>
      <c r="AK733261" s="5"/>
    </row>
    <row r="733271" spans="25:37" x14ac:dyDescent="0.2">
      <c r="Y733271" s="251"/>
      <c r="AB733271" s="251"/>
      <c r="AE733271" s="251"/>
      <c r="AH733271" s="251"/>
      <c r="AK733271" s="251"/>
    </row>
    <row r="733386" spans="25:37" x14ac:dyDescent="0.2">
      <c r="Y733386" s="5"/>
      <c r="AB733386" s="5"/>
      <c r="AE733386" s="5"/>
      <c r="AH733386" s="5"/>
      <c r="AK733386" s="5"/>
    </row>
    <row r="733396" spans="25:37" x14ac:dyDescent="0.2">
      <c r="Y733396" s="251"/>
      <c r="AB733396" s="251"/>
      <c r="AE733396" s="251"/>
      <c r="AH733396" s="251"/>
      <c r="AK733396" s="251"/>
    </row>
    <row r="733511" spans="25:37" x14ac:dyDescent="0.2">
      <c r="Y733511" s="5"/>
      <c r="AB733511" s="5"/>
      <c r="AE733511" s="5"/>
      <c r="AH733511" s="5"/>
      <c r="AK733511" s="5"/>
    </row>
    <row r="733521" spans="25:37" x14ac:dyDescent="0.2">
      <c r="Y733521" s="251"/>
      <c r="AB733521" s="251"/>
      <c r="AE733521" s="251"/>
      <c r="AH733521" s="251"/>
      <c r="AK733521" s="251"/>
    </row>
    <row r="733636" spans="25:37" x14ac:dyDescent="0.2">
      <c r="Y733636" s="5"/>
      <c r="AB733636" s="5"/>
      <c r="AE733636" s="5"/>
      <c r="AH733636" s="5"/>
      <c r="AK733636" s="5"/>
    </row>
    <row r="733646" spans="25:37" x14ac:dyDescent="0.2">
      <c r="Y733646" s="251"/>
      <c r="AB733646" s="251"/>
      <c r="AE733646" s="251"/>
      <c r="AH733646" s="251"/>
      <c r="AK733646" s="251"/>
    </row>
    <row r="733761" spans="25:37" x14ac:dyDescent="0.2">
      <c r="Y733761" s="5"/>
      <c r="AB733761" s="5"/>
      <c r="AE733761" s="5"/>
      <c r="AH733761" s="5"/>
      <c r="AK733761" s="5"/>
    </row>
    <row r="733771" spans="25:37" x14ac:dyDescent="0.2">
      <c r="Y733771" s="251"/>
      <c r="AB733771" s="251"/>
      <c r="AE733771" s="251"/>
      <c r="AH733771" s="251"/>
      <c r="AK733771" s="251"/>
    </row>
    <row r="733886" spans="25:37" x14ac:dyDescent="0.2">
      <c r="Y733886" s="5"/>
      <c r="AB733886" s="5"/>
      <c r="AE733886" s="5"/>
      <c r="AH733886" s="5"/>
      <c r="AK733886" s="5"/>
    </row>
    <row r="733896" spans="25:37" x14ac:dyDescent="0.2">
      <c r="Y733896" s="251"/>
      <c r="AB733896" s="251"/>
      <c r="AE733896" s="251"/>
      <c r="AH733896" s="251"/>
      <c r="AK733896" s="251"/>
    </row>
    <row r="734011" spans="25:37" x14ac:dyDescent="0.2">
      <c r="Y734011" s="5"/>
      <c r="AB734011" s="5"/>
      <c r="AE734011" s="5"/>
      <c r="AH734011" s="5"/>
      <c r="AK734011" s="5"/>
    </row>
    <row r="734021" spans="25:37" x14ac:dyDescent="0.2">
      <c r="Y734021" s="251"/>
      <c r="AB734021" s="251"/>
      <c r="AE734021" s="251"/>
      <c r="AH734021" s="251"/>
      <c r="AK734021" s="251"/>
    </row>
    <row r="734136" spans="25:37" x14ac:dyDescent="0.2">
      <c r="Y734136" s="5"/>
      <c r="AB734136" s="5"/>
      <c r="AE734136" s="5"/>
      <c r="AH734136" s="5"/>
      <c r="AK734136" s="5"/>
    </row>
    <row r="734146" spans="25:37" x14ac:dyDescent="0.2">
      <c r="Y734146" s="251"/>
      <c r="AB734146" s="251"/>
      <c r="AE734146" s="251"/>
      <c r="AH734146" s="251"/>
      <c r="AK734146" s="251"/>
    </row>
    <row r="734261" spans="25:37" x14ac:dyDescent="0.2">
      <c r="Y734261" s="5"/>
      <c r="AB734261" s="5"/>
      <c r="AE734261" s="5"/>
      <c r="AH734261" s="5"/>
      <c r="AK734261" s="5"/>
    </row>
    <row r="734271" spans="25:37" x14ac:dyDescent="0.2">
      <c r="Y734271" s="251"/>
      <c r="AB734271" s="251"/>
      <c r="AE734271" s="251"/>
      <c r="AH734271" s="251"/>
      <c r="AK734271" s="251"/>
    </row>
    <row r="734386" spans="25:37" x14ac:dyDescent="0.2">
      <c r="Y734386" s="5"/>
      <c r="AB734386" s="5"/>
      <c r="AE734386" s="5"/>
      <c r="AH734386" s="5"/>
      <c r="AK734386" s="5"/>
    </row>
    <row r="734396" spans="25:37" x14ac:dyDescent="0.2">
      <c r="Y734396" s="251"/>
      <c r="AB734396" s="251"/>
      <c r="AE734396" s="251"/>
      <c r="AH734396" s="251"/>
      <c r="AK734396" s="251"/>
    </row>
    <row r="734511" spans="25:37" x14ac:dyDescent="0.2">
      <c r="Y734511" s="5"/>
      <c r="AB734511" s="5"/>
      <c r="AE734511" s="5"/>
      <c r="AH734511" s="5"/>
      <c r="AK734511" s="5"/>
    </row>
    <row r="734521" spans="25:37" x14ac:dyDescent="0.2">
      <c r="Y734521" s="251"/>
      <c r="AB734521" s="251"/>
      <c r="AE734521" s="251"/>
      <c r="AH734521" s="251"/>
      <c r="AK734521" s="251"/>
    </row>
    <row r="734636" spans="25:37" x14ac:dyDescent="0.2">
      <c r="Y734636" s="5"/>
      <c r="AB734636" s="5"/>
      <c r="AE734636" s="5"/>
      <c r="AH734636" s="5"/>
      <c r="AK734636" s="5"/>
    </row>
    <row r="734646" spans="25:37" x14ac:dyDescent="0.2">
      <c r="Y734646" s="251"/>
      <c r="AB734646" s="251"/>
      <c r="AE734646" s="251"/>
      <c r="AH734646" s="251"/>
      <c r="AK734646" s="251"/>
    </row>
    <row r="734761" spans="25:37" x14ac:dyDescent="0.2">
      <c r="Y734761" s="5"/>
      <c r="AB734761" s="5"/>
      <c r="AE734761" s="5"/>
      <c r="AH734761" s="5"/>
      <c r="AK734761" s="5"/>
    </row>
    <row r="734771" spans="25:37" x14ac:dyDescent="0.2">
      <c r="Y734771" s="251"/>
      <c r="AB734771" s="251"/>
      <c r="AE734771" s="251"/>
      <c r="AH734771" s="251"/>
      <c r="AK734771" s="251"/>
    </row>
    <row r="734886" spans="25:37" x14ac:dyDescent="0.2">
      <c r="Y734886" s="5"/>
      <c r="AB734886" s="5"/>
      <c r="AE734886" s="5"/>
      <c r="AH734886" s="5"/>
      <c r="AK734886" s="5"/>
    </row>
    <row r="734896" spans="25:37" x14ac:dyDescent="0.2">
      <c r="Y734896" s="251"/>
      <c r="AB734896" s="251"/>
      <c r="AE734896" s="251"/>
      <c r="AH734896" s="251"/>
      <c r="AK734896" s="251"/>
    </row>
    <row r="735011" spans="25:37" x14ac:dyDescent="0.2">
      <c r="Y735011" s="5"/>
      <c r="AB735011" s="5"/>
      <c r="AE735011" s="5"/>
      <c r="AH735011" s="5"/>
      <c r="AK735011" s="5"/>
    </row>
    <row r="735021" spans="25:37" x14ac:dyDescent="0.2">
      <c r="Y735021" s="251"/>
      <c r="AB735021" s="251"/>
      <c r="AE735021" s="251"/>
      <c r="AH735021" s="251"/>
      <c r="AK735021" s="251"/>
    </row>
    <row r="735136" spans="25:37" x14ac:dyDescent="0.2">
      <c r="Y735136" s="5"/>
      <c r="AB735136" s="5"/>
      <c r="AE735136" s="5"/>
      <c r="AH735136" s="5"/>
      <c r="AK735136" s="5"/>
    </row>
    <row r="735146" spans="25:37" x14ac:dyDescent="0.2">
      <c r="Y735146" s="251"/>
      <c r="AB735146" s="251"/>
      <c r="AE735146" s="251"/>
      <c r="AH735146" s="251"/>
      <c r="AK735146" s="251"/>
    </row>
    <row r="735261" spans="25:37" x14ac:dyDescent="0.2">
      <c r="Y735261" s="5"/>
      <c r="AB735261" s="5"/>
      <c r="AE735261" s="5"/>
      <c r="AH735261" s="5"/>
      <c r="AK735261" s="5"/>
    </row>
    <row r="735271" spans="25:37" x14ac:dyDescent="0.2">
      <c r="Y735271" s="251"/>
      <c r="AB735271" s="251"/>
      <c r="AE735271" s="251"/>
      <c r="AH735271" s="251"/>
      <c r="AK735271" s="251"/>
    </row>
    <row r="735386" spans="25:37" x14ac:dyDescent="0.2">
      <c r="Y735386" s="5"/>
      <c r="AB735386" s="5"/>
      <c r="AE735386" s="5"/>
      <c r="AH735386" s="5"/>
      <c r="AK735386" s="5"/>
    </row>
    <row r="735396" spans="25:37" x14ac:dyDescent="0.2">
      <c r="Y735396" s="251"/>
      <c r="AB735396" s="251"/>
      <c r="AE735396" s="251"/>
      <c r="AH735396" s="251"/>
      <c r="AK735396" s="251"/>
    </row>
    <row r="735511" spans="25:37" x14ac:dyDescent="0.2">
      <c r="Y735511" s="5"/>
      <c r="AB735511" s="5"/>
      <c r="AE735511" s="5"/>
      <c r="AH735511" s="5"/>
      <c r="AK735511" s="5"/>
    </row>
    <row r="735521" spans="25:37" x14ac:dyDescent="0.2">
      <c r="Y735521" s="251"/>
      <c r="AB735521" s="251"/>
      <c r="AE735521" s="251"/>
      <c r="AH735521" s="251"/>
      <c r="AK735521" s="251"/>
    </row>
    <row r="735636" spans="25:37" x14ac:dyDescent="0.2">
      <c r="Y735636" s="5"/>
      <c r="AB735636" s="5"/>
      <c r="AE735636" s="5"/>
      <c r="AH735636" s="5"/>
      <c r="AK735636" s="5"/>
    </row>
    <row r="735646" spans="25:37" x14ac:dyDescent="0.2">
      <c r="Y735646" s="251"/>
      <c r="AB735646" s="251"/>
      <c r="AE735646" s="251"/>
      <c r="AH735646" s="251"/>
      <c r="AK735646" s="251"/>
    </row>
    <row r="735761" spans="25:37" x14ac:dyDescent="0.2">
      <c r="Y735761" s="5"/>
      <c r="AB735761" s="5"/>
      <c r="AE735761" s="5"/>
      <c r="AH735761" s="5"/>
      <c r="AK735761" s="5"/>
    </row>
    <row r="735771" spans="25:37" x14ac:dyDescent="0.2">
      <c r="Y735771" s="251"/>
      <c r="AB735771" s="251"/>
      <c r="AE735771" s="251"/>
      <c r="AH735771" s="251"/>
      <c r="AK735771" s="251"/>
    </row>
    <row r="735886" spans="25:37" x14ac:dyDescent="0.2">
      <c r="Y735886" s="5"/>
      <c r="AB735886" s="5"/>
      <c r="AE735886" s="5"/>
      <c r="AH735886" s="5"/>
      <c r="AK735886" s="5"/>
    </row>
    <row r="735896" spans="25:37" x14ac:dyDescent="0.2">
      <c r="Y735896" s="251"/>
      <c r="AB735896" s="251"/>
      <c r="AE735896" s="251"/>
      <c r="AH735896" s="251"/>
      <c r="AK735896" s="251"/>
    </row>
    <row r="736011" spans="25:37" x14ac:dyDescent="0.2">
      <c r="Y736011" s="5"/>
      <c r="AB736011" s="5"/>
      <c r="AE736011" s="5"/>
      <c r="AH736011" s="5"/>
      <c r="AK736011" s="5"/>
    </row>
    <row r="736021" spans="25:37" x14ac:dyDescent="0.2">
      <c r="Y736021" s="251"/>
      <c r="AB736021" s="251"/>
      <c r="AE736021" s="251"/>
      <c r="AH736021" s="251"/>
      <c r="AK736021" s="251"/>
    </row>
    <row r="736136" spans="25:37" x14ac:dyDescent="0.2">
      <c r="Y736136" s="5"/>
      <c r="AB736136" s="5"/>
      <c r="AE736136" s="5"/>
      <c r="AH736136" s="5"/>
      <c r="AK736136" s="5"/>
    </row>
    <row r="736146" spans="25:37" x14ac:dyDescent="0.2">
      <c r="Y736146" s="251"/>
      <c r="AB736146" s="251"/>
      <c r="AE736146" s="251"/>
      <c r="AH736146" s="251"/>
      <c r="AK736146" s="251"/>
    </row>
    <row r="736261" spans="25:37" x14ac:dyDescent="0.2">
      <c r="Y736261" s="5"/>
      <c r="AB736261" s="5"/>
      <c r="AE736261" s="5"/>
      <c r="AH736261" s="5"/>
      <c r="AK736261" s="5"/>
    </row>
    <row r="736271" spans="25:37" x14ac:dyDescent="0.2">
      <c r="Y736271" s="251"/>
      <c r="AB736271" s="251"/>
      <c r="AE736271" s="251"/>
      <c r="AH736271" s="251"/>
      <c r="AK736271" s="251"/>
    </row>
    <row r="736386" spans="25:37" x14ac:dyDescent="0.2">
      <c r="Y736386" s="5"/>
      <c r="AB736386" s="5"/>
      <c r="AE736386" s="5"/>
      <c r="AH736386" s="5"/>
      <c r="AK736386" s="5"/>
    </row>
    <row r="736396" spans="25:37" x14ac:dyDescent="0.2">
      <c r="Y736396" s="251"/>
      <c r="AB736396" s="251"/>
      <c r="AE736396" s="251"/>
      <c r="AH736396" s="251"/>
      <c r="AK736396" s="251"/>
    </row>
    <row r="736511" spans="25:37" x14ac:dyDescent="0.2">
      <c r="Y736511" s="5"/>
      <c r="AB736511" s="5"/>
      <c r="AE736511" s="5"/>
      <c r="AH736511" s="5"/>
      <c r="AK736511" s="5"/>
    </row>
    <row r="736521" spans="25:37" x14ac:dyDescent="0.2">
      <c r="Y736521" s="251"/>
      <c r="AB736521" s="251"/>
      <c r="AE736521" s="251"/>
      <c r="AH736521" s="251"/>
      <c r="AK736521" s="251"/>
    </row>
    <row r="736636" spans="25:37" x14ac:dyDescent="0.2">
      <c r="Y736636" s="5"/>
      <c r="AB736636" s="5"/>
      <c r="AE736636" s="5"/>
      <c r="AH736636" s="5"/>
      <c r="AK736636" s="5"/>
    </row>
    <row r="736646" spans="25:37" x14ac:dyDescent="0.2">
      <c r="Y736646" s="251"/>
      <c r="AB736646" s="251"/>
      <c r="AE736646" s="251"/>
      <c r="AH736646" s="251"/>
      <c r="AK736646" s="251"/>
    </row>
    <row r="736761" spans="25:37" x14ac:dyDescent="0.2">
      <c r="Y736761" s="5"/>
      <c r="AB736761" s="5"/>
      <c r="AE736761" s="5"/>
      <c r="AH736761" s="5"/>
      <c r="AK736761" s="5"/>
    </row>
    <row r="736771" spans="25:37" x14ac:dyDescent="0.2">
      <c r="Y736771" s="251"/>
      <c r="AB736771" s="251"/>
      <c r="AE736771" s="251"/>
      <c r="AH736771" s="251"/>
      <c r="AK736771" s="251"/>
    </row>
    <row r="736886" spans="25:37" x14ac:dyDescent="0.2">
      <c r="Y736886" s="5"/>
      <c r="AB736886" s="5"/>
      <c r="AE736886" s="5"/>
      <c r="AH736886" s="5"/>
      <c r="AK736886" s="5"/>
    </row>
    <row r="736896" spans="25:37" x14ac:dyDescent="0.2">
      <c r="Y736896" s="251"/>
      <c r="AB736896" s="251"/>
      <c r="AE736896" s="251"/>
      <c r="AH736896" s="251"/>
      <c r="AK736896" s="251"/>
    </row>
    <row r="737011" spans="25:37" x14ac:dyDescent="0.2">
      <c r="Y737011" s="5"/>
      <c r="AB737011" s="5"/>
      <c r="AE737011" s="5"/>
      <c r="AH737011" s="5"/>
      <c r="AK737011" s="5"/>
    </row>
    <row r="737021" spans="25:37" x14ac:dyDescent="0.2">
      <c r="Y737021" s="251"/>
      <c r="AB737021" s="251"/>
      <c r="AE737021" s="251"/>
      <c r="AH737021" s="251"/>
      <c r="AK737021" s="251"/>
    </row>
    <row r="737136" spans="25:37" x14ac:dyDescent="0.2">
      <c r="Y737136" s="5"/>
      <c r="AB737136" s="5"/>
      <c r="AE737136" s="5"/>
      <c r="AH737136" s="5"/>
      <c r="AK737136" s="5"/>
    </row>
    <row r="737146" spans="25:37" x14ac:dyDescent="0.2">
      <c r="Y737146" s="251"/>
      <c r="AB737146" s="251"/>
      <c r="AE737146" s="251"/>
      <c r="AH737146" s="251"/>
      <c r="AK737146" s="251"/>
    </row>
    <row r="737261" spans="25:37" x14ac:dyDescent="0.2">
      <c r="Y737261" s="5"/>
      <c r="AB737261" s="5"/>
      <c r="AE737261" s="5"/>
      <c r="AH737261" s="5"/>
      <c r="AK737261" s="5"/>
    </row>
    <row r="737271" spans="25:37" x14ac:dyDescent="0.2">
      <c r="Y737271" s="251"/>
      <c r="AB737271" s="251"/>
      <c r="AE737271" s="251"/>
      <c r="AH737271" s="251"/>
      <c r="AK737271" s="251"/>
    </row>
    <row r="737386" spans="25:37" x14ac:dyDescent="0.2">
      <c r="Y737386" s="5"/>
      <c r="AB737386" s="5"/>
      <c r="AE737386" s="5"/>
      <c r="AH737386" s="5"/>
      <c r="AK737386" s="5"/>
    </row>
    <row r="737396" spans="25:37" x14ac:dyDescent="0.2">
      <c r="Y737396" s="251"/>
      <c r="AB737396" s="251"/>
      <c r="AE737396" s="251"/>
      <c r="AH737396" s="251"/>
      <c r="AK737396" s="251"/>
    </row>
    <row r="737511" spans="25:37" x14ac:dyDescent="0.2">
      <c r="Y737511" s="5"/>
      <c r="AB737511" s="5"/>
      <c r="AE737511" s="5"/>
      <c r="AH737511" s="5"/>
      <c r="AK737511" s="5"/>
    </row>
    <row r="737521" spans="25:37" x14ac:dyDescent="0.2">
      <c r="Y737521" s="251"/>
      <c r="AB737521" s="251"/>
      <c r="AE737521" s="251"/>
      <c r="AH737521" s="251"/>
      <c r="AK737521" s="251"/>
    </row>
    <row r="737636" spans="25:37" x14ac:dyDescent="0.2">
      <c r="Y737636" s="5"/>
      <c r="AB737636" s="5"/>
      <c r="AE737636" s="5"/>
      <c r="AH737636" s="5"/>
      <c r="AK737636" s="5"/>
    </row>
    <row r="737646" spans="25:37" x14ac:dyDescent="0.2">
      <c r="Y737646" s="251"/>
      <c r="AB737646" s="251"/>
      <c r="AE737646" s="251"/>
      <c r="AH737646" s="251"/>
      <c r="AK737646" s="251"/>
    </row>
    <row r="737761" spans="25:37" x14ac:dyDescent="0.2">
      <c r="Y737761" s="5"/>
      <c r="AB737761" s="5"/>
      <c r="AE737761" s="5"/>
      <c r="AH737761" s="5"/>
      <c r="AK737761" s="5"/>
    </row>
    <row r="737771" spans="25:37" x14ac:dyDescent="0.2">
      <c r="Y737771" s="251"/>
      <c r="AB737771" s="251"/>
      <c r="AE737771" s="251"/>
      <c r="AH737771" s="251"/>
      <c r="AK737771" s="251"/>
    </row>
    <row r="737886" spans="25:37" x14ac:dyDescent="0.2">
      <c r="Y737886" s="5"/>
      <c r="AB737886" s="5"/>
      <c r="AE737886" s="5"/>
      <c r="AH737886" s="5"/>
      <c r="AK737886" s="5"/>
    </row>
    <row r="737896" spans="25:37" x14ac:dyDescent="0.2">
      <c r="Y737896" s="251"/>
      <c r="AB737896" s="251"/>
      <c r="AE737896" s="251"/>
      <c r="AH737896" s="251"/>
      <c r="AK737896" s="251"/>
    </row>
    <row r="738011" spans="25:37" x14ac:dyDescent="0.2">
      <c r="Y738011" s="5"/>
      <c r="AB738011" s="5"/>
      <c r="AE738011" s="5"/>
      <c r="AH738011" s="5"/>
      <c r="AK738011" s="5"/>
    </row>
    <row r="738021" spans="25:37" x14ac:dyDescent="0.2">
      <c r="Y738021" s="251"/>
      <c r="AB738021" s="251"/>
      <c r="AE738021" s="251"/>
      <c r="AH738021" s="251"/>
      <c r="AK738021" s="251"/>
    </row>
    <row r="738136" spans="25:37" x14ac:dyDescent="0.2">
      <c r="Y738136" s="5"/>
      <c r="AB738136" s="5"/>
      <c r="AE738136" s="5"/>
      <c r="AH738136" s="5"/>
      <c r="AK738136" s="5"/>
    </row>
    <row r="738146" spans="25:37" x14ac:dyDescent="0.2">
      <c r="Y738146" s="251"/>
      <c r="AB738146" s="251"/>
      <c r="AE738146" s="251"/>
      <c r="AH738146" s="251"/>
      <c r="AK738146" s="251"/>
    </row>
    <row r="738261" spans="25:37" x14ac:dyDescent="0.2">
      <c r="Y738261" s="5"/>
      <c r="AB738261" s="5"/>
      <c r="AE738261" s="5"/>
      <c r="AH738261" s="5"/>
      <c r="AK738261" s="5"/>
    </row>
    <row r="738271" spans="25:37" x14ac:dyDescent="0.2">
      <c r="Y738271" s="251"/>
      <c r="AB738271" s="251"/>
      <c r="AE738271" s="251"/>
      <c r="AH738271" s="251"/>
      <c r="AK738271" s="251"/>
    </row>
    <row r="738386" spans="25:37" x14ac:dyDescent="0.2">
      <c r="Y738386" s="5"/>
      <c r="AB738386" s="5"/>
      <c r="AE738386" s="5"/>
      <c r="AH738386" s="5"/>
      <c r="AK738386" s="5"/>
    </row>
    <row r="738396" spans="25:37" x14ac:dyDescent="0.2">
      <c r="Y738396" s="251"/>
      <c r="AB738396" s="251"/>
      <c r="AE738396" s="251"/>
      <c r="AH738396" s="251"/>
      <c r="AK738396" s="251"/>
    </row>
    <row r="738511" spans="25:37" x14ac:dyDescent="0.2">
      <c r="Y738511" s="5"/>
      <c r="AB738511" s="5"/>
      <c r="AE738511" s="5"/>
      <c r="AH738511" s="5"/>
      <c r="AK738511" s="5"/>
    </row>
    <row r="738521" spans="25:37" x14ac:dyDescent="0.2">
      <c r="Y738521" s="251"/>
      <c r="AB738521" s="251"/>
      <c r="AE738521" s="251"/>
      <c r="AH738521" s="251"/>
      <c r="AK738521" s="251"/>
    </row>
    <row r="738636" spans="25:37" x14ac:dyDescent="0.2">
      <c r="Y738636" s="5"/>
      <c r="AB738636" s="5"/>
      <c r="AE738636" s="5"/>
      <c r="AH738636" s="5"/>
      <c r="AK738636" s="5"/>
    </row>
    <row r="738646" spans="25:37" x14ac:dyDescent="0.2">
      <c r="Y738646" s="251"/>
      <c r="AB738646" s="251"/>
      <c r="AE738646" s="251"/>
      <c r="AH738646" s="251"/>
      <c r="AK738646" s="251"/>
    </row>
    <row r="738761" spans="25:37" x14ac:dyDescent="0.2">
      <c r="Y738761" s="5"/>
      <c r="AB738761" s="5"/>
      <c r="AE738761" s="5"/>
      <c r="AH738761" s="5"/>
      <c r="AK738761" s="5"/>
    </row>
    <row r="738771" spans="25:37" x14ac:dyDescent="0.2">
      <c r="Y738771" s="251"/>
      <c r="AB738771" s="251"/>
      <c r="AE738771" s="251"/>
      <c r="AH738771" s="251"/>
      <c r="AK738771" s="251"/>
    </row>
    <row r="738886" spans="25:37" x14ac:dyDescent="0.2">
      <c r="Y738886" s="5"/>
      <c r="AB738886" s="5"/>
      <c r="AE738886" s="5"/>
      <c r="AH738886" s="5"/>
      <c r="AK738886" s="5"/>
    </row>
    <row r="738896" spans="25:37" x14ac:dyDescent="0.2">
      <c r="Y738896" s="251"/>
      <c r="AB738896" s="251"/>
      <c r="AE738896" s="251"/>
      <c r="AH738896" s="251"/>
      <c r="AK738896" s="251"/>
    </row>
    <row r="739011" spans="25:37" x14ac:dyDescent="0.2">
      <c r="Y739011" s="5"/>
      <c r="AB739011" s="5"/>
      <c r="AE739011" s="5"/>
      <c r="AH739011" s="5"/>
      <c r="AK739011" s="5"/>
    </row>
    <row r="739021" spans="25:37" x14ac:dyDescent="0.2">
      <c r="Y739021" s="251"/>
      <c r="AB739021" s="251"/>
      <c r="AE739021" s="251"/>
      <c r="AH739021" s="251"/>
      <c r="AK739021" s="251"/>
    </row>
    <row r="739136" spans="25:37" x14ac:dyDescent="0.2">
      <c r="Y739136" s="5"/>
      <c r="AB739136" s="5"/>
      <c r="AE739136" s="5"/>
      <c r="AH739136" s="5"/>
      <c r="AK739136" s="5"/>
    </row>
    <row r="739146" spans="25:37" x14ac:dyDescent="0.2">
      <c r="Y739146" s="251"/>
      <c r="AB739146" s="251"/>
      <c r="AE739146" s="251"/>
      <c r="AH739146" s="251"/>
      <c r="AK739146" s="251"/>
    </row>
    <row r="739261" spans="25:37" x14ac:dyDescent="0.2">
      <c r="Y739261" s="5"/>
      <c r="AB739261" s="5"/>
      <c r="AE739261" s="5"/>
      <c r="AH739261" s="5"/>
      <c r="AK739261" s="5"/>
    </row>
    <row r="739271" spans="25:37" x14ac:dyDescent="0.2">
      <c r="Y739271" s="251"/>
      <c r="AB739271" s="251"/>
      <c r="AE739271" s="251"/>
      <c r="AH739271" s="251"/>
      <c r="AK739271" s="251"/>
    </row>
    <row r="739386" spans="25:37" x14ac:dyDescent="0.2">
      <c r="Y739386" s="5"/>
      <c r="AB739386" s="5"/>
      <c r="AE739386" s="5"/>
      <c r="AH739386" s="5"/>
      <c r="AK739386" s="5"/>
    </row>
    <row r="739396" spans="25:37" x14ac:dyDescent="0.2">
      <c r="Y739396" s="251"/>
      <c r="AB739396" s="251"/>
      <c r="AE739396" s="251"/>
      <c r="AH739396" s="251"/>
      <c r="AK739396" s="251"/>
    </row>
    <row r="739511" spans="25:37" x14ac:dyDescent="0.2">
      <c r="Y739511" s="5"/>
      <c r="AB739511" s="5"/>
      <c r="AE739511" s="5"/>
      <c r="AH739511" s="5"/>
      <c r="AK739511" s="5"/>
    </row>
    <row r="739521" spans="25:37" x14ac:dyDescent="0.2">
      <c r="Y739521" s="251"/>
      <c r="AB739521" s="251"/>
      <c r="AE739521" s="251"/>
      <c r="AH739521" s="251"/>
      <c r="AK739521" s="251"/>
    </row>
    <row r="739636" spans="25:37" x14ac:dyDescent="0.2">
      <c r="Y739636" s="5"/>
      <c r="AB739636" s="5"/>
      <c r="AE739636" s="5"/>
      <c r="AH739636" s="5"/>
      <c r="AK739636" s="5"/>
    </row>
    <row r="739646" spans="25:37" x14ac:dyDescent="0.2">
      <c r="Y739646" s="251"/>
      <c r="AB739646" s="251"/>
      <c r="AE739646" s="251"/>
      <c r="AH739646" s="251"/>
      <c r="AK739646" s="251"/>
    </row>
    <row r="739761" spans="25:37" x14ac:dyDescent="0.2">
      <c r="Y739761" s="5"/>
      <c r="AB739761" s="5"/>
      <c r="AE739761" s="5"/>
      <c r="AH739761" s="5"/>
      <c r="AK739761" s="5"/>
    </row>
    <row r="739771" spans="25:37" x14ac:dyDescent="0.2">
      <c r="Y739771" s="251"/>
      <c r="AB739771" s="251"/>
      <c r="AE739771" s="251"/>
      <c r="AH739771" s="251"/>
      <c r="AK739771" s="251"/>
    </row>
    <row r="739886" spans="25:37" x14ac:dyDescent="0.2">
      <c r="Y739886" s="5"/>
      <c r="AB739886" s="5"/>
      <c r="AE739886" s="5"/>
      <c r="AH739886" s="5"/>
      <c r="AK739886" s="5"/>
    </row>
    <row r="739896" spans="25:37" x14ac:dyDescent="0.2">
      <c r="Y739896" s="251"/>
      <c r="AB739896" s="251"/>
      <c r="AE739896" s="251"/>
      <c r="AH739896" s="251"/>
      <c r="AK739896" s="251"/>
    </row>
    <row r="740011" spans="25:37" x14ac:dyDescent="0.2">
      <c r="Y740011" s="5"/>
      <c r="AB740011" s="5"/>
      <c r="AE740011" s="5"/>
      <c r="AH740011" s="5"/>
      <c r="AK740011" s="5"/>
    </row>
    <row r="740021" spans="25:37" x14ac:dyDescent="0.2">
      <c r="Y740021" s="251"/>
      <c r="AB740021" s="251"/>
      <c r="AE740021" s="251"/>
      <c r="AH740021" s="251"/>
      <c r="AK740021" s="251"/>
    </row>
    <row r="740136" spans="25:37" x14ac:dyDescent="0.2">
      <c r="Y740136" s="5"/>
      <c r="AB740136" s="5"/>
      <c r="AE740136" s="5"/>
      <c r="AH740136" s="5"/>
      <c r="AK740136" s="5"/>
    </row>
    <row r="740146" spans="25:37" x14ac:dyDescent="0.2">
      <c r="Y740146" s="251"/>
      <c r="AB740146" s="251"/>
      <c r="AE740146" s="251"/>
      <c r="AH740146" s="251"/>
      <c r="AK740146" s="251"/>
    </row>
    <row r="740261" spans="25:37" x14ac:dyDescent="0.2">
      <c r="Y740261" s="5"/>
      <c r="AB740261" s="5"/>
      <c r="AE740261" s="5"/>
      <c r="AH740261" s="5"/>
      <c r="AK740261" s="5"/>
    </row>
    <row r="740271" spans="25:37" x14ac:dyDescent="0.2">
      <c r="Y740271" s="251"/>
      <c r="AB740271" s="251"/>
      <c r="AE740271" s="251"/>
      <c r="AH740271" s="251"/>
      <c r="AK740271" s="251"/>
    </row>
    <row r="740386" spans="25:37" x14ac:dyDescent="0.2">
      <c r="Y740386" s="5"/>
      <c r="AB740386" s="5"/>
      <c r="AE740386" s="5"/>
      <c r="AH740386" s="5"/>
      <c r="AK740386" s="5"/>
    </row>
    <row r="740396" spans="25:37" x14ac:dyDescent="0.2">
      <c r="Y740396" s="251"/>
      <c r="AB740396" s="251"/>
      <c r="AE740396" s="251"/>
      <c r="AH740396" s="251"/>
      <c r="AK740396" s="251"/>
    </row>
    <row r="740511" spans="25:37" x14ac:dyDescent="0.2">
      <c r="Y740511" s="5"/>
      <c r="AB740511" s="5"/>
      <c r="AE740511" s="5"/>
      <c r="AH740511" s="5"/>
      <c r="AK740511" s="5"/>
    </row>
    <row r="740521" spans="25:37" x14ac:dyDescent="0.2">
      <c r="Y740521" s="251"/>
      <c r="AB740521" s="251"/>
      <c r="AE740521" s="251"/>
      <c r="AH740521" s="251"/>
      <c r="AK740521" s="251"/>
    </row>
    <row r="740636" spans="25:37" x14ac:dyDescent="0.2">
      <c r="Y740636" s="5"/>
      <c r="AB740636" s="5"/>
      <c r="AE740636" s="5"/>
      <c r="AH740636" s="5"/>
      <c r="AK740636" s="5"/>
    </row>
    <row r="740646" spans="25:37" x14ac:dyDescent="0.2">
      <c r="Y740646" s="251"/>
      <c r="AB740646" s="251"/>
      <c r="AE740646" s="251"/>
      <c r="AH740646" s="251"/>
      <c r="AK740646" s="251"/>
    </row>
    <row r="740761" spans="25:37" x14ac:dyDescent="0.2">
      <c r="Y740761" s="5"/>
      <c r="AB740761" s="5"/>
      <c r="AE740761" s="5"/>
      <c r="AH740761" s="5"/>
      <c r="AK740761" s="5"/>
    </row>
    <row r="740771" spans="25:37" x14ac:dyDescent="0.2">
      <c r="Y740771" s="251"/>
      <c r="AB740771" s="251"/>
      <c r="AE740771" s="251"/>
      <c r="AH740771" s="251"/>
      <c r="AK740771" s="251"/>
    </row>
    <row r="740886" spans="25:37" x14ac:dyDescent="0.2">
      <c r="Y740886" s="5"/>
      <c r="AB740886" s="5"/>
      <c r="AE740886" s="5"/>
      <c r="AH740886" s="5"/>
      <c r="AK740886" s="5"/>
    </row>
    <row r="740896" spans="25:37" x14ac:dyDescent="0.2">
      <c r="Y740896" s="251"/>
      <c r="AB740896" s="251"/>
      <c r="AE740896" s="251"/>
      <c r="AH740896" s="251"/>
      <c r="AK740896" s="251"/>
    </row>
    <row r="741011" spans="25:37" x14ac:dyDescent="0.2">
      <c r="Y741011" s="5"/>
      <c r="AB741011" s="5"/>
      <c r="AE741011" s="5"/>
      <c r="AH741011" s="5"/>
      <c r="AK741011" s="5"/>
    </row>
    <row r="741021" spans="25:37" x14ac:dyDescent="0.2">
      <c r="Y741021" s="251"/>
      <c r="AB741021" s="251"/>
      <c r="AE741021" s="251"/>
      <c r="AH741021" s="251"/>
      <c r="AK741021" s="251"/>
    </row>
    <row r="741136" spans="25:37" x14ac:dyDescent="0.2">
      <c r="Y741136" s="5"/>
      <c r="AB741136" s="5"/>
      <c r="AE741136" s="5"/>
      <c r="AH741136" s="5"/>
      <c r="AK741136" s="5"/>
    </row>
    <row r="741146" spans="25:37" x14ac:dyDescent="0.2">
      <c r="Y741146" s="251"/>
      <c r="AB741146" s="251"/>
      <c r="AE741146" s="251"/>
      <c r="AH741146" s="251"/>
      <c r="AK741146" s="251"/>
    </row>
    <row r="741261" spans="25:37" x14ac:dyDescent="0.2">
      <c r="Y741261" s="5"/>
      <c r="AB741261" s="5"/>
      <c r="AE741261" s="5"/>
      <c r="AH741261" s="5"/>
      <c r="AK741261" s="5"/>
    </row>
    <row r="741271" spans="25:37" x14ac:dyDescent="0.2">
      <c r="Y741271" s="251"/>
      <c r="AB741271" s="251"/>
      <c r="AE741271" s="251"/>
      <c r="AH741271" s="251"/>
      <c r="AK741271" s="251"/>
    </row>
    <row r="741386" spans="25:37" x14ac:dyDescent="0.2">
      <c r="Y741386" s="5"/>
      <c r="AB741386" s="5"/>
      <c r="AE741386" s="5"/>
      <c r="AH741386" s="5"/>
      <c r="AK741386" s="5"/>
    </row>
    <row r="741396" spans="25:37" x14ac:dyDescent="0.2">
      <c r="Y741396" s="251"/>
      <c r="AB741396" s="251"/>
      <c r="AE741396" s="251"/>
      <c r="AH741396" s="251"/>
      <c r="AK741396" s="251"/>
    </row>
    <row r="741511" spans="25:37" x14ac:dyDescent="0.2">
      <c r="Y741511" s="5"/>
      <c r="AB741511" s="5"/>
      <c r="AE741511" s="5"/>
      <c r="AH741511" s="5"/>
      <c r="AK741511" s="5"/>
    </row>
    <row r="741521" spans="25:37" x14ac:dyDescent="0.2">
      <c r="Y741521" s="251"/>
      <c r="AB741521" s="251"/>
      <c r="AE741521" s="251"/>
      <c r="AH741521" s="251"/>
      <c r="AK741521" s="251"/>
    </row>
    <row r="741636" spans="25:37" x14ac:dyDescent="0.2">
      <c r="Y741636" s="5"/>
      <c r="AB741636" s="5"/>
      <c r="AE741636" s="5"/>
      <c r="AH741636" s="5"/>
      <c r="AK741636" s="5"/>
    </row>
    <row r="741646" spans="25:37" x14ac:dyDescent="0.2">
      <c r="Y741646" s="251"/>
      <c r="AB741646" s="251"/>
      <c r="AE741646" s="251"/>
      <c r="AH741646" s="251"/>
      <c r="AK741646" s="251"/>
    </row>
    <row r="741761" spans="25:37" x14ac:dyDescent="0.2">
      <c r="Y741761" s="5"/>
      <c r="AB741761" s="5"/>
      <c r="AE741761" s="5"/>
      <c r="AH741761" s="5"/>
      <c r="AK741761" s="5"/>
    </row>
    <row r="741771" spans="25:37" x14ac:dyDescent="0.2">
      <c r="Y741771" s="251"/>
      <c r="AB741771" s="251"/>
      <c r="AE741771" s="251"/>
      <c r="AH741771" s="251"/>
      <c r="AK741771" s="251"/>
    </row>
    <row r="741886" spans="25:37" x14ac:dyDescent="0.2">
      <c r="Y741886" s="5"/>
      <c r="AB741886" s="5"/>
      <c r="AE741886" s="5"/>
      <c r="AH741886" s="5"/>
      <c r="AK741886" s="5"/>
    </row>
    <row r="741896" spans="25:37" x14ac:dyDescent="0.2">
      <c r="Y741896" s="251"/>
      <c r="AB741896" s="251"/>
      <c r="AE741896" s="251"/>
      <c r="AH741896" s="251"/>
      <c r="AK741896" s="251"/>
    </row>
    <row r="742011" spans="25:37" x14ac:dyDescent="0.2">
      <c r="Y742011" s="5"/>
      <c r="AB742011" s="5"/>
      <c r="AE742011" s="5"/>
      <c r="AH742011" s="5"/>
      <c r="AK742011" s="5"/>
    </row>
    <row r="742021" spans="25:37" x14ac:dyDescent="0.2">
      <c r="Y742021" s="251"/>
      <c r="AB742021" s="251"/>
      <c r="AE742021" s="251"/>
      <c r="AH742021" s="251"/>
      <c r="AK742021" s="251"/>
    </row>
    <row r="742136" spans="25:37" x14ac:dyDescent="0.2">
      <c r="Y742136" s="5"/>
      <c r="AB742136" s="5"/>
      <c r="AE742136" s="5"/>
      <c r="AH742136" s="5"/>
      <c r="AK742136" s="5"/>
    </row>
    <row r="742146" spans="25:37" x14ac:dyDescent="0.2">
      <c r="Y742146" s="251"/>
      <c r="AB742146" s="251"/>
      <c r="AE742146" s="251"/>
      <c r="AH742146" s="251"/>
      <c r="AK742146" s="251"/>
    </row>
    <row r="742261" spans="25:37" x14ac:dyDescent="0.2">
      <c r="Y742261" s="5"/>
      <c r="AB742261" s="5"/>
      <c r="AE742261" s="5"/>
      <c r="AH742261" s="5"/>
      <c r="AK742261" s="5"/>
    </row>
    <row r="742271" spans="25:37" x14ac:dyDescent="0.2">
      <c r="Y742271" s="251"/>
      <c r="AB742271" s="251"/>
      <c r="AE742271" s="251"/>
      <c r="AH742271" s="251"/>
      <c r="AK742271" s="251"/>
    </row>
    <row r="742386" spans="25:37" x14ac:dyDescent="0.2">
      <c r="Y742386" s="5"/>
      <c r="AB742386" s="5"/>
      <c r="AE742386" s="5"/>
      <c r="AH742386" s="5"/>
      <c r="AK742386" s="5"/>
    </row>
    <row r="742396" spans="25:37" x14ac:dyDescent="0.2">
      <c r="Y742396" s="251"/>
      <c r="AB742396" s="251"/>
      <c r="AE742396" s="251"/>
      <c r="AH742396" s="251"/>
      <c r="AK742396" s="251"/>
    </row>
    <row r="742511" spans="25:37" x14ac:dyDescent="0.2">
      <c r="Y742511" s="5"/>
      <c r="AB742511" s="5"/>
      <c r="AE742511" s="5"/>
      <c r="AH742511" s="5"/>
      <c r="AK742511" s="5"/>
    </row>
    <row r="742521" spans="25:37" x14ac:dyDescent="0.2">
      <c r="Y742521" s="251"/>
      <c r="AB742521" s="251"/>
      <c r="AE742521" s="251"/>
      <c r="AH742521" s="251"/>
      <c r="AK742521" s="251"/>
    </row>
    <row r="742636" spans="25:37" x14ac:dyDescent="0.2">
      <c r="Y742636" s="5"/>
      <c r="AB742636" s="5"/>
      <c r="AE742636" s="5"/>
      <c r="AH742636" s="5"/>
      <c r="AK742636" s="5"/>
    </row>
    <row r="742646" spans="25:37" x14ac:dyDescent="0.2">
      <c r="Y742646" s="251"/>
      <c r="AB742646" s="251"/>
      <c r="AE742646" s="251"/>
      <c r="AH742646" s="251"/>
      <c r="AK742646" s="251"/>
    </row>
    <row r="742761" spans="25:37" x14ac:dyDescent="0.2">
      <c r="Y742761" s="5"/>
      <c r="AB742761" s="5"/>
      <c r="AE742761" s="5"/>
      <c r="AH742761" s="5"/>
      <c r="AK742761" s="5"/>
    </row>
    <row r="742771" spans="25:37" x14ac:dyDescent="0.2">
      <c r="Y742771" s="251"/>
      <c r="AB742771" s="251"/>
      <c r="AE742771" s="251"/>
      <c r="AH742771" s="251"/>
      <c r="AK742771" s="251"/>
    </row>
    <row r="742886" spans="25:37" x14ac:dyDescent="0.2">
      <c r="Y742886" s="5"/>
      <c r="AB742886" s="5"/>
      <c r="AE742886" s="5"/>
      <c r="AH742886" s="5"/>
      <c r="AK742886" s="5"/>
    </row>
    <row r="742896" spans="25:37" x14ac:dyDescent="0.2">
      <c r="Y742896" s="251"/>
      <c r="AB742896" s="251"/>
      <c r="AE742896" s="251"/>
      <c r="AH742896" s="251"/>
      <c r="AK742896" s="251"/>
    </row>
    <row r="743011" spans="25:37" x14ac:dyDescent="0.2">
      <c r="Y743011" s="5"/>
      <c r="AB743011" s="5"/>
      <c r="AE743011" s="5"/>
      <c r="AH743011" s="5"/>
      <c r="AK743011" s="5"/>
    </row>
    <row r="743021" spans="25:37" x14ac:dyDescent="0.2">
      <c r="Y743021" s="251"/>
      <c r="AB743021" s="251"/>
      <c r="AE743021" s="251"/>
      <c r="AH743021" s="251"/>
      <c r="AK743021" s="251"/>
    </row>
    <row r="743136" spans="25:37" x14ac:dyDescent="0.2">
      <c r="Y743136" s="5"/>
      <c r="AB743136" s="5"/>
      <c r="AE743136" s="5"/>
      <c r="AH743136" s="5"/>
      <c r="AK743136" s="5"/>
    </row>
    <row r="743146" spans="25:37" x14ac:dyDescent="0.2">
      <c r="Y743146" s="251"/>
      <c r="AB743146" s="251"/>
      <c r="AE743146" s="251"/>
      <c r="AH743146" s="251"/>
      <c r="AK743146" s="251"/>
    </row>
    <row r="743261" spans="25:37" x14ac:dyDescent="0.2">
      <c r="Y743261" s="5"/>
      <c r="AB743261" s="5"/>
      <c r="AE743261" s="5"/>
      <c r="AH743261" s="5"/>
      <c r="AK743261" s="5"/>
    </row>
    <row r="743271" spans="25:37" x14ac:dyDescent="0.2">
      <c r="Y743271" s="251"/>
      <c r="AB743271" s="251"/>
      <c r="AE743271" s="251"/>
      <c r="AH743271" s="251"/>
      <c r="AK743271" s="251"/>
    </row>
    <row r="743386" spans="25:37" x14ac:dyDescent="0.2">
      <c r="Y743386" s="5"/>
      <c r="AB743386" s="5"/>
      <c r="AE743386" s="5"/>
      <c r="AH743386" s="5"/>
      <c r="AK743386" s="5"/>
    </row>
    <row r="743396" spans="25:37" x14ac:dyDescent="0.2">
      <c r="Y743396" s="251"/>
      <c r="AB743396" s="251"/>
      <c r="AE743396" s="251"/>
      <c r="AH743396" s="251"/>
      <c r="AK743396" s="251"/>
    </row>
    <row r="743511" spans="25:37" x14ac:dyDescent="0.2">
      <c r="Y743511" s="5"/>
      <c r="AB743511" s="5"/>
      <c r="AE743511" s="5"/>
      <c r="AH743511" s="5"/>
      <c r="AK743511" s="5"/>
    </row>
    <row r="743521" spans="25:37" x14ac:dyDescent="0.2">
      <c r="Y743521" s="251"/>
      <c r="AB743521" s="251"/>
      <c r="AE743521" s="251"/>
      <c r="AH743521" s="251"/>
      <c r="AK743521" s="251"/>
    </row>
    <row r="743636" spans="25:37" x14ac:dyDescent="0.2">
      <c r="Y743636" s="5"/>
      <c r="AB743636" s="5"/>
      <c r="AE743636" s="5"/>
      <c r="AH743636" s="5"/>
      <c r="AK743636" s="5"/>
    </row>
    <row r="743646" spans="25:37" x14ac:dyDescent="0.2">
      <c r="Y743646" s="251"/>
      <c r="AB743646" s="251"/>
      <c r="AE743646" s="251"/>
      <c r="AH743646" s="251"/>
      <c r="AK743646" s="251"/>
    </row>
    <row r="743761" spans="25:37" x14ac:dyDescent="0.2">
      <c r="Y743761" s="5"/>
      <c r="AB743761" s="5"/>
      <c r="AE743761" s="5"/>
      <c r="AH743761" s="5"/>
      <c r="AK743761" s="5"/>
    </row>
    <row r="743771" spans="25:37" x14ac:dyDescent="0.2">
      <c r="Y743771" s="251"/>
      <c r="AB743771" s="251"/>
      <c r="AE743771" s="251"/>
      <c r="AH743771" s="251"/>
      <c r="AK743771" s="251"/>
    </row>
    <row r="743886" spans="25:37" x14ac:dyDescent="0.2">
      <c r="Y743886" s="5"/>
      <c r="AB743886" s="5"/>
      <c r="AE743886" s="5"/>
      <c r="AH743886" s="5"/>
      <c r="AK743886" s="5"/>
    </row>
    <row r="743896" spans="25:37" x14ac:dyDescent="0.2">
      <c r="Y743896" s="251"/>
      <c r="AB743896" s="251"/>
      <c r="AE743896" s="251"/>
      <c r="AH743896" s="251"/>
      <c r="AK743896" s="251"/>
    </row>
    <row r="744011" spans="25:37" x14ac:dyDescent="0.2">
      <c r="Y744011" s="5"/>
      <c r="AB744011" s="5"/>
      <c r="AE744011" s="5"/>
      <c r="AH744011" s="5"/>
      <c r="AK744011" s="5"/>
    </row>
    <row r="744021" spans="25:37" x14ac:dyDescent="0.2">
      <c r="Y744021" s="251"/>
      <c r="AB744021" s="251"/>
      <c r="AE744021" s="251"/>
      <c r="AH744021" s="251"/>
      <c r="AK744021" s="251"/>
    </row>
    <row r="744136" spans="25:37" x14ac:dyDescent="0.2">
      <c r="Y744136" s="5"/>
      <c r="AB744136" s="5"/>
      <c r="AE744136" s="5"/>
      <c r="AH744136" s="5"/>
      <c r="AK744136" s="5"/>
    </row>
    <row r="744146" spans="25:37" x14ac:dyDescent="0.2">
      <c r="Y744146" s="251"/>
      <c r="AB744146" s="251"/>
      <c r="AE744146" s="251"/>
      <c r="AH744146" s="251"/>
      <c r="AK744146" s="251"/>
    </row>
    <row r="744261" spans="25:37" x14ac:dyDescent="0.2">
      <c r="Y744261" s="5"/>
      <c r="AB744261" s="5"/>
      <c r="AE744261" s="5"/>
      <c r="AH744261" s="5"/>
      <c r="AK744261" s="5"/>
    </row>
    <row r="744271" spans="25:37" x14ac:dyDescent="0.2">
      <c r="Y744271" s="251"/>
      <c r="AB744271" s="251"/>
      <c r="AE744271" s="251"/>
      <c r="AH744271" s="251"/>
      <c r="AK744271" s="251"/>
    </row>
    <row r="744386" spans="25:37" x14ac:dyDescent="0.2">
      <c r="Y744386" s="5"/>
      <c r="AB744386" s="5"/>
      <c r="AE744386" s="5"/>
      <c r="AH744386" s="5"/>
      <c r="AK744386" s="5"/>
    </row>
    <row r="744396" spans="25:37" x14ac:dyDescent="0.2">
      <c r="Y744396" s="251"/>
      <c r="AB744396" s="251"/>
      <c r="AE744396" s="251"/>
      <c r="AH744396" s="251"/>
      <c r="AK744396" s="251"/>
    </row>
    <row r="744511" spans="25:37" x14ac:dyDescent="0.2">
      <c r="Y744511" s="5"/>
      <c r="AB744511" s="5"/>
      <c r="AE744511" s="5"/>
      <c r="AH744511" s="5"/>
      <c r="AK744511" s="5"/>
    </row>
    <row r="744521" spans="25:37" x14ac:dyDescent="0.2">
      <c r="Y744521" s="251"/>
      <c r="AB744521" s="251"/>
      <c r="AE744521" s="251"/>
      <c r="AH744521" s="251"/>
      <c r="AK744521" s="251"/>
    </row>
    <row r="744636" spans="25:37" x14ac:dyDescent="0.2">
      <c r="Y744636" s="5"/>
      <c r="AB744636" s="5"/>
      <c r="AE744636" s="5"/>
      <c r="AH744636" s="5"/>
      <c r="AK744636" s="5"/>
    </row>
    <row r="744646" spans="25:37" x14ac:dyDescent="0.2">
      <c r="Y744646" s="251"/>
      <c r="AB744646" s="251"/>
      <c r="AE744646" s="251"/>
      <c r="AH744646" s="251"/>
      <c r="AK744646" s="251"/>
    </row>
    <row r="744761" spans="25:37" x14ac:dyDescent="0.2">
      <c r="Y744761" s="5"/>
      <c r="AB744761" s="5"/>
      <c r="AE744761" s="5"/>
      <c r="AH744761" s="5"/>
      <c r="AK744761" s="5"/>
    </row>
    <row r="744771" spans="25:37" x14ac:dyDescent="0.2">
      <c r="Y744771" s="251"/>
      <c r="AB744771" s="251"/>
      <c r="AE744771" s="251"/>
      <c r="AH744771" s="251"/>
      <c r="AK744771" s="251"/>
    </row>
    <row r="744886" spans="25:37" x14ac:dyDescent="0.2">
      <c r="Y744886" s="5"/>
      <c r="AB744886" s="5"/>
      <c r="AE744886" s="5"/>
      <c r="AH744886" s="5"/>
      <c r="AK744886" s="5"/>
    </row>
    <row r="744896" spans="25:37" x14ac:dyDescent="0.2">
      <c r="Y744896" s="251"/>
      <c r="AB744896" s="251"/>
      <c r="AE744896" s="251"/>
      <c r="AH744896" s="251"/>
      <c r="AK744896" s="251"/>
    </row>
    <row r="745011" spans="25:37" x14ac:dyDescent="0.2">
      <c r="Y745011" s="5"/>
      <c r="AB745011" s="5"/>
      <c r="AE745011" s="5"/>
      <c r="AH745011" s="5"/>
      <c r="AK745011" s="5"/>
    </row>
    <row r="745021" spans="25:37" x14ac:dyDescent="0.2">
      <c r="Y745021" s="251"/>
      <c r="AB745021" s="251"/>
      <c r="AE745021" s="251"/>
      <c r="AH745021" s="251"/>
      <c r="AK745021" s="251"/>
    </row>
    <row r="745136" spans="25:37" x14ac:dyDescent="0.2">
      <c r="Y745136" s="5"/>
      <c r="AB745136" s="5"/>
      <c r="AE745136" s="5"/>
      <c r="AH745136" s="5"/>
      <c r="AK745136" s="5"/>
    </row>
    <row r="745146" spans="25:37" x14ac:dyDescent="0.2">
      <c r="Y745146" s="251"/>
      <c r="AB745146" s="251"/>
      <c r="AE745146" s="251"/>
      <c r="AH745146" s="251"/>
      <c r="AK745146" s="251"/>
    </row>
    <row r="745261" spans="25:37" x14ac:dyDescent="0.2">
      <c r="Y745261" s="5"/>
      <c r="AB745261" s="5"/>
      <c r="AE745261" s="5"/>
      <c r="AH745261" s="5"/>
      <c r="AK745261" s="5"/>
    </row>
    <row r="745271" spans="25:37" x14ac:dyDescent="0.2">
      <c r="Y745271" s="251"/>
      <c r="AB745271" s="251"/>
      <c r="AE745271" s="251"/>
      <c r="AH745271" s="251"/>
      <c r="AK745271" s="251"/>
    </row>
    <row r="745386" spans="25:37" x14ac:dyDescent="0.2">
      <c r="Y745386" s="5"/>
      <c r="AB745386" s="5"/>
      <c r="AE745386" s="5"/>
      <c r="AH745386" s="5"/>
      <c r="AK745386" s="5"/>
    </row>
    <row r="745396" spans="25:37" x14ac:dyDescent="0.2">
      <c r="Y745396" s="251"/>
      <c r="AB745396" s="251"/>
      <c r="AE745396" s="251"/>
      <c r="AH745396" s="251"/>
      <c r="AK745396" s="251"/>
    </row>
    <row r="745511" spans="25:37" x14ac:dyDescent="0.2">
      <c r="Y745511" s="5"/>
      <c r="AB745511" s="5"/>
      <c r="AE745511" s="5"/>
      <c r="AH745511" s="5"/>
      <c r="AK745511" s="5"/>
    </row>
    <row r="745521" spans="25:37" x14ac:dyDescent="0.2">
      <c r="Y745521" s="251"/>
      <c r="AB745521" s="251"/>
      <c r="AE745521" s="251"/>
      <c r="AH745521" s="251"/>
      <c r="AK745521" s="251"/>
    </row>
    <row r="745636" spans="25:37" x14ac:dyDescent="0.2">
      <c r="Y745636" s="5"/>
      <c r="AB745636" s="5"/>
      <c r="AE745636" s="5"/>
      <c r="AH745636" s="5"/>
      <c r="AK745636" s="5"/>
    </row>
    <row r="745646" spans="25:37" x14ac:dyDescent="0.2">
      <c r="Y745646" s="251"/>
      <c r="AB745646" s="251"/>
      <c r="AE745646" s="251"/>
      <c r="AH745646" s="251"/>
      <c r="AK745646" s="251"/>
    </row>
    <row r="745761" spans="25:37" x14ac:dyDescent="0.2">
      <c r="Y745761" s="5"/>
      <c r="AB745761" s="5"/>
      <c r="AE745761" s="5"/>
      <c r="AH745761" s="5"/>
      <c r="AK745761" s="5"/>
    </row>
    <row r="745771" spans="25:37" x14ac:dyDescent="0.2">
      <c r="Y745771" s="251"/>
      <c r="AB745771" s="251"/>
      <c r="AE745771" s="251"/>
      <c r="AH745771" s="251"/>
      <c r="AK745771" s="251"/>
    </row>
    <row r="745886" spans="25:37" x14ac:dyDescent="0.2">
      <c r="Y745886" s="5"/>
      <c r="AB745886" s="5"/>
      <c r="AE745886" s="5"/>
      <c r="AH745886" s="5"/>
      <c r="AK745886" s="5"/>
    </row>
    <row r="745896" spans="25:37" x14ac:dyDescent="0.2">
      <c r="Y745896" s="251"/>
      <c r="AB745896" s="251"/>
      <c r="AE745896" s="251"/>
      <c r="AH745896" s="251"/>
      <c r="AK745896" s="251"/>
    </row>
    <row r="746011" spans="25:37" x14ac:dyDescent="0.2">
      <c r="Y746011" s="5"/>
      <c r="AB746011" s="5"/>
      <c r="AE746011" s="5"/>
      <c r="AH746011" s="5"/>
      <c r="AK746011" s="5"/>
    </row>
    <row r="746021" spans="25:37" x14ac:dyDescent="0.2">
      <c r="Y746021" s="251"/>
      <c r="AB746021" s="251"/>
      <c r="AE746021" s="251"/>
      <c r="AH746021" s="251"/>
      <c r="AK746021" s="251"/>
    </row>
    <row r="746136" spans="25:37" x14ac:dyDescent="0.2">
      <c r="Y746136" s="5"/>
      <c r="AB746136" s="5"/>
      <c r="AE746136" s="5"/>
      <c r="AH746136" s="5"/>
      <c r="AK746136" s="5"/>
    </row>
    <row r="746146" spans="25:37" x14ac:dyDescent="0.2">
      <c r="Y746146" s="251"/>
      <c r="AB746146" s="251"/>
      <c r="AE746146" s="251"/>
      <c r="AH746146" s="251"/>
      <c r="AK746146" s="251"/>
    </row>
    <row r="746261" spans="25:37" x14ac:dyDescent="0.2">
      <c r="Y746261" s="5"/>
      <c r="AB746261" s="5"/>
      <c r="AE746261" s="5"/>
      <c r="AH746261" s="5"/>
      <c r="AK746261" s="5"/>
    </row>
    <row r="746271" spans="25:37" x14ac:dyDescent="0.2">
      <c r="Y746271" s="251"/>
      <c r="AB746271" s="251"/>
      <c r="AE746271" s="251"/>
      <c r="AH746271" s="251"/>
      <c r="AK746271" s="251"/>
    </row>
    <row r="746386" spans="25:37" x14ac:dyDescent="0.2">
      <c r="Y746386" s="5"/>
      <c r="AB746386" s="5"/>
      <c r="AE746386" s="5"/>
      <c r="AH746386" s="5"/>
      <c r="AK746386" s="5"/>
    </row>
    <row r="746396" spans="25:37" x14ac:dyDescent="0.2">
      <c r="Y746396" s="251"/>
      <c r="AB746396" s="251"/>
      <c r="AE746396" s="251"/>
      <c r="AH746396" s="251"/>
      <c r="AK746396" s="251"/>
    </row>
    <row r="746511" spans="25:37" x14ac:dyDescent="0.2">
      <c r="Y746511" s="5"/>
      <c r="AB746511" s="5"/>
      <c r="AE746511" s="5"/>
      <c r="AH746511" s="5"/>
      <c r="AK746511" s="5"/>
    </row>
    <row r="746521" spans="25:37" x14ac:dyDescent="0.2">
      <c r="Y746521" s="251"/>
      <c r="AB746521" s="251"/>
      <c r="AE746521" s="251"/>
      <c r="AH746521" s="251"/>
      <c r="AK746521" s="251"/>
    </row>
    <row r="746636" spans="25:37" x14ac:dyDescent="0.2">
      <c r="Y746636" s="5"/>
      <c r="AB746636" s="5"/>
      <c r="AE746636" s="5"/>
      <c r="AH746636" s="5"/>
      <c r="AK746636" s="5"/>
    </row>
    <row r="746646" spans="25:37" x14ac:dyDescent="0.2">
      <c r="Y746646" s="251"/>
      <c r="AB746646" s="251"/>
      <c r="AE746646" s="251"/>
      <c r="AH746646" s="251"/>
      <c r="AK746646" s="251"/>
    </row>
    <row r="746761" spans="25:37" x14ac:dyDescent="0.2">
      <c r="Y746761" s="5"/>
      <c r="AB746761" s="5"/>
      <c r="AE746761" s="5"/>
      <c r="AH746761" s="5"/>
      <c r="AK746761" s="5"/>
    </row>
    <row r="746771" spans="25:37" x14ac:dyDescent="0.2">
      <c r="Y746771" s="251"/>
      <c r="AB746771" s="251"/>
      <c r="AE746771" s="251"/>
      <c r="AH746771" s="251"/>
      <c r="AK746771" s="251"/>
    </row>
    <row r="746886" spans="25:37" x14ac:dyDescent="0.2">
      <c r="Y746886" s="5"/>
      <c r="AB746886" s="5"/>
      <c r="AE746886" s="5"/>
      <c r="AH746886" s="5"/>
      <c r="AK746886" s="5"/>
    </row>
    <row r="746896" spans="25:37" x14ac:dyDescent="0.2">
      <c r="Y746896" s="251"/>
      <c r="AB746896" s="251"/>
      <c r="AE746896" s="251"/>
      <c r="AH746896" s="251"/>
      <c r="AK746896" s="251"/>
    </row>
    <row r="747011" spans="25:37" x14ac:dyDescent="0.2">
      <c r="Y747011" s="5"/>
      <c r="AB747011" s="5"/>
      <c r="AE747011" s="5"/>
      <c r="AH747011" s="5"/>
      <c r="AK747011" s="5"/>
    </row>
    <row r="747021" spans="25:37" x14ac:dyDescent="0.2">
      <c r="Y747021" s="251"/>
      <c r="AB747021" s="251"/>
      <c r="AE747021" s="251"/>
      <c r="AH747021" s="251"/>
      <c r="AK747021" s="251"/>
    </row>
    <row r="747136" spans="25:37" x14ac:dyDescent="0.2">
      <c r="Y747136" s="5"/>
      <c r="AB747136" s="5"/>
      <c r="AE747136" s="5"/>
      <c r="AH747136" s="5"/>
      <c r="AK747136" s="5"/>
    </row>
    <row r="747146" spans="25:37" x14ac:dyDescent="0.2">
      <c r="Y747146" s="251"/>
      <c r="AB747146" s="251"/>
      <c r="AE747146" s="251"/>
      <c r="AH747146" s="251"/>
      <c r="AK747146" s="251"/>
    </row>
    <row r="747261" spans="25:37" x14ac:dyDescent="0.2">
      <c r="Y747261" s="5"/>
      <c r="AB747261" s="5"/>
      <c r="AE747261" s="5"/>
      <c r="AH747261" s="5"/>
      <c r="AK747261" s="5"/>
    </row>
    <row r="747271" spans="25:37" x14ac:dyDescent="0.2">
      <c r="Y747271" s="251"/>
      <c r="AB747271" s="251"/>
      <c r="AE747271" s="251"/>
      <c r="AH747271" s="251"/>
      <c r="AK747271" s="251"/>
    </row>
    <row r="747386" spans="25:37" x14ac:dyDescent="0.2">
      <c r="Y747386" s="5"/>
      <c r="AB747386" s="5"/>
      <c r="AE747386" s="5"/>
      <c r="AH747386" s="5"/>
      <c r="AK747386" s="5"/>
    </row>
    <row r="747396" spans="25:37" x14ac:dyDescent="0.2">
      <c r="Y747396" s="251"/>
      <c r="AB747396" s="251"/>
      <c r="AE747396" s="251"/>
      <c r="AH747396" s="251"/>
      <c r="AK747396" s="251"/>
    </row>
    <row r="747511" spans="25:37" x14ac:dyDescent="0.2">
      <c r="Y747511" s="5"/>
      <c r="AB747511" s="5"/>
      <c r="AE747511" s="5"/>
      <c r="AH747511" s="5"/>
      <c r="AK747511" s="5"/>
    </row>
    <row r="747521" spans="25:37" x14ac:dyDescent="0.2">
      <c r="Y747521" s="251"/>
      <c r="AB747521" s="251"/>
      <c r="AE747521" s="251"/>
      <c r="AH747521" s="251"/>
      <c r="AK747521" s="251"/>
    </row>
    <row r="747636" spans="25:37" x14ac:dyDescent="0.2">
      <c r="Y747636" s="5"/>
      <c r="AB747636" s="5"/>
      <c r="AE747636" s="5"/>
      <c r="AH747636" s="5"/>
      <c r="AK747636" s="5"/>
    </row>
    <row r="747646" spans="25:37" x14ac:dyDescent="0.2">
      <c r="Y747646" s="251"/>
      <c r="AB747646" s="251"/>
      <c r="AE747646" s="251"/>
      <c r="AH747646" s="251"/>
      <c r="AK747646" s="251"/>
    </row>
    <row r="747761" spans="25:37" x14ac:dyDescent="0.2">
      <c r="Y747761" s="5"/>
      <c r="AB747761" s="5"/>
      <c r="AE747761" s="5"/>
      <c r="AH747761" s="5"/>
      <c r="AK747761" s="5"/>
    </row>
    <row r="747771" spans="25:37" x14ac:dyDescent="0.2">
      <c r="Y747771" s="251"/>
      <c r="AB747771" s="251"/>
      <c r="AE747771" s="251"/>
      <c r="AH747771" s="251"/>
      <c r="AK747771" s="251"/>
    </row>
    <row r="747886" spans="25:37" x14ac:dyDescent="0.2">
      <c r="Y747886" s="5"/>
      <c r="AB747886" s="5"/>
      <c r="AE747886" s="5"/>
      <c r="AH747886" s="5"/>
      <c r="AK747886" s="5"/>
    </row>
    <row r="747896" spans="25:37" x14ac:dyDescent="0.2">
      <c r="Y747896" s="251"/>
      <c r="AB747896" s="251"/>
      <c r="AE747896" s="251"/>
      <c r="AH747896" s="251"/>
      <c r="AK747896" s="251"/>
    </row>
    <row r="748011" spans="25:37" x14ac:dyDescent="0.2">
      <c r="Y748011" s="5"/>
      <c r="AB748011" s="5"/>
      <c r="AE748011" s="5"/>
      <c r="AH748011" s="5"/>
      <c r="AK748011" s="5"/>
    </row>
    <row r="748021" spans="25:37" x14ac:dyDescent="0.2">
      <c r="Y748021" s="251"/>
      <c r="AB748021" s="251"/>
      <c r="AE748021" s="251"/>
      <c r="AH748021" s="251"/>
      <c r="AK748021" s="251"/>
    </row>
    <row r="748136" spans="25:37" x14ac:dyDescent="0.2">
      <c r="Y748136" s="5"/>
      <c r="AB748136" s="5"/>
      <c r="AE748136" s="5"/>
      <c r="AH748136" s="5"/>
      <c r="AK748136" s="5"/>
    </row>
    <row r="748146" spans="25:37" x14ac:dyDescent="0.2">
      <c r="Y748146" s="251"/>
      <c r="AB748146" s="251"/>
      <c r="AE748146" s="251"/>
      <c r="AH748146" s="251"/>
      <c r="AK748146" s="251"/>
    </row>
    <row r="748261" spans="25:37" x14ac:dyDescent="0.2">
      <c r="Y748261" s="5"/>
      <c r="AB748261" s="5"/>
      <c r="AE748261" s="5"/>
      <c r="AH748261" s="5"/>
      <c r="AK748261" s="5"/>
    </row>
    <row r="748271" spans="25:37" x14ac:dyDescent="0.2">
      <c r="Y748271" s="251"/>
      <c r="AB748271" s="251"/>
      <c r="AE748271" s="251"/>
      <c r="AH748271" s="251"/>
      <c r="AK748271" s="251"/>
    </row>
    <row r="748386" spans="25:37" x14ac:dyDescent="0.2">
      <c r="Y748386" s="5"/>
      <c r="AB748386" s="5"/>
      <c r="AE748386" s="5"/>
      <c r="AH748386" s="5"/>
      <c r="AK748386" s="5"/>
    </row>
    <row r="748396" spans="25:37" x14ac:dyDescent="0.2">
      <c r="Y748396" s="251"/>
      <c r="AB748396" s="251"/>
      <c r="AE748396" s="251"/>
      <c r="AH748396" s="251"/>
      <c r="AK748396" s="251"/>
    </row>
    <row r="748511" spans="25:37" x14ac:dyDescent="0.2">
      <c r="Y748511" s="5"/>
      <c r="AB748511" s="5"/>
      <c r="AE748511" s="5"/>
      <c r="AH748511" s="5"/>
      <c r="AK748511" s="5"/>
    </row>
    <row r="748521" spans="25:37" x14ac:dyDescent="0.2">
      <c r="Y748521" s="251"/>
      <c r="AB748521" s="251"/>
      <c r="AE748521" s="251"/>
      <c r="AH748521" s="251"/>
      <c r="AK748521" s="251"/>
    </row>
    <row r="748636" spans="25:37" x14ac:dyDescent="0.2">
      <c r="Y748636" s="5"/>
      <c r="AB748636" s="5"/>
      <c r="AE748636" s="5"/>
      <c r="AH748636" s="5"/>
      <c r="AK748636" s="5"/>
    </row>
    <row r="748646" spans="25:37" x14ac:dyDescent="0.2">
      <c r="Y748646" s="251"/>
      <c r="AB748646" s="251"/>
      <c r="AE748646" s="251"/>
      <c r="AH748646" s="251"/>
      <c r="AK748646" s="251"/>
    </row>
    <row r="748761" spans="25:37" x14ac:dyDescent="0.2">
      <c r="Y748761" s="5"/>
      <c r="AB748761" s="5"/>
      <c r="AE748761" s="5"/>
      <c r="AH748761" s="5"/>
      <c r="AK748761" s="5"/>
    </row>
    <row r="748771" spans="25:37" x14ac:dyDescent="0.2">
      <c r="Y748771" s="251"/>
      <c r="AB748771" s="251"/>
      <c r="AE748771" s="251"/>
      <c r="AH748771" s="251"/>
      <c r="AK748771" s="251"/>
    </row>
    <row r="748886" spans="25:37" x14ac:dyDescent="0.2">
      <c r="Y748886" s="5"/>
      <c r="AB748886" s="5"/>
      <c r="AE748886" s="5"/>
      <c r="AH748886" s="5"/>
      <c r="AK748886" s="5"/>
    </row>
    <row r="748896" spans="25:37" x14ac:dyDescent="0.2">
      <c r="Y748896" s="251"/>
      <c r="AB748896" s="251"/>
      <c r="AE748896" s="251"/>
      <c r="AH748896" s="251"/>
      <c r="AK748896" s="251"/>
    </row>
    <row r="749011" spans="25:37" x14ac:dyDescent="0.2">
      <c r="Y749011" s="5"/>
      <c r="AB749011" s="5"/>
      <c r="AE749011" s="5"/>
      <c r="AH749011" s="5"/>
      <c r="AK749011" s="5"/>
    </row>
    <row r="749021" spans="25:37" x14ac:dyDescent="0.2">
      <c r="Y749021" s="251"/>
      <c r="AB749021" s="251"/>
      <c r="AE749021" s="251"/>
      <c r="AH749021" s="251"/>
      <c r="AK749021" s="251"/>
    </row>
    <row r="749136" spans="25:37" x14ac:dyDescent="0.2">
      <c r="Y749136" s="5"/>
      <c r="AB749136" s="5"/>
      <c r="AE749136" s="5"/>
      <c r="AH749136" s="5"/>
      <c r="AK749136" s="5"/>
    </row>
    <row r="749146" spans="25:37" x14ac:dyDescent="0.2">
      <c r="Y749146" s="251"/>
      <c r="AB749146" s="251"/>
      <c r="AE749146" s="251"/>
      <c r="AH749146" s="251"/>
      <c r="AK749146" s="251"/>
    </row>
    <row r="749261" spans="25:37" x14ac:dyDescent="0.2">
      <c r="Y749261" s="5"/>
      <c r="AB749261" s="5"/>
      <c r="AE749261" s="5"/>
      <c r="AH749261" s="5"/>
      <c r="AK749261" s="5"/>
    </row>
    <row r="749271" spans="25:37" x14ac:dyDescent="0.2">
      <c r="Y749271" s="251"/>
      <c r="AB749271" s="251"/>
      <c r="AE749271" s="251"/>
      <c r="AH749271" s="251"/>
      <c r="AK749271" s="251"/>
    </row>
    <row r="749386" spans="25:37" x14ac:dyDescent="0.2">
      <c r="Y749386" s="5"/>
      <c r="AB749386" s="5"/>
      <c r="AE749386" s="5"/>
      <c r="AH749386" s="5"/>
      <c r="AK749386" s="5"/>
    </row>
    <row r="749396" spans="25:37" x14ac:dyDescent="0.2">
      <c r="Y749396" s="251"/>
      <c r="AB749396" s="251"/>
      <c r="AE749396" s="251"/>
      <c r="AH749396" s="251"/>
      <c r="AK749396" s="251"/>
    </row>
    <row r="749511" spans="25:37" x14ac:dyDescent="0.2">
      <c r="Y749511" s="5"/>
      <c r="AB749511" s="5"/>
      <c r="AE749511" s="5"/>
      <c r="AH749511" s="5"/>
      <c r="AK749511" s="5"/>
    </row>
    <row r="749521" spans="25:37" x14ac:dyDescent="0.2">
      <c r="Y749521" s="251"/>
      <c r="AB749521" s="251"/>
      <c r="AE749521" s="251"/>
      <c r="AH749521" s="251"/>
      <c r="AK749521" s="251"/>
    </row>
    <row r="749636" spans="25:37" x14ac:dyDescent="0.2">
      <c r="Y749636" s="5"/>
      <c r="AB749636" s="5"/>
      <c r="AE749636" s="5"/>
      <c r="AH749636" s="5"/>
      <c r="AK749636" s="5"/>
    </row>
    <row r="749646" spans="25:37" x14ac:dyDescent="0.2">
      <c r="Y749646" s="251"/>
      <c r="AB749646" s="251"/>
      <c r="AE749646" s="251"/>
      <c r="AH749646" s="251"/>
      <c r="AK749646" s="251"/>
    </row>
    <row r="749761" spans="25:37" x14ac:dyDescent="0.2">
      <c r="Y749761" s="5"/>
      <c r="AB749761" s="5"/>
      <c r="AE749761" s="5"/>
      <c r="AH749761" s="5"/>
      <c r="AK749761" s="5"/>
    </row>
    <row r="749771" spans="25:37" x14ac:dyDescent="0.2">
      <c r="Y749771" s="251"/>
      <c r="AB749771" s="251"/>
      <c r="AE749771" s="251"/>
      <c r="AH749771" s="251"/>
      <c r="AK749771" s="251"/>
    </row>
    <row r="749886" spans="25:37" x14ac:dyDescent="0.2">
      <c r="Y749886" s="5"/>
      <c r="AB749886" s="5"/>
      <c r="AE749886" s="5"/>
      <c r="AH749886" s="5"/>
      <c r="AK749886" s="5"/>
    </row>
    <row r="749896" spans="25:37" x14ac:dyDescent="0.2">
      <c r="Y749896" s="251"/>
      <c r="AB749896" s="251"/>
      <c r="AE749896" s="251"/>
      <c r="AH749896" s="251"/>
      <c r="AK749896" s="251"/>
    </row>
    <row r="750011" spans="25:37" x14ac:dyDescent="0.2">
      <c r="Y750011" s="5"/>
      <c r="AB750011" s="5"/>
      <c r="AE750011" s="5"/>
      <c r="AH750011" s="5"/>
      <c r="AK750011" s="5"/>
    </row>
    <row r="750021" spans="25:37" x14ac:dyDescent="0.2">
      <c r="Y750021" s="251"/>
      <c r="AB750021" s="251"/>
      <c r="AE750021" s="251"/>
      <c r="AH750021" s="251"/>
      <c r="AK750021" s="251"/>
    </row>
    <row r="750136" spans="25:37" x14ac:dyDescent="0.2">
      <c r="Y750136" s="5"/>
      <c r="AB750136" s="5"/>
      <c r="AE750136" s="5"/>
      <c r="AH750136" s="5"/>
      <c r="AK750136" s="5"/>
    </row>
    <row r="750146" spans="25:37" x14ac:dyDescent="0.2">
      <c r="Y750146" s="251"/>
      <c r="AB750146" s="251"/>
      <c r="AE750146" s="251"/>
      <c r="AH750146" s="251"/>
      <c r="AK750146" s="251"/>
    </row>
    <row r="750261" spans="25:37" x14ac:dyDescent="0.2">
      <c r="Y750261" s="5"/>
      <c r="AB750261" s="5"/>
      <c r="AE750261" s="5"/>
      <c r="AH750261" s="5"/>
      <c r="AK750261" s="5"/>
    </row>
    <row r="750271" spans="25:37" x14ac:dyDescent="0.2">
      <c r="Y750271" s="251"/>
      <c r="AB750271" s="251"/>
      <c r="AE750271" s="251"/>
      <c r="AH750271" s="251"/>
      <c r="AK750271" s="251"/>
    </row>
    <row r="750386" spans="25:37" x14ac:dyDescent="0.2">
      <c r="Y750386" s="5"/>
      <c r="AB750386" s="5"/>
      <c r="AE750386" s="5"/>
      <c r="AH750386" s="5"/>
      <c r="AK750386" s="5"/>
    </row>
    <row r="750396" spans="25:37" x14ac:dyDescent="0.2">
      <c r="Y750396" s="251"/>
      <c r="AB750396" s="251"/>
      <c r="AE750396" s="251"/>
      <c r="AH750396" s="251"/>
      <c r="AK750396" s="251"/>
    </row>
    <row r="750511" spans="25:37" x14ac:dyDescent="0.2">
      <c r="Y750511" s="5"/>
      <c r="AB750511" s="5"/>
      <c r="AE750511" s="5"/>
      <c r="AH750511" s="5"/>
      <c r="AK750511" s="5"/>
    </row>
    <row r="750521" spans="25:37" x14ac:dyDescent="0.2">
      <c r="Y750521" s="251"/>
      <c r="AB750521" s="251"/>
      <c r="AE750521" s="251"/>
      <c r="AH750521" s="251"/>
      <c r="AK750521" s="251"/>
    </row>
    <row r="750636" spans="25:37" x14ac:dyDescent="0.2">
      <c r="Y750636" s="5"/>
      <c r="AB750636" s="5"/>
      <c r="AE750636" s="5"/>
      <c r="AH750636" s="5"/>
      <c r="AK750636" s="5"/>
    </row>
    <row r="750646" spans="25:37" x14ac:dyDescent="0.2">
      <c r="Y750646" s="251"/>
      <c r="AB750646" s="251"/>
      <c r="AE750646" s="251"/>
      <c r="AH750646" s="251"/>
      <c r="AK750646" s="251"/>
    </row>
    <row r="750761" spans="25:37" x14ac:dyDescent="0.2">
      <c r="Y750761" s="5"/>
      <c r="AB750761" s="5"/>
      <c r="AE750761" s="5"/>
      <c r="AH750761" s="5"/>
      <c r="AK750761" s="5"/>
    </row>
    <row r="750771" spans="25:37" x14ac:dyDescent="0.2">
      <c r="Y750771" s="251"/>
      <c r="AB750771" s="251"/>
      <c r="AE750771" s="251"/>
      <c r="AH750771" s="251"/>
      <c r="AK750771" s="251"/>
    </row>
    <row r="750886" spans="25:37" x14ac:dyDescent="0.2">
      <c r="Y750886" s="5"/>
      <c r="AB750886" s="5"/>
      <c r="AE750886" s="5"/>
      <c r="AH750886" s="5"/>
      <c r="AK750886" s="5"/>
    </row>
    <row r="750896" spans="25:37" x14ac:dyDescent="0.2">
      <c r="Y750896" s="251"/>
      <c r="AB750896" s="251"/>
      <c r="AE750896" s="251"/>
      <c r="AH750896" s="251"/>
      <c r="AK750896" s="251"/>
    </row>
    <row r="751011" spans="25:37" x14ac:dyDescent="0.2">
      <c r="Y751011" s="5"/>
      <c r="AB751011" s="5"/>
      <c r="AE751011" s="5"/>
      <c r="AH751011" s="5"/>
      <c r="AK751011" s="5"/>
    </row>
    <row r="751021" spans="25:37" x14ac:dyDescent="0.2">
      <c r="Y751021" s="251"/>
      <c r="AB751021" s="251"/>
      <c r="AE751021" s="251"/>
      <c r="AH751021" s="251"/>
      <c r="AK751021" s="251"/>
    </row>
    <row r="751136" spans="25:37" x14ac:dyDescent="0.2">
      <c r="Y751136" s="5"/>
      <c r="AB751136" s="5"/>
      <c r="AE751136" s="5"/>
      <c r="AH751136" s="5"/>
      <c r="AK751136" s="5"/>
    </row>
    <row r="751146" spans="25:37" x14ac:dyDescent="0.2">
      <c r="Y751146" s="251"/>
      <c r="AB751146" s="251"/>
      <c r="AE751146" s="251"/>
      <c r="AH751146" s="251"/>
      <c r="AK751146" s="251"/>
    </row>
    <row r="751261" spans="25:37" x14ac:dyDescent="0.2">
      <c r="Y751261" s="5"/>
      <c r="AB751261" s="5"/>
      <c r="AE751261" s="5"/>
      <c r="AH751261" s="5"/>
      <c r="AK751261" s="5"/>
    </row>
    <row r="751271" spans="25:37" x14ac:dyDescent="0.2">
      <c r="Y751271" s="251"/>
      <c r="AB751271" s="251"/>
      <c r="AE751271" s="251"/>
      <c r="AH751271" s="251"/>
      <c r="AK751271" s="251"/>
    </row>
    <row r="751386" spans="25:37" x14ac:dyDescent="0.2">
      <c r="Y751386" s="5"/>
      <c r="AB751386" s="5"/>
      <c r="AE751386" s="5"/>
      <c r="AH751386" s="5"/>
      <c r="AK751386" s="5"/>
    </row>
    <row r="751396" spans="25:37" x14ac:dyDescent="0.2">
      <c r="Y751396" s="251"/>
      <c r="AB751396" s="251"/>
      <c r="AE751396" s="251"/>
      <c r="AH751396" s="251"/>
      <c r="AK751396" s="251"/>
    </row>
    <row r="751511" spans="25:37" x14ac:dyDescent="0.2">
      <c r="Y751511" s="5"/>
      <c r="AB751511" s="5"/>
      <c r="AE751511" s="5"/>
      <c r="AH751511" s="5"/>
      <c r="AK751511" s="5"/>
    </row>
    <row r="751521" spans="25:37" x14ac:dyDescent="0.2">
      <c r="Y751521" s="251"/>
      <c r="AB751521" s="251"/>
      <c r="AE751521" s="251"/>
      <c r="AH751521" s="251"/>
      <c r="AK751521" s="251"/>
    </row>
    <row r="751636" spans="25:37" x14ac:dyDescent="0.2">
      <c r="Y751636" s="5"/>
      <c r="AB751636" s="5"/>
      <c r="AE751636" s="5"/>
      <c r="AH751636" s="5"/>
      <c r="AK751636" s="5"/>
    </row>
    <row r="751646" spans="25:37" x14ac:dyDescent="0.2">
      <c r="Y751646" s="251"/>
      <c r="AB751646" s="251"/>
      <c r="AE751646" s="251"/>
      <c r="AH751646" s="251"/>
      <c r="AK751646" s="251"/>
    </row>
    <row r="751761" spans="25:37" x14ac:dyDescent="0.2">
      <c r="Y751761" s="5"/>
      <c r="AB751761" s="5"/>
      <c r="AE751761" s="5"/>
      <c r="AH751761" s="5"/>
      <c r="AK751761" s="5"/>
    </row>
    <row r="751771" spans="25:37" x14ac:dyDescent="0.2">
      <c r="Y751771" s="251"/>
      <c r="AB751771" s="251"/>
      <c r="AE751771" s="251"/>
      <c r="AH751771" s="251"/>
      <c r="AK751771" s="251"/>
    </row>
    <row r="751886" spans="25:37" x14ac:dyDescent="0.2">
      <c r="Y751886" s="5"/>
      <c r="AB751886" s="5"/>
      <c r="AE751886" s="5"/>
      <c r="AH751886" s="5"/>
      <c r="AK751886" s="5"/>
    </row>
    <row r="751896" spans="25:37" x14ac:dyDescent="0.2">
      <c r="Y751896" s="251"/>
      <c r="AB751896" s="251"/>
      <c r="AE751896" s="251"/>
      <c r="AH751896" s="251"/>
      <c r="AK751896" s="251"/>
    </row>
    <row r="752011" spans="25:37" x14ac:dyDescent="0.2">
      <c r="Y752011" s="5"/>
      <c r="AB752011" s="5"/>
      <c r="AE752011" s="5"/>
      <c r="AH752011" s="5"/>
      <c r="AK752011" s="5"/>
    </row>
    <row r="752021" spans="25:37" x14ac:dyDescent="0.2">
      <c r="Y752021" s="251"/>
      <c r="AB752021" s="251"/>
      <c r="AE752021" s="251"/>
      <c r="AH752021" s="251"/>
      <c r="AK752021" s="251"/>
    </row>
    <row r="752136" spans="25:37" x14ac:dyDescent="0.2">
      <c r="Y752136" s="5"/>
      <c r="AB752136" s="5"/>
      <c r="AE752136" s="5"/>
      <c r="AH752136" s="5"/>
      <c r="AK752136" s="5"/>
    </row>
    <row r="752146" spans="25:37" x14ac:dyDescent="0.2">
      <c r="Y752146" s="251"/>
      <c r="AB752146" s="251"/>
      <c r="AE752146" s="251"/>
      <c r="AH752146" s="251"/>
      <c r="AK752146" s="251"/>
    </row>
    <row r="752261" spans="25:37" x14ac:dyDescent="0.2">
      <c r="Y752261" s="5"/>
      <c r="AB752261" s="5"/>
      <c r="AE752261" s="5"/>
      <c r="AH752261" s="5"/>
      <c r="AK752261" s="5"/>
    </row>
    <row r="752271" spans="25:37" x14ac:dyDescent="0.2">
      <c r="Y752271" s="251"/>
      <c r="AB752271" s="251"/>
      <c r="AE752271" s="251"/>
      <c r="AH752271" s="251"/>
      <c r="AK752271" s="251"/>
    </row>
    <row r="752386" spans="25:37" x14ac:dyDescent="0.2">
      <c r="Y752386" s="5"/>
      <c r="AB752386" s="5"/>
      <c r="AE752386" s="5"/>
      <c r="AH752386" s="5"/>
      <c r="AK752386" s="5"/>
    </row>
    <row r="752396" spans="25:37" x14ac:dyDescent="0.2">
      <c r="Y752396" s="251"/>
      <c r="AB752396" s="251"/>
      <c r="AE752396" s="251"/>
      <c r="AH752396" s="251"/>
      <c r="AK752396" s="251"/>
    </row>
    <row r="752511" spans="25:37" x14ac:dyDescent="0.2">
      <c r="Y752511" s="5"/>
      <c r="AB752511" s="5"/>
      <c r="AE752511" s="5"/>
      <c r="AH752511" s="5"/>
      <c r="AK752511" s="5"/>
    </row>
    <row r="752521" spans="25:37" x14ac:dyDescent="0.2">
      <c r="Y752521" s="251"/>
      <c r="AB752521" s="251"/>
      <c r="AE752521" s="251"/>
      <c r="AH752521" s="251"/>
      <c r="AK752521" s="251"/>
    </row>
    <row r="752636" spans="25:37" x14ac:dyDescent="0.2">
      <c r="Y752636" s="5"/>
      <c r="AB752636" s="5"/>
      <c r="AE752636" s="5"/>
      <c r="AH752636" s="5"/>
      <c r="AK752636" s="5"/>
    </row>
    <row r="752646" spans="25:37" x14ac:dyDescent="0.2">
      <c r="Y752646" s="251"/>
      <c r="AB752646" s="251"/>
      <c r="AE752646" s="251"/>
      <c r="AH752646" s="251"/>
      <c r="AK752646" s="251"/>
    </row>
    <row r="752761" spans="25:37" x14ac:dyDescent="0.2">
      <c r="Y752761" s="5"/>
      <c r="AB752761" s="5"/>
      <c r="AE752761" s="5"/>
      <c r="AH752761" s="5"/>
      <c r="AK752761" s="5"/>
    </row>
    <row r="752771" spans="25:37" x14ac:dyDescent="0.2">
      <c r="Y752771" s="251"/>
      <c r="AB752771" s="251"/>
      <c r="AE752771" s="251"/>
      <c r="AH752771" s="251"/>
      <c r="AK752771" s="251"/>
    </row>
    <row r="752886" spans="25:37" x14ac:dyDescent="0.2">
      <c r="Y752886" s="5"/>
      <c r="AB752886" s="5"/>
      <c r="AE752886" s="5"/>
      <c r="AH752886" s="5"/>
      <c r="AK752886" s="5"/>
    </row>
    <row r="752896" spans="25:37" x14ac:dyDescent="0.2">
      <c r="Y752896" s="251"/>
      <c r="AB752896" s="251"/>
      <c r="AE752896" s="251"/>
      <c r="AH752896" s="251"/>
      <c r="AK752896" s="251"/>
    </row>
    <row r="753011" spans="25:37" x14ac:dyDescent="0.2">
      <c r="Y753011" s="5"/>
      <c r="AB753011" s="5"/>
      <c r="AE753011" s="5"/>
      <c r="AH753011" s="5"/>
      <c r="AK753011" s="5"/>
    </row>
    <row r="753021" spans="25:37" x14ac:dyDescent="0.2">
      <c r="Y753021" s="251"/>
      <c r="AB753021" s="251"/>
      <c r="AE753021" s="251"/>
      <c r="AH753021" s="251"/>
      <c r="AK753021" s="251"/>
    </row>
    <row r="753136" spans="25:37" x14ac:dyDescent="0.2">
      <c r="Y753136" s="5"/>
      <c r="AB753136" s="5"/>
      <c r="AE753136" s="5"/>
      <c r="AH753136" s="5"/>
      <c r="AK753136" s="5"/>
    </row>
    <row r="753146" spans="25:37" x14ac:dyDescent="0.2">
      <c r="Y753146" s="251"/>
      <c r="AB753146" s="251"/>
      <c r="AE753146" s="251"/>
      <c r="AH753146" s="251"/>
      <c r="AK753146" s="251"/>
    </row>
    <row r="753261" spans="25:37" x14ac:dyDescent="0.2">
      <c r="Y753261" s="5"/>
      <c r="AB753261" s="5"/>
      <c r="AE753261" s="5"/>
      <c r="AH753261" s="5"/>
      <c r="AK753261" s="5"/>
    </row>
    <row r="753271" spans="25:37" x14ac:dyDescent="0.2">
      <c r="Y753271" s="251"/>
      <c r="AB753271" s="251"/>
      <c r="AE753271" s="251"/>
      <c r="AH753271" s="251"/>
      <c r="AK753271" s="251"/>
    </row>
    <row r="753386" spans="25:37" x14ac:dyDescent="0.2">
      <c r="Y753386" s="5"/>
      <c r="AB753386" s="5"/>
      <c r="AE753386" s="5"/>
      <c r="AH753386" s="5"/>
      <c r="AK753386" s="5"/>
    </row>
    <row r="753396" spans="25:37" x14ac:dyDescent="0.2">
      <c r="Y753396" s="251"/>
      <c r="AB753396" s="251"/>
      <c r="AE753396" s="251"/>
      <c r="AH753396" s="251"/>
      <c r="AK753396" s="251"/>
    </row>
    <row r="753511" spans="25:37" x14ac:dyDescent="0.2">
      <c r="Y753511" s="5"/>
      <c r="AB753511" s="5"/>
      <c r="AE753511" s="5"/>
      <c r="AH753511" s="5"/>
      <c r="AK753511" s="5"/>
    </row>
    <row r="753521" spans="25:37" x14ac:dyDescent="0.2">
      <c r="Y753521" s="251"/>
      <c r="AB753521" s="251"/>
      <c r="AE753521" s="251"/>
      <c r="AH753521" s="251"/>
      <c r="AK753521" s="251"/>
    </row>
    <row r="753636" spans="25:37" x14ac:dyDescent="0.2">
      <c r="Y753636" s="5"/>
      <c r="AB753636" s="5"/>
      <c r="AE753636" s="5"/>
      <c r="AH753636" s="5"/>
      <c r="AK753636" s="5"/>
    </row>
    <row r="753646" spans="25:37" x14ac:dyDescent="0.2">
      <c r="Y753646" s="251"/>
      <c r="AB753646" s="251"/>
      <c r="AE753646" s="251"/>
      <c r="AH753646" s="251"/>
      <c r="AK753646" s="251"/>
    </row>
    <row r="753761" spans="25:37" x14ac:dyDescent="0.2">
      <c r="Y753761" s="5"/>
      <c r="AB753761" s="5"/>
      <c r="AE753761" s="5"/>
      <c r="AH753761" s="5"/>
      <c r="AK753761" s="5"/>
    </row>
    <row r="753771" spans="25:37" x14ac:dyDescent="0.2">
      <c r="Y753771" s="251"/>
      <c r="AB753771" s="251"/>
      <c r="AE753771" s="251"/>
      <c r="AH753771" s="251"/>
      <c r="AK753771" s="251"/>
    </row>
    <row r="753886" spans="25:37" x14ac:dyDescent="0.2">
      <c r="Y753886" s="5"/>
      <c r="AB753886" s="5"/>
      <c r="AE753886" s="5"/>
      <c r="AH753886" s="5"/>
      <c r="AK753886" s="5"/>
    </row>
    <row r="753896" spans="25:37" x14ac:dyDescent="0.2">
      <c r="Y753896" s="251"/>
      <c r="AB753896" s="251"/>
      <c r="AE753896" s="251"/>
      <c r="AH753896" s="251"/>
      <c r="AK753896" s="251"/>
    </row>
    <row r="754011" spans="25:37" x14ac:dyDescent="0.2">
      <c r="Y754011" s="5"/>
      <c r="AB754011" s="5"/>
      <c r="AE754011" s="5"/>
      <c r="AH754011" s="5"/>
      <c r="AK754011" s="5"/>
    </row>
    <row r="754021" spans="25:37" x14ac:dyDescent="0.2">
      <c r="Y754021" s="251"/>
      <c r="AB754021" s="251"/>
      <c r="AE754021" s="251"/>
      <c r="AH754021" s="251"/>
      <c r="AK754021" s="251"/>
    </row>
    <row r="754136" spans="25:37" x14ac:dyDescent="0.2">
      <c r="Y754136" s="5"/>
      <c r="AB754136" s="5"/>
      <c r="AE754136" s="5"/>
      <c r="AH754136" s="5"/>
      <c r="AK754136" s="5"/>
    </row>
    <row r="754146" spans="25:37" x14ac:dyDescent="0.2">
      <c r="Y754146" s="251"/>
      <c r="AB754146" s="251"/>
      <c r="AE754146" s="251"/>
      <c r="AH754146" s="251"/>
      <c r="AK754146" s="251"/>
    </row>
    <row r="754261" spans="25:37" x14ac:dyDescent="0.2">
      <c r="Y754261" s="5"/>
      <c r="AB754261" s="5"/>
      <c r="AE754261" s="5"/>
      <c r="AH754261" s="5"/>
      <c r="AK754261" s="5"/>
    </row>
    <row r="754271" spans="25:37" x14ac:dyDescent="0.2">
      <c r="Y754271" s="251"/>
      <c r="AB754271" s="251"/>
      <c r="AE754271" s="251"/>
      <c r="AH754271" s="251"/>
      <c r="AK754271" s="251"/>
    </row>
    <row r="754386" spans="25:37" x14ac:dyDescent="0.2">
      <c r="Y754386" s="5"/>
      <c r="AB754386" s="5"/>
      <c r="AE754386" s="5"/>
      <c r="AH754386" s="5"/>
      <c r="AK754386" s="5"/>
    </row>
    <row r="754396" spans="25:37" x14ac:dyDescent="0.2">
      <c r="Y754396" s="251"/>
      <c r="AB754396" s="251"/>
      <c r="AE754396" s="251"/>
      <c r="AH754396" s="251"/>
      <c r="AK754396" s="251"/>
    </row>
    <row r="754511" spans="25:37" x14ac:dyDescent="0.2">
      <c r="Y754511" s="5"/>
      <c r="AB754511" s="5"/>
      <c r="AE754511" s="5"/>
      <c r="AH754511" s="5"/>
      <c r="AK754511" s="5"/>
    </row>
    <row r="754521" spans="25:37" x14ac:dyDescent="0.2">
      <c r="Y754521" s="251"/>
      <c r="AB754521" s="251"/>
      <c r="AE754521" s="251"/>
      <c r="AH754521" s="251"/>
      <c r="AK754521" s="251"/>
    </row>
    <row r="754636" spans="25:37" x14ac:dyDescent="0.2">
      <c r="Y754636" s="5"/>
      <c r="AB754636" s="5"/>
      <c r="AE754636" s="5"/>
      <c r="AH754636" s="5"/>
      <c r="AK754636" s="5"/>
    </row>
    <row r="754646" spans="25:37" x14ac:dyDescent="0.2">
      <c r="Y754646" s="251"/>
      <c r="AB754646" s="251"/>
      <c r="AE754646" s="251"/>
      <c r="AH754646" s="251"/>
      <c r="AK754646" s="251"/>
    </row>
    <row r="754761" spans="25:37" x14ac:dyDescent="0.2">
      <c r="Y754761" s="5"/>
      <c r="AB754761" s="5"/>
      <c r="AE754761" s="5"/>
      <c r="AH754761" s="5"/>
      <c r="AK754761" s="5"/>
    </row>
    <row r="754771" spans="25:37" x14ac:dyDescent="0.2">
      <c r="Y754771" s="251"/>
      <c r="AB754771" s="251"/>
      <c r="AE754771" s="251"/>
      <c r="AH754771" s="251"/>
      <c r="AK754771" s="251"/>
    </row>
    <row r="754886" spans="25:37" x14ac:dyDescent="0.2">
      <c r="Y754886" s="5"/>
      <c r="AB754886" s="5"/>
      <c r="AE754886" s="5"/>
      <c r="AH754886" s="5"/>
      <c r="AK754886" s="5"/>
    </row>
    <row r="754896" spans="25:37" x14ac:dyDescent="0.2">
      <c r="Y754896" s="251"/>
      <c r="AB754896" s="251"/>
      <c r="AE754896" s="251"/>
      <c r="AH754896" s="251"/>
      <c r="AK754896" s="251"/>
    </row>
    <row r="755011" spans="25:37" x14ac:dyDescent="0.2">
      <c r="Y755011" s="5"/>
      <c r="AB755011" s="5"/>
      <c r="AE755011" s="5"/>
      <c r="AH755011" s="5"/>
      <c r="AK755011" s="5"/>
    </row>
    <row r="755021" spans="25:37" x14ac:dyDescent="0.2">
      <c r="Y755021" s="251"/>
      <c r="AB755021" s="251"/>
      <c r="AE755021" s="251"/>
      <c r="AH755021" s="251"/>
      <c r="AK755021" s="251"/>
    </row>
    <row r="755136" spans="25:37" x14ac:dyDescent="0.2">
      <c r="Y755136" s="5"/>
      <c r="AB755136" s="5"/>
      <c r="AE755136" s="5"/>
      <c r="AH755136" s="5"/>
      <c r="AK755136" s="5"/>
    </row>
    <row r="755146" spans="25:37" x14ac:dyDescent="0.2">
      <c r="Y755146" s="251"/>
      <c r="AB755146" s="251"/>
      <c r="AE755146" s="251"/>
      <c r="AH755146" s="251"/>
      <c r="AK755146" s="251"/>
    </row>
    <row r="755261" spans="25:37" x14ac:dyDescent="0.2">
      <c r="Y755261" s="5"/>
      <c r="AB755261" s="5"/>
      <c r="AE755261" s="5"/>
      <c r="AH755261" s="5"/>
      <c r="AK755261" s="5"/>
    </row>
    <row r="755271" spans="25:37" x14ac:dyDescent="0.2">
      <c r="Y755271" s="251"/>
      <c r="AB755271" s="251"/>
      <c r="AE755271" s="251"/>
      <c r="AH755271" s="251"/>
      <c r="AK755271" s="251"/>
    </row>
    <row r="755386" spans="25:37" x14ac:dyDescent="0.2">
      <c r="Y755386" s="5"/>
      <c r="AB755386" s="5"/>
      <c r="AE755386" s="5"/>
      <c r="AH755386" s="5"/>
      <c r="AK755386" s="5"/>
    </row>
    <row r="755396" spans="25:37" x14ac:dyDescent="0.2">
      <c r="Y755396" s="251"/>
      <c r="AB755396" s="251"/>
      <c r="AE755396" s="251"/>
      <c r="AH755396" s="251"/>
      <c r="AK755396" s="251"/>
    </row>
    <row r="755511" spans="25:37" x14ac:dyDescent="0.2">
      <c r="Y755511" s="5"/>
      <c r="AB755511" s="5"/>
      <c r="AE755511" s="5"/>
      <c r="AH755511" s="5"/>
      <c r="AK755511" s="5"/>
    </row>
    <row r="755521" spans="25:37" x14ac:dyDescent="0.2">
      <c r="Y755521" s="251"/>
      <c r="AB755521" s="251"/>
      <c r="AE755521" s="251"/>
      <c r="AH755521" s="251"/>
      <c r="AK755521" s="251"/>
    </row>
    <row r="755636" spans="25:37" x14ac:dyDescent="0.2">
      <c r="Y755636" s="5"/>
      <c r="AB755636" s="5"/>
      <c r="AE755636" s="5"/>
      <c r="AH755636" s="5"/>
      <c r="AK755636" s="5"/>
    </row>
    <row r="755646" spans="25:37" x14ac:dyDescent="0.2">
      <c r="Y755646" s="251"/>
      <c r="AB755646" s="251"/>
      <c r="AE755646" s="251"/>
      <c r="AH755646" s="251"/>
      <c r="AK755646" s="251"/>
    </row>
    <row r="755761" spans="25:37" x14ac:dyDescent="0.2">
      <c r="Y755761" s="5"/>
      <c r="AB755761" s="5"/>
      <c r="AE755761" s="5"/>
      <c r="AH755761" s="5"/>
      <c r="AK755761" s="5"/>
    </row>
    <row r="755771" spans="25:37" x14ac:dyDescent="0.2">
      <c r="Y755771" s="251"/>
      <c r="AB755771" s="251"/>
      <c r="AE755771" s="251"/>
      <c r="AH755771" s="251"/>
      <c r="AK755771" s="251"/>
    </row>
    <row r="755886" spans="25:37" x14ac:dyDescent="0.2">
      <c r="Y755886" s="5"/>
      <c r="AB755886" s="5"/>
      <c r="AE755886" s="5"/>
      <c r="AH755886" s="5"/>
      <c r="AK755886" s="5"/>
    </row>
    <row r="755896" spans="25:37" x14ac:dyDescent="0.2">
      <c r="Y755896" s="251"/>
      <c r="AB755896" s="251"/>
      <c r="AE755896" s="251"/>
      <c r="AH755896" s="251"/>
      <c r="AK755896" s="251"/>
    </row>
    <row r="756011" spans="25:37" x14ac:dyDescent="0.2">
      <c r="Y756011" s="5"/>
      <c r="AB756011" s="5"/>
      <c r="AE756011" s="5"/>
      <c r="AH756011" s="5"/>
      <c r="AK756011" s="5"/>
    </row>
    <row r="756021" spans="25:37" x14ac:dyDescent="0.2">
      <c r="Y756021" s="251"/>
      <c r="AB756021" s="251"/>
      <c r="AE756021" s="251"/>
      <c r="AH756021" s="251"/>
      <c r="AK756021" s="251"/>
    </row>
    <row r="756136" spans="25:37" x14ac:dyDescent="0.2">
      <c r="Y756136" s="5"/>
      <c r="AB756136" s="5"/>
      <c r="AE756136" s="5"/>
      <c r="AH756136" s="5"/>
      <c r="AK756136" s="5"/>
    </row>
    <row r="756146" spans="25:37" x14ac:dyDescent="0.2">
      <c r="Y756146" s="251"/>
      <c r="AB756146" s="251"/>
      <c r="AE756146" s="251"/>
      <c r="AH756146" s="251"/>
      <c r="AK756146" s="251"/>
    </row>
    <row r="756261" spans="25:37" x14ac:dyDescent="0.2">
      <c r="Y756261" s="5"/>
      <c r="AB756261" s="5"/>
      <c r="AE756261" s="5"/>
      <c r="AH756261" s="5"/>
      <c r="AK756261" s="5"/>
    </row>
    <row r="756271" spans="25:37" x14ac:dyDescent="0.2">
      <c r="Y756271" s="251"/>
      <c r="AB756271" s="251"/>
      <c r="AE756271" s="251"/>
      <c r="AH756271" s="251"/>
      <c r="AK756271" s="251"/>
    </row>
    <row r="756386" spans="25:37" x14ac:dyDescent="0.2">
      <c r="Y756386" s="5"/>
      <c r="AB756386" s="5"/>
      <c r="AE756386" s="5"/>
      <c r="AH756386" s="5"/>
      <c r="AK756386" s="5"/>
    </row>
    <row r="756396" spans="25:37" x14ac:dyDescent="0.2">
      <c r="Y756396" s="251"/>
      <c r="AB756396" s="251"/>
      <c r="AE756396" s="251"/>
      <c r="AH756396" s="251"/>
      <c r="AK756396" s="251"/>
    </row>
    <row r="756511" spans="25:37" x14ac:dyDescent="0.2">
      <c r="Y756511" s="5"/>
      <c r="AB756511" s="5"/>
      <c r="AE756511" s="5"/>
      <c r="AH756511" s="5"/>
      <c r="AK756511" s="5"/>
    </row>
    <row r="756521" spans="25:37" x14ac:dyDescent="0.2">
      <c r="Y756521" s="251"/>
      <c r="AB756521" s="251"/>
      <c r="AE756521" s="251"/>
      <c r="AH756521" s="251"/>
      <c r="AK756521" s="251"/>
    </row>
    <row r="756636" spans="25:37" x14ac:dyDescent="0.2">
      <c r="Y756636" s="5"/>
      <c r="AB756636" s="5"/>
      <c r="AE756636" s="5"/>
      <c r="AH756636" s="5"/>
      <c r="AK756636" s="5"/>
    </row>
    <row r="756646" spans="25:37" x14ac:dyDescent="0.2">
      <c r="Y756646" s="251"/>
      <c r="AB756646" s="251"/>
      <c r="AE756646" s="251"/>
      <c r="AH756646" s="251"/>
      <c r="AK756646" s="251"/>
    </row>
    <row r="756761" spans="25:37" x14ac:dyDescent="0.2">
      <c r="Y756761" s="5"/>
      <c r="AB756761" s="5"/>
      <c r="AE756761" s="5"/>
      <c r="AH756761" s="5"/>
      <c r="AK756761" s="5"/>
    </row>
    <row r="756771" spans="25:37" x14ac:dyDescent="0.2">
      <c r="Y756771" s="251"/>
      <c r="AB756771" s="251"/>
      <c r="AE756771" s="251"/>
      <c r="AH756771" s="251"/>
      <c r="AK756771" s="251"/>
    </row>
    <row r="756886" spans="25:37" x14ac:dyDescent="0.2">
      <c r="Y756886" s="5"/>
      <c r="AB756886" s="5"/>
      <c r="AE756886" s="5"/>
      <c r="AH756886" s="5"/>
      <c r="AK756886" s="5"/>
    </row>
    <row r="756896" spans="25:37" x14ac:dyDescent="0.2">
      <c r="Y756896" s="251"/>
      <c r="AB756896" s="251"/>
      <c r="AE756896" s="251"/>
      <c r="AH756896" s="251"/>
      <c r="AK756896" s="251"/>
    </row>
    <row r="757011" spans="25:37" x14ac:dyDescent="0.2">
      <c r="Y757011" s="5"/>
      <c r="AB757011" s="5"/>
      <c r="AE757011" s="5"/>
      <c r="AH757011" s="5"/>
      <c r="AK757011" s="5"/>
    </row>
    <row r="757021" spans="25:37" x14ac:dyDescent="0.2">
      <c r="Y757021" s="251"/>
      <c r="AB757021" s="251"/>
      <c r="AE757021" s="251"/>
      <c r="AH757021" s="251"/>
      <c r="AK757021" s="251"/>
    </row>
    <row r="757136" spans="25:37" x14ac:dyDescent="0.2">
      <c r="Y757136" s="5"/>
      <c r="AB757136" s="5"/>
      <c r="AE757136" s="5"/>
      <c r="AH757136" s="5"/>
      <c r="AK757136" s="5"/>
    </row>
    <row r="757146" spans="25:37" x14ac:dyDescent="0.2">
      <c r="Y757146" s="251"/>
      <c r="AB757146" s="251"/>
      <c r="AE757146" s="251"/>
      <c r="AH757146" s="251"/>
      <c r="AK757146" s="251"/>
    </row>
    <row r="757261" spans="25:37" x14ac:dyDescent="0.2">
      <c r="Y757261" s="5"/>
      <c r="AB757261" s="5"/>
      <c r="AE757261" s="5"/>
      <c r="AH757261" s="5"/>
      <c r="AK757261" s="5"/>
    </row>
    <row r="757271" spans="25:37" x14ac:dyDescent="0.2">
      <c r="Y757271" s="251"/>
      <c r="AB757271" s="251"/>
      <c r="AE757271" s="251"/>
      <c r="AH757271" s="251"/>
      <c r="AK757271" s="251"/>
    </row>
    <row r="757386" spans="25:37" x14ac:dyDescent="0.2">
      <c r="Y757386" s="5"/>
      <c r="AB757386" s="5"/>
      <c r="AE757386" s="5"/>
      <c r="AH757386" s="5"/>
      <c r="AK757386" s="5"/>
    </row>
    <row r="757396" spans="25:37" x14ac:dyDescent="0.2">
      <c r="Y757396" s="251"/>
      <c r="AB757396" s="251"/>
      <c r="AE757396" s="251"/>
      <c r="AH757396" s="251"/>
      <c r="AK757396" s="251"/>
    </row>
    <row r="757511" spans="25:37" x14ac:dyDescent="0.2">
      <c r="Y757511" s="5"/>
      <c r="AB757511" s="5"/>
      <c r="AE757511" s="5"/>
      <c r="AH757511" s="5"/>
      <c r="AK757511" s="5"/>
    </row>
    <row r="757521" spans="25:37" x14ac:dyDescent="0.2">
      <c r="Y757521" s="251"/>
      <c r="AB757521" s="251"/>
      <c r="AE757521" s="251"/>
      <c r="AH757521" s="251"/>
      <c r="AK757521" s="251"/>
    </row>
    <row r="757636" spans="25:37" x14ac:dyDescent="0.2">
      <c r="Y757636" s="5"/>
      <c r="AB757636" s="5"/>
      <c r="AE757636" s="5"/>
      <c r="AH757636" s="5"/>
      <c r="AK757636" s="5"/>
    </row>
    <row r="757646" spans="25:37" x14ac:dyDescent="0.2">
      <c r="Y757646" s="251"/>
      <c r="AB757646" s="251"/>
      <c r="AE757646" s="251"/>
      <c r="AH757646" s="251"/>
      <c r="AK757646" s="251"/>
    </row>
    <row r="757761" spans="25:37" x14ac:dyDescent="0.2">
      <c r="Y757761" s="5"/>
      <c r="AB757761" s="5"/>
      <c r="AE757761" s="5"/>
      <c r="AH757761" s="5"/>
      <c r="AK757761" s="5"/>
    </row>
    <row r="757771" spans="25:37" x14ac:dyDescent="0.2">
      <c r="Y757771" s="251"/>
      <c r="AB757771" s="251"/>
      <c r="AE757771" s="251"/>
      <c r="AH757771" s="251"/>
      <c r="AK757771" s="251"/>
    </row>
    <row r="757886" spans="25:37" x14ac:dyDescent="0.2">
      <c r="Y757886" s="5"/>
      <c r="AB757886" s="5"/>
      <c r="AE757886" s="5"/>
      <c r="AH757886" s="5"/>
      <c r="AK757886" s="5"/>
    </row>
    <row r="757896" spans="25:37" x14ac:dyDescent="0.2">
      <c r="Y757896" s="251"/>
      <c r="AB757896" s="251"/>
      <c r="AE757896" s="251"/>
      <c r="AH757896" s="251"/>
      <c r="AK757896" s="251"/>
    </row>
    <row r="758011" spans="25:37" x14ac:dyDescent="0.2">
      <c r="Y758011" s="5"/>
      <c r="AB758011" s="5"/>
      <c r="AE758011" s="5"/>
      <c r="AH758011" s="5"/>
      <c r="AK758011" s="5"/>
    </row>
    <row r="758021" spans="25:37" x14ac:dyDescent="0.2">
      <c r="Y758021" s="251"/>
      <c r="AB758021" s="251"/>
      <c r="AE758021" s="251"/>
      <c r="AH758021" s="251"/>
      <c r="AK758021" s="251"/>
    </row>
    <row r="758136" spans="25:37" x14ac:dyDescent="0.2">
      <c r="Y758136" s="5"/>
      <c r="AB758136" s="5"/>
      <c r="AE758136" s="5"/>
      <c r="AH758136" s="5"/>
      <c r="AK758136" s="5"/>
    </row>
    <row r="758146" spans="25:37" x14ac:dyDescent="0.2">
      <c r="Y758146" s="251"/>
      <c r="AB758146" s="251"/>
      <c r="AE758146" s="251"/>
      <c r="AH758146" s="251"/>
      <c r="AK758146" s="251"/>
    </row>
    <row r="758261" spans="25:37" x14ac:dyDescent="0.2">
      <c r="Y758261" s="5"/>
      <c r="AB758261" s="5"/>
      <c r="AE758261" s="5"/>
      <c r="AH758261" s="5"/>
      <c r="AK758261" s="5"/>
    </row>
    <row r="758271" spans="25:37" x14ac:dyDescent="0.2">
      <c r="Y758271" s="251"/>
      <c r="AB758271" s="251"/>
      <c r="AE758271" s="251"/>
      <c r="AH758271" s="251"/>
      <c r="AK758271" s="251"/>
    </row>
    <row r="758386" spans="25:37" x14ac:dyDescent="0.2">
      <c r="Y758386" s="5"/>
      <c r="AB758386" s="5"/>
      <c r="AE758386" s="5"/>
      <c r="AH758386" s="5"/>
      <c r="AK758386" s="5"/>
    </row>
    <row r="758396" spans="25:37" x14ac:dyDescent="0.2">
      <c r="Y758396" s="251"/>
      <c r="AB758396" s="251"/>
      <c r="AE758396" s="251"/>
      <c r="AH758396" s="251"/>
      <c r="AK758396" s="251"/>
    </row>
    <row r="758511" spans="25:37" x14ac:dyDescent="0.2">
      <c r="Y758511" s="5"/>
      <c r="AB758511" s="5"/>
      <c r="AE758511" s="5"/>
      <c r="AH758511" s="5"/>
      <c r="AK758511" s="5"/>
    </row>
    <row r="758521" spans="25:37" x14ac:dyDescent="0.2">
      <c r="Y758521" s="251"/>
      <c r="AB758521" s="251"/>
      <c r="AE758521" s="251"/>
      <c r="AH758521" s="251"/>
      <c r="AK758521" s="251"/>
    </row>
    <row r="758636" spans="25:37" x14ac:dyDescent="0.2">
      <c r="Y758636" s="5"/>
      <c r="AB758636" s="5"/>
      <c r="AE758636" s="5"/>
      <c r="AH758636" s="5"/>
      <c r="AK758636" s="5"/>
    </row>
    <row r="758646" spans="25:37" x14ac:dyDescent="0.2">
      <c r="Y758646" s="251"/>
      <c r="AB758646" s="251"/>
      <c r="AE758646" s="251"/>
      <c r="AH758646" s="251"/>
      <c r="AK758646" s="251"/>
    </row>
    <row r="758761" spans="25:37" x14ac:dyDescent="0.2">
      <c r="Y758761" s="5"/>
      <c r="AB758761" s="5"/>
      <c r="AE758761" s="5"/>
      <c r="AH758761" s="5"/>
      <c r="AK758761" s="5"/>
    </row>
    <row r="758771" spans="25:37" x14ac:dyDescent="0.2">
      <c r="Y758771" s="251"/>
      <c r="AB758771" s="251"/>
      <c r="AE758771" s="251"/>
      <c r="AH758771" s="251"/>
      <c r="AK758771" s="251"/>
    </row>
    <row r="758886" spans="25:37" x14ac:dyDescent="0.2">
      <c r="Y758886" s="5"/>
      <c r="AB758886" s="5"/>
      <c r="AE758886" s="5"/>
      <c r="AH758886" s="5"/>
      <c r="AK758886" s="5"/>
    </row>
    <row r="758896" spans="25:37" x14ac:dyDescent="0.2">
      <c r="Y758896" s="251"/>
      <c r="AB758896" s="251"/>
      <c r="AE758896" s="251"/>
      <c r="AH758896" s="251"/>
      <c r="AK758896" s="251"/>
    </row>
    <row r="759011" spans="25:37" x14ac:dyDescent="0.2">
      <c r="Y759011" s="5"/>
      <c r="AB759011" s="5"/>
      <c r="AE759011" s="5"/>
      <c r="AH759011" s="5"/>
      <c r="AK759011" s="5"/>
    </row>
    <row r="759021" spans="25:37" x14ac:dyDescent="0.2">
      <c r="Y759021" s="251"/>
      <c r="AB759021" s="251"/>
      <c r="AE759021" s="251"/>
      <c r="AH759021" s="251"/>
      <c r="AK759021" s="251"/>
    </row>
    <row r="759136" spans="25:37" x14ac:dyDescent="0.2">
      <c r="Y759136" s="5"/>
      <c r="AB759136" s="5"/>
      <c r="AE759136" s="5"/>
      <c r="AH759136" s="5"/>
      <c r="AK759136" s="5"/>
    </row>
    <row r="759146" spans="25:37" x14ac:dyDescent="0.2">
      <c r="Y759146" s="251"/>
      <c r="AB759146" s="251"/>
      <c r="AE759146" s="251"/>
      <c r="AH759146" s="251"/>
      <c r="AK759146" s="251"/>
    </row>
    <row r="759261" spans="25:37" x14ac:dyDescent="0.2">
      <c r="Y759261" s="5"/>
      <c r="AB759261" s="5"/>
      <c r="AE759261" s="5"/>
      <c r="AH759261" s="5"/>
      <c r="AK759261" s="5"/>
    </row>
    <row r="759271" spans="25:37" x14ac:dyDescent="0.2">
      <c r="Y759271" s="251"/>
      <c r="AB759271" s="251"/>
      <c r="AE759271" s="251"/>
      <c r="AH759271" s="251"/>
      <c r="AK759271" s="251"/>
    </row>
    <row r="759386" spans="25:37" x14ac:dyDescent="0.2">
      <c r="Y759386" s="5"/>
      <c r="AB759386" s="5"/>
      <c r="AE759386" s="5"/>
      <c r="AH759386" s="5"/>
      <c r="AK759386" s="5"/>
    </row>
    <row r="759396" spans="25:37" x14ac:dyDescent="0.2">
      <c r="Y759396" s="251"/>
      <c r="AB759396" s="251"/>
      <c r="AE759396" s="251"/>
      <c r="AH759396" s="251"/>
      <c r="AK759396" s="251"/>
    </row>
    <row r="759511" spans="25:37" x14ac:dyDescent="0.2">
      <c r="Y759511" s="5"/>
      <c r="AB759511" s="5"/>
      <c r="AE759511" s="5"/>
      <c r="AH759511" s="5"/>
      <c r="AK759511" s="5"/>
    </row>
    <row r="759521" spans="25:37" x14ac:dyDescent="0.2">
      <c r="Y759521" s="251"/>
      <c r="AB759521" s="251"/>
      <c r="AE759521" s="251"/>
      <c r="AH759521" s="251"/>
      <c r="AK759521" s="251"/>
    </row>
    <row r="759636" spans="25:37" x14ac:dyDescent="0.2">
      <c r="Y759636" s="5"/>
      <c r="AB759636" s="5"/>
      <c r="AE759636" s="5"/>
      <c r="AH759636" s="5"/>
      <c r="AK759636" s="5"/>
    </row>
    <row r="759646" spans="25:37" x14ac:dyDescent="0.2">
      <c r="Y759646" s="251"/>
      <c r="AB759646" s="251"/>
      <c r="AE759646" s="251"/>
      <c r="AH759646" s="251"/>
      <c r="AK759646" s="251"/>
    </row>
    <row r="759761" spans="25:37" x14ac:dyDescent="0.2">
      <c r="Y759761" s="5"/>
      <c r="AB759761" s="5"/>
      <c r="AE759761" s="5"/>
      <c r="AH759761" s="5"/>
      <c r="AK759761" s="5"/>
    </row>
    <row r="759771" spans="25:37" x14ac:dyDescent="0.2">
      <c r="Y759771" s="251"/>
      <c r="AB759771" s="251"/>
      <c r="AE759771" s="251"/>
      <c r="AH759771" s="251"/>
      <c r="AK759771" s="251"/>
    </row>
    <row r="759886" spans="25:37" x14ac:dyDescent="0.2">
      <c r="Y759886" s="5"/>
      <c r="AB759886" s="5"/>
      <c r="AE759886" s="5"/>
      <c r="AH759886" s="5"/>
      <c r="AK759886" s="5"/>
    </row>
    <row r="759896" spans="25:37" x14ac:dyDescent="0.2">
      <c r="Y759896" s="251"/>
      <c r="AB759896" s="251"/>
      <c r="AE759896" s="251"/>
      <c r="AH759896" s="251"/>
      <c r="AK759896" s="251"/>
    </row>
    <row r="760011" spans="25:37" x14ac:dyDescent="0.2">
      <c r="Y760011" s="5"/>
      <c r="AB760011" s="5"/>
      <c r="AE760011" s="5"/>
      <c r="AH760011" s="5"/>
      <c r="AK760011" s="5"/>
    </row>
    <row r="760021" spans="25:37" x14ac:dyDescent="0.2">
      <c r="Y760021" s="251"/>
      <c r="AB760021" s="251"/>
      <c r="AE760021" s="251"/>
      <c r="AH760021" s="251"/>
      <c r="AK760021" s="251"/>
    </row>
    <row r="760136" spans="25:37" x14ac:dyDescent="0.2">
      <c r="Y760136" s="5"/>
      <c r="AB760136" s="5"/>
      <c r="AE760136" s="5"/>
      <c r="AH760136" s="5"/>
      <c r="AK760136" s="5"/>
    </row>
    <row r="760146" spans="25:37" x14ac:dyDescent="0.2">
      <c r="Y760146" s="251"/>
      <c r="AB760146" s="251"/>
      <c r="AE760146" s="251"/>
      <c r="AH760146" s="251"/>
      <c r="AK760146" s="251"/>
    </row>
    <row r="760261" spans="25:37" x14ac:dyDescent="0.2">
      <c r="Y760261" s="5"/>
      <c r="AB760261" s="5"/>
      <c r="AE760261" s="5"/>
      <c r="AH760261" s="5"/>
      <c r="AK760261" s="5"/>
    </row>
    <row r="760271" spans="25:37" x14ac:dyDescent="0.2">
      <c r="Y760271" s="251"/>
      <c r="AB760271" s="251"/>
      <c r="AE760271" s="251"/>
      <c r="AH760271" s="251"/>
      <c r="AK760271" s="251"/>
    </row>
    <row r="760386" spans="25:37" x14ac:dyDescent="0.2">
      <c r="Y760386" s="5"/>
      <c r="AB760386" s="5"/>
      <c r="AE760386" s="5"/>
      <c r="AH760386" s="5"/>
      <c r="AK760386" s="5"/>
    </row>
    <row r="760396" spans="25:37" x14ac:dyDescent="0.2">
      <c r="Y760396" s="251"/>
      <c r="AB760396" s="251"/>
      <c r="AE760396" s="251"/>
      <c r="AH760396" s="251"/>
      <c r="AK760396" s="251"/>
    </row>
    <row r="760511" spans="25:37" x14ac:dyDescent="0.2">
      <c r="Y760511" s="5"/>
      <c r="AB760511" s="5"/>
      <c r="AE760511" s="5"/>
      <c r="AH760511" s="5"/>
      <c r="AK760511" s="5"/>
    </row>
    <row r="760521" spans="25:37" x14ac:dyDescent="0.2">
      <c r="Y760521" s="251"/>
      <c r="AB760521" s="251"/>
      <c r="AE760521" s="251"/>
      <c r="AH760521" s="251"/>
      <c r="AK760521" s="251"/>
    </row>
    <row r="760636" spans="25:37" x14ac:dyDescent="0.2">
      <c r="Y760636" s="5"/>
      <c r="AB760636" s="5"/>
      <c r="AE760636" s="5"/>
      <c r="AH760636" s="5"/>
      <c r="AK760636" s="5"/>
    </row>
    <row r="760646" spans="25:37" x14ac:dyDescent="0.2">
      <c r="Y760646" s="251"/>
      <c r="AB760646" s="251"/>
      <c r="AE760646" s="251"/>
      <c r="AH760646" s="251"/>
      <c r="AK760646" s="251"/>
    </row>
    <row r="760761" spans="25:37" x14ac:dyDescent="0.2">
      <c r="Y760761" s="5"/>
      <c r="AB760761" s="5"/>
      <c r="AE760761" s="5"/>
      <c r="AH760761" s="5"/>
      <c r="AK760761" s="5"/>
    </row>
    <row r="760771" spans="25:37" x14ac:dyDescent="0.2">
      <c r="Y760771" s="251"/>
      <c r="AB760771" s="251"/>
      <c r="AE760771" s="251"/>
      <c r="AH760771" s="251"/>
      <c r="AK760771" s="251"/>
    </row>
    <row r="760886" spans="25:37" x14ac:dyDescent="0.2">
      <c r="Y760886" s="5"/>
      <c r="AB760886" s="5"/>
      <c r="AE760886" s="5"/>
      <c r="AH760886" s="5"/>
      <c r="AK760886" s="5"/>
    </row>
    <row r="760896" spans="25:37" x14ac:dyDescent="0.2">
      <c r="Y760896" s="251"/>
      <c r="AB760896" s="251"/>
      <c r="AE760896" s="251"/>
      <c r="AH760896" s="251"/>
      <c r="AK760896" s="251"/>
    </row>
    <row r="761011" spans="25:37" x14ac:dyDescent="0.2">
      <c r="Y761011" s="5"/>
      <c r="AB761011" s="5"/>
      <c r="AE761011" s="5"/>
      <c r="AH761011" s="5"/>
      <c r="AK761011" s="5"/>
    </row>
    <row r="761021" spans="25:37" x14ac:dyDescent="0.2">
      <c r="Y761021" s="251"/>
      <c r="AB761021" s="251"/>
      <c r="AE761021" s="251"/>
      <c r="AH761021" s="251"/>
      <c r="AK761021" s="251"/>
    </row>
    <row r="761136" spans="25:37" x14ac:dyDescent="0.2">
      <c r="Y761136" s="5"/>
      <c r="AB761136" s="5"/>
      <c r="AE761136" s="5"/>
      <c r="AH761136" s="5"/>
      <c r="AK761136" s="5"/>
    </row>
    <row r="761146" spans="25:37" x14ac:dyDescent="0.2">
      <c r="Y761146" s="251"/>
      <c r="AB761146" s="251"/>
      <c r="AE761146" s="251"/>
      <c r="AH761146" s="251"/>
      <c r="AK761146" s="251"/>
    </row>
    <row r="761261" spans="25:37" x14ac:dyDescent="0.2">
      <c r="Y761261" s="5"/>
      <c r="AB761261" s="5"/>
      <c r="AE761261" s="5"/>
      <c r="AH761261" s="5"/>
      <c r="AK761261" s="5"/>
    </row>
    <row r="761271" spans="25:37" x14ac:dyDescent="0.2">
      <c r="Y761271" s="251"/>
      <c r="AB761271" s="251"/>
      <c r="AE761271" s="251"/>
      <c r="AH761271" s="251"/>
      <c r="AK761271" s="251"/>
    </row>
    <row r="761386" spans="25:37" x14ac:dyDescent="0.2">
      <c r="Y761386" s="5"/>
      <c r="AB761386" s="5"/>
      <c r="AE761386" s="5"/>
      <c r="AH761386" s="5"/>
      <c r="AK761386" s="5"/>
    </row>
    <row r="761396" spans="25:37" x14ac:dyDescent="0.2">
      <c r="Y761396" s="251"/>
      <c r="AB761396" s="251"/>
      <c r="AE761396" s="251"/>
      <c r="AH761396" s="251"/>
      <c r="AK761396" s="251"/>
    </row>
    <row r="761511" spans="25:37" x14ac:dyDescent="0.2">
      <c r="Y761511" s="5"/>
      <c r="AB761511" s="5"/>
      <c r="AE761511" s="5"/>
      <c r="AH761511" s="5"/>
      <c r="AK761511" s="5"/>
    </row>
    <row r="761521" spans="25:37" x14ac:dyDescent="0.2">
      <c r="Y761521" s="251"/>
      <c r="AB761521" s="251"/>
      <c r="AE761521" s="251"/>
      <c r="AH761521" s="251"/>
      <c r="AK761521" s="251"/>
    </row>
    <row r="761636" spans="25:37" x14ac:dyDescent="0.2">
      <c r="Y761636" s="5"/>
      <c r="AB761636" s="5"/>
      <c r="AE761636" s="5"/>
      <c r="AH761636" s="5"/>
      <c r="AK761636" s="5"/>
    </row>
    <row r="761646" spans="25:37" x14ac:dyDescent="0.2">
      <c r="Y761646" s="251"/>
      <c r="AB761646" s="251"/>
      <c r="AE761646" s="251"/>
      <c r="AH761646" s="251"/>
      <c r="AK761646" s="251"/>
    </row>
    <row r="761761" spans="25:37" x14ac:dyDescent="0.2">
      <c r="Y761761" s="5"/>
      <c r="AB761761" s="5"/>
      <c r="AE761761" s="5"/>
      <c r="AH761761" s="5"/>
      <c r="AK761761" s="5"/>
    </row>
    <row r="761771" spans="25:37" x14ac:dyDescent="0.2">
      <c r="Y761771" s="251"/>
      <c r="AB761771" s="251"/>
      <c r="AE761771" s="251"/>
      <c r="AH761771" s="251"/>
      <c r="AK761771" s="251"/>
    </row>
    <row r="761886" spans="25:37" x14ac:dyDescent="0.2">
      <c r="Y761886" s="5"/>
      <c r="AB761886" s="5"/>
      <c r="AE761886" s="5"/>
      <c r="AH761886" s="5"/>
      <c r="AK761886" s="5"/>
    </row>
    <row r="761896" spans="25:37" x14ac:dyDescent="0.2">
      <c r="Y761896" s="251"/>
      <c r="AB761896" s="251"/>
      <c r="AE761896" s="251"/>
      <c r="AH761896" s="251"/>
      <c r="AK761896" s="251"/>
    </row>
    <row r="762011" spans="25:37" x14ac:dyDescent="0.2">
      <c r="Y762011" s="5"/>
      <c r="AB762011" s="5"/>
      <c r="AE762011" s="5"/>
      <c r="AH762011" s="5"/>
      <c r="AK762011" s="5"/>
    </row>
    <row r="762021" spans="25:37" x14ac:dyDescent="0.2">
      <c r="Y762021" s="251"/>
      <c r="AB762021" s="251"/>
      <c r="AE762021" s="251"/>
      <c r="AH762021" s="251"/>
      <c r="AK762021" s="251"/>
    </row>
    <row r="762136" spans="25:37" x14ac:dyDescent="0.2">
      <c r="Y762136" s="5"/>
      <c r="AB762136" s="5"/>
      <c r="AE762136" s="5"/>
      <c r="AH762136" s="5"/>
      <c r="AK762136" s="5"/>
    </row>
    <row r="762146" spans="25:37" x14ac:dyDescent="0.2">
      <c r="Y762146" s="251"/>
      <c r="AB762146" s="251"/>
      <c r="AE762146" s="251"/>
      <c r="AH762146" s="251"/>
      <c r="AK762146" s="251"/>
    </row>
    <row r="762261" spans="25:37" x14ac:dyDescent="0.2">
      <c r="Y762261" s="5"/>
      <c r="AB762261" s="5"/>
      <c r="AE762261" s="5"/>
      <c r="AH762261" s="5"/>
      <c r="AK762261" s="5"/>
    </row>
    <row r="762271" spans="25:37" x14ac:dyDescent="0.2">
      <c r="Y762271" s="251"/>
      <c r="AB762271" s="251"/>
      <c r="AE762271" s="251"/>
      <c r="AH762271" s="251"/>
      <c r="AK762271" s="251"/>
    </row>
    <row r="762386" spans="25:37" x14ac:dyDescent="0.2">
      <c r="Y762386" s="5"/>
      <c r="AB762386" s="5"/>
      <c r="AE762386" s="5"/>
      <c r="AH762386" s="5"/>
      <c r="AK762386" s="5"/>
    </row>
    <row r="762396" spans="25:37" x14ac:dyDescent="0.2">
      <c r="Y762396" s="251"/>
      <c r="AB762396" s="251"/>
      <c r="AE762396" s="251"/>
      <c r="AH762396" s="251"/>
      <c r="AK762396" s="251"/>
    </row>
    <row r="762511" spans="25:37" x14ac:dyDescent="0.2">
      <c r="Y762511" s="5"/>
      <c r="AB762511" s="5"/>
      <c r="AE762511" s="5"/>
      <c r="AH762511" s="5"/>
      <c r="AK762511" s="5"/>
    </row>
    <row r="762521" spans="25:37" x14ac:dyDescent="0.2">
      <c r="Y762521" s="251"/>
      <c r="AB762521" s="251"/>
      <c r="AE762521" s="251"/>
      <c r="AH762521" s="251"/>
      <c r="AK762521" s="251"/>
    </row>
    <row r="762636" spans="25:37" x14ac:dyDescent="0.2">
      <c r="Y762636" s="5"/>
      <c r="AB762636" s="5"/>
      <c r="AE762636" s="5"/>
      <c r="AH762636" s="5"/>
      <c r="AK762636" s="5"/>
    </row>
    <row r="762646" spans="25:37" x14ac:dyDescent="0.2">
      <c r="Y762646" s="251"/>
      <c r="AB762646" s="251"/>
      <c r="AE762646" s="251"/>
      <c r="AH762646" s="251"/>
      <c r="AK762646" s="251"/>
    </row>
    <row r="762761" spans="25:37" x14ac:dyDescent="0.2">
      <c r="Y762761" s="5"/>
      <c r="AB762761" s="5"/>
      <c r="AE762761" s="5"/>
      <c r="AH762761" s="5"/>
      <c r="AK762761" s="5"/>
    </row>
    <row r="762771" spans="25:37" x14ac:dyDescent="0.2">
      <c r="Y762771" s="251"/>
      <c r="AB762771" s="251"/>
      <c r="AE762771" s="251"/>
      <c r="AH762771" s="251"/>
      <c r="AK762771" s="251"/>
    </row>
    <row r="762886" spans="25:37" x14ac:dyDescent="0.2">
      <c r="Y762886" s="5"/>
      <c r="AB762886" s="5"/>
      <c r="AE762886" s="5"/>
      <c r="AH762886" s="5"/>
      <c r="AK762886" s="5"/>
    </row>
    <row r="762896" spans="25:37" x14ac:dyDescent="0.2">
      <c r="Y762896" s="251"/>
      <c r="AB762896" s="251"/>
      <c r="AE762896" s="251"/>
      <c r="AH762896" s="251"/>
      <c r="AK762896" s="251"/>
    </row>
    <row r="763011" spans="25:37" x14ac:dyDescent="0.2">
      <c r="Y763011" s="5"/>
      <c r="AB763011" s="5"/>
      <c r="AE763011" s="5"/>
      <c r="AH763011" s="5"/>
      <c r="AK763011" s="5"/>
    </row>
    <row r="763021" spans="25:37" x14ac:dyDescent="0.2">
      <c r="Y763021" s="251"/>
      <c r="AB763021" s="251"/>
      <c r="AE763021" s="251"/>
      <c r="AH763021" s="251"/>
      <c r="AK763021" s="251"/>
    </row>
    <row r="763136" spans="25:37" x14ac:dyDescent="0.2">
      <c r="Y763136" s="5"/>
      <c r="AB763136" s="5"/>
      <c r="AE763136" s="5"/>
      <c r="AH763136" s="5"/>
      <c r="AK763136" s="5"/>
    </row>
    <row r="763146" spans="25:37" x14ac:dyDescent="0.2">
      <c r="Y763146" s="251"/>
      <c r="AB763146" s="251"/>
      <c r="AE763146" s="251"/>
      <c r="AH763146" s="251"/>
      <c r="AK763146" s="251"/>
    </row>
    <row r="763261" spans="25:37" x14ac:dyDescent="0.2">
      <c r="Y763261" s="5"/>
      <c r="AB763261" s="5"/>
      <c r="AE763261" s="5"/>
      <c r="AH763261" s="5"/>
      <c r="AK763261" s="5"/>
    </row>
    <row r="763271" spans="25:37" x14ac:dyDescent="0.2">
      <c r="Y763271" s="251"/>
      <c r="AB763271" s="251"/>
      <c r="AE763271" s="251"/>
      <c r="AH763271" s="251"/>
      <c r="AK763271" s="251"/>
    </row>
    <row r="763386" spans="25:37" x14ac:dyDescent="0.2">
      <c r="Y763386" s="5"/>
      <c r="AB763386" s="5"/>
      <c r="AE763386" s="5"/>
      <c r="AH763386" s="5"/>
      <c r="AK763386" s="5"/>
    </row>
    <row r="763396" spans="25:37" x14ac:dyDescent="0.2">
      <c r="Y763396" s="251"/>
      <c r="AB763396" s="251"/>
      <c r="AE763396" s="251"/>
      <c r="AH763396" s="251"/>
      <c r="AK763396" s="251"/>
    </row>
    <row r="763511" spans="25:37" x14ac:dyDescent="0.2">
      <c r="Y763511" s="5"/>
      <c r="AB763511" s="5"/>
      <c r="AE763511" s="5"/>
      <c r="AH763511" s="5"/>
      <c r="AK763511" s="5"/>
    </row>
    <row r="763521" spans="25:37" x14ac:dyDescent="0.2">
      <c r="Y763521" s="251"/>
      <c r="AB763521" s="251"/>
      <c r="AE763521" s="251"/>
      <c r="AH763521" s="251"/>
      <c r="AK763521" s="251"/>
    </row>
    <row r="763636" spans="25:37" x14ac:dyDescent="0.2">
      <c r="Y763636" s="5"/>
      <c r="AB763636" s="5"/>
      <c r="AE763636" s="5"/>
      <c r="AH763636" s="5"/>
      <c r="AK763636" s="5"/>
    </row>
    <row r="763646" spans="25:37" x14ac:dyDescent="0.2">
      <c r="Y763646" s="251"/>
      <c r="AB763646" s="251"/>
      <c r="AE763646" s="251"/>
      <c r="AH763646" s="251"/>
      <c r="AK763646" s="251"/>
    </row>
    <row r="763761" spans="25:37" x14ac:dyDescent="0.2">
      <c r="Y763761" s="5"/>
      <c r="AB763761" s="5"/>
      <c r="AE763761" s="5"/>
      <c r="AH763761" s="5"/>
      <c r="AK763761" s="5"/>
    </row>
    <row r="763771" spans="25:37" x14ac:dyDescent="0.2">
      <c r="Y763771" s="251"/>
      <c r="AB763771" s="251"/>
      <c r="AE763771" s="251"/>
      <c r="AH763771" s="251"/>
      <c r="AK763771" s="251"/>
    </row>
    <row r="763886" spans="25:37" x14ac:dyDescent="0.2">
      <c r="Y763886" s="5"/>
      <c r="AB763886" s="5"/>
      <c r="AE763886" s="5"/>
      <c r="AH763886" s="5"/>
      <c r="AK763886" s="5"/>
    </row>
    <row r="763896" spans="25:37" x14ac:dyDescent="0.2">
      <c r="Y763896" s="251"/>
      <c r="AB763896" s="251"/>
      <c r="AE763896" s="251"/>
      <c r="AH763896" s="251"/>
      <c r="AK763896" s="251"/>
    </row>
    <row r="764011" spans="25:37" x14ac:dyDescent="0.2">
      <c r="Y764011" s="5"/>
      <c r="AB764011" s="5"/>
      <c r="AE764011" s="5"/>
      <c r="AH764011" s="5"/>
      <c r="AK764011" s="5"/>
    </row>
    <row r="764021" spans="25:37" x14ac:dyDescent="0.2">
      <c r="Y764021" s="251"/>
      <c r="AB764021" s="251"/>
      <c r="AE764021" s="251"/>
      <c r="AH764021" s="251"/>
      <c r="AK764021" s="251"/>
    </row>
    <row r="764136" spans="25:37" x14ac:dyDescent="0.2">
      <c r="Y764136" s="5"/>
      <c r="AB764136" s="5"/>
      <c r="AE764136" s="5"/>
      <c r="AH764136" s="5"/>
      <c r="AK764136" s="5"/>
    </row>
    <row r="764146" spans="25:37" x14ac:dyDescent="0.2">
      <c r="Y764146" s="251"/>
      <c r="AB764146" s="251"/>
      <c r="AE764146" s="251"/>
      <c r="AH764146" s="251"/>
      <c r="AK764146" s="251"/>
    </row>
    <row r="764261" spans="25:37" x14ac:dyDescent="0.2">
      <c r="Y764261" s="5"/>
      <c r="AB764261" s="5"/>
      <c r="AE764261" s="5"/>
      <c r="AH764261" s="5"/>
      <c r="AK764261" s="5"/>
    </row>
    <row r="764271" spans="25:37" x14ac:dyDescent="0.2">
      <c r="Y764271" s="251"/>
      <c r="AB764271" s="251"/>
      <c r="AE764271" s="251"/>
      <c r="AH764271" s="251"/>
      <c r="AK764271" s="251"/>
    </row>
    <row r="764386" spans="25:37" x14ac:dyDescent="0.2">
      <c r="Y764386" s="5"/>
      <c r="AB764386" s="5"/>
      <c r="AE764386" s="5"/>
      <c r="AH764386" s="5"/>
      <c r="AK764386" s="5"/>
    </row>
    <row r="764396" spans="25:37" x14ac:dyDescent="0.2">
      <c r="Y764396" s="251"/>
      <c r="AB764396" s="251"/>
      <c r="AE764396" s="251"/>
      <c r="AH764396" s="251"/>
      <c r="AK764396" s="251"/>
    </row>
    <row r="764511" spans="25:37" x14ac:dyDescent="0.2">
      <c r="Y764511" s="5"/>
      <c r="AB764511" s="5"/>
      <c r="AE764511" s="5"/>
      <c r="AH764511" s="5"/>
      <c r="AK764511" s="5"/>
    </row>
    <row r="764521" spans="25:37" x14ac:dyDescent="0.2">
      <c r="Y764521" s="251"/>
      <c r="AB764521" s="251"/>
      <c r="AE764521" s="251"/>
      <c r="AH764521" s="251"/>
      <c r="AK764521" s="251"/>
    </row>
    <row r="764636" spans="25:37" x14ac:dyDescent="0.2">
      <c r="Y764636" s="5"/>
      <c r="AB764636" s="5"/>
      <c r="AE764636" s="5"/>
      <c r="AH764636" s="5"/>
      <c r="AK764636" s="5"/>
    </row>
    <row r="764646" spans="25:37" x14ac:dyDescent="0.2">
      <c r="Y764646" s="251"/>
      <c r="AB764646" s="251"/>
      <c r="AE764646" s="251"/>
      <c r="AH764646" s="251"/>
      <c r="AK764646" s="251"/>
    </row>
    <row r="764761" spans="25:37" x14ac:dyDescent="0.2">
      <c r="Y764761" s="5"/>
      <c r="AB764761" s="5"/>
      <c r="AE764761" s="5"/>
      <c r="AH764761" s="5"/>
      <c r="AK764761" s="5"/>
    </row>
    <row r="764771" spans="25:37" x14ac:dyDescent="0.2">
      <c r="Y764771" s="251"/>
      <c r="AB764771" s="251"/>
      <c r="AE764771" s="251"/>
      <c r="AH764771" s="251"/>
      <c r="AK764771" s="251"/>
    </row>
    <row r="764886" spans="25:37" x14ac:dyDescent="0.2">
      <c r="Y764886" s="5"/>
      <c r="AB764886" s="5"/>
      <c r="AE764886" s="5"/>
      <c r="AH764886" s="5"/>
      <c r="AK764886" s="5"/>
    </row>
    <row r="764896" spans="25:37" x14ac:dyDescent="0.2">
      <c r="Y764896" s="251"/>
      <c r="AB764896" s="251"/>
      <c r="AE764896" s="251"/>
      <c r="AH764896" s="251"/>
      <c r="AK764896" s="251"/>
    </row>
    <row r="765011" spans="25:37" x14ac:dyDescent="0.2">
      <c r="Y765011" s="5"/>
      <c r="AB765011" s="5"/>
      <c r="AE765011" s="5"/>
      <c r="AH765011" s="5"/>
      <c r="AK765011" s="5"/>
    </row>
    <row r="765021" spans="25:37" x14ac:dyDescent="0.2">
      <c r="Y765021" s="251"/>
      <c r="AB765021" s="251"/>
      <c r="AE765021" s="251"/>
      <c r="AH765021" s="251"/>
      <c r="AK765021" s="251"/>
    </row>
    <row r="765136" spans="25:37" x14ac:dyDescent="0.2">
      <c r="Y765136" s="5"/>
      <c r="AB765136" s="5"/>
      <c r="AE765136" s="5"/>
      <c r="AH765136" s="5"/>
      <c r="AK765136" s="5"/>
    </row>
    <row r="765146" spans="25:37" x14ac:dyDescent="0.2">
      <c r="Y765146" s="251"/>
      <c r="AB765146" s="251"/>
      <c r="AE765146" s="251"/>
      <c r="AH765146" s="251"/>
      <c r="AK765146" s="251"/>
    </row>
    <row r="765261" spans="25:37" x14ac:dyDescent="0.2">
      <c r="Y765261" s="5"/>
      <c r="AB765261" s="5"/>
      <c r="AE765261" s="5"/>
      <c r="AH765261" s="5"/>
      <c r="AK765261" s="5"/>
    </row>
    <row r="765271" spans="25:37" x14ac:dyDescent="0.2">
      <c r="Y765271" s="251"/>
      <c r="AB765271" s="251"/>
      <c r="AE765271" s="251"/>
      <c r="AH765271" s="251"/>
      <c r="AK765271" s="251"/>
    </row>
    <row r="765386" spans="25:37" x14ac:dyDescent="0.2">
      <c r="Y765386" s="5"/>
      <c r="AB765386" s="5"/>
      <c r="AE765386" s="5"/>
      <c r="AH765386" s="5"/>
      <c r="AK765386" s="5"/>
    </row>
    <row r="765396" spans="25:37" x14ac:dyDescent="0.2">
      <c r="Y765396" s="251"/>
      <c r="AB765396" s="251"/>
      <c r="AE765396" s="251"/>
      <c r="AH765396" s="251"/>
      <c r="AK765396" s="251"/>
    </row>
    <row r="765511" spans="25:37" x14ac:dyDescent="0.2">
      <c r="Y765511" s="5"/>
      <c r="AB765511" s="5"/>
      <c r="AE765511" s="5"/>
      <c r="AH765511" s="5"/>
      <c r="AK765511" s="5"/>
    </row>
    <row r="765521" spans="25:37" x14ac:dyDescent="0.2">
      <c r="Y765521" s="251"/>
      <c r="AB765521" s="251"/>
      <c r="AE765521" s="251"/>
      <c r="AH765521" s="251"/>
      <c r="AK765521" s="251"/>
    </row>
    <row r="765636" spans="25:37" x14ac:dyDescent="0.2">
      <c r="Y765636" s="5"/>
      <c r="AB765636" s="5"/>
      <c r="AE765636" s="5"/>
      <c r="AH765636" s="5"/>
      <c r="AK765636" s="5"/>
    </row>
    <row r="765646" spans="25:37" x14ac:dyDescent="0.2">
      <c r="Y765646" s="251"/>
      <c r="AB765646" s="251"/>
      <c r="AE765646" s="251"/>
      <c r="AH765646" s="251"/>
      <c r="AK765646" s="251"/>
    </row>
    <row r="765761" spans="25:37" x14ac:dyDescent="0.2">
      <c r="Y765761" s="5"/>
      <c r="AB765761" s="5"/>
      <c r="AE765761" s="5"/>
      <c r="AH765761" s="5"/>
      <c r="AK765761" s="5"/>
    </row>
    <row r="765771" spans="25:37" x14ac:dyDescent="0.2">
      <c r="Y765771" s="251"/>
      <c r="AB765771" s="251"/>
      <c r="AE765771" s="251"/>
      <c r="AH765771" s="251"/>
      <c r="AK765771" s="251"/>
    </row>
    <row r="765886" spans="25:37" x14ac:dyDescent="0.2">
      <c r="Y765886" s="5"/>
      <c r="AB765886" s="5"/>
      <c r="AE765886" s="5"/>
      <c r="AH765886" s="5"/>
      <c r="AK765886" s="5"/>
    </row>
    <row r="765896" spans="25:37" x14ac:dyDescent="0.2">
      <c r="Y765896" s="251"/>
      <c r="AB765896" s="251"/>
      <c r="AE765896" s="251"/>
      <c r="AH765896" s="251"/>
      <c r="AK765896" s="251"/>
    </row>
    <row r="766011" spans="25:37" x14ac:dyDescent="0.2">
      <c r="Y766011" s="5"/>
      <c r="AB766011" s="5"/>
      <c r="AE766011" s="5"/>
      <c r="AH766011" s="5"/>
      <c r="AK766011" s="5"/>
    </row>
    <row r="766021" spans="25:37" x14ac:dyDescent="0.2">
      <c r="Y766021" s="251"/>
      <c r="AB766021" s="251"/>
      <c r="AE766021" s="251"/>
      <c r="AH766021" s="251"/>
      <c r="AK766021" s="251"/>
    </row>
    <row r="766136" spans="25:37" x14ac:dyDescent="0.2">
      <c r="Y766136" s="5"/>
      <c r="AB766136" s="5"/>
      <c r="AE766136" s="5"/>
      <c r="AH766136" s="5"/>
      <c r="AK766136" s="5"/>
    </row>
    <row r="766146" spans="25:37" x14ac:dyDescent="0.2">
      <c r="Y766146" s="251"/>
      <c r="AB766146" s="251"/>
      <c r="AE766146" s="251"/>
      <c r="AH766146" s="251"/>
      <c r="AK766146" s="251"/>
    </row>
    <row r="766261" spans="25:37" x14ac:dyDescent="0.2">
      <c r="Y766261" s="5"/>
      <c r="AB766261" s="5"/>
      <c r="AE766261" s="5"/>
      <c r="AH766261" s="5"/>
      <c r="AK766261" s="5"/>
    </row>
    <row r="766271" spans="25:37" x14ac:dyDescent="0.2">
      <c r="Y766271" s="251"/>
      <c r="AB766271" s="251"/>
      <c r="AE766271" s="251"/>
      <c r="AH766271" s="251"/>
      <c r="AK766271" s="251"/>
    </row>
    <row r="766386" spans="25:37" x14ac:dyDescent="0.2">
      <c r="Y766386" s="5"/>
      <c r="AB766386" s="5"/>
      <c r="AE766386" s="5"/>
      <c r="AH766386" s="5"/>
      <c r="AK766386" s="5"/>
    </row>
    <row r="766396" spans="25:37" x14ac:dyDescent="0.2">
      <c r="Y766396" s="251"/>
      <c r="AB766396" s="251"/>
      <c r="AE766396" s="251"/>
      <c r="AH766396" s="251"/>
      <c r="AK766396" s="251"/>
    </row>
    <row r="766511" spans="25:37" x14ac:dyDescent="0.2">
      <c r="Y766511" s="5"/>
      <c r="AB766511" s="5"/>
      <c r="AE766511" s="5"/>
      <c r="AH766511" s="5"/>
      <c r="AK766511" s="5"/>
    </row>
    <row r="766521" spans="25:37" x14ac:dyDescent="0.2">
      <c r="Y766521" s="251"/>
      <c r="AB766521" s="251"/>
      <c r="AE766521" s="251"/>
      <c r="AH766521" s="251"/>
      <c r="AK766521" s="251"/>
    </row>
    <row r="766636" spans="25:37" x14ac:dyDescent="0.2">
      <c r="Y766636" s="5"/>
      <c r="AB766636" s="5"/>
      <c r="AE766636" s="5"/>
      <c r="AH766636" s="5"/>
      <c r="AK766636" s="5"/>
    </row>
    <row r="766646" spans="25:37" x14ac:dyDescent="0.2">
      <c r="Y766646" s="251"/>
      <c r="AB766646" s="251"/>
      <c r="AE766646" s="251"/>
      <c r="AH766646" s="251"/>
      <c r="AK766646" s="251"/>
    </row>
    <row r="766761" spans="25:37" x14ac:dyDescent="0.2">
      <c r="Y766761" s="5"/>
      <c r="AB766761" s="5"/>
      <c r="AE766761" s="5"/>
      <c r="AH766761" s="5"/>
      <c r="AK766761" s="5"/>
    </row>
    <row r="766771" spans="25:37" x14ac:dyDescent="0.2">
      <c r="Y766771" s="251"/>
      <c r="AB766771" s="251"/>
      <c r="AE766771" s="251"/>
      <c r="AH766771" s="251"/>
      <c r="AK766771" s="251"/>
    </row>
    <row r="766886" spans="25:37" x14ac:dyDescent="0.2">
      <c r="Y766886" s="5"/>
      <c r="AB766886" s="5"/>
      <c r="AE766886" s="5"/>
      <c r="AH766886" s="5"/>
      <c r="AK766886" s="5"/>
    </row>
    <row r="766896" spans="25:37" x14ac:dyDescent="0.2">
      <c r="Y766896" s="251"/>
      <c r="AB766896" s="251"/>
      <c r="AE766896" s="251"/>
      <c r="AH766896" s="251"/>
      <c r="AK766896" s="251"/>
    </row>
    <row r="767011" spans="25:37" x14ac:dyDescent="0.2">
      <c r="Y767011" s="5"/>
      <c r="AB767011" s="5"/>
      <c r="AE767011" s="5"/>
      <c r="AH767011" s="5"/>
      <c r="AK767011" s="5"/>
    </row>
    <row r="767021" spans="25:37" x14ac:dyDescent="0.2">
      <c r="Y767021" s="251"/>
      <c r="AB767021" s="251"/>
      <c r="AE767021" s="251"/>
      <c r="AH767021" s="251"/>
      <c r="AK767021" s="251"/>
    </row>
    <row r="767136" spans="25:37" x14ac:dyDescent="0.2">
      <c r="Y767136" s="5"/>
      <c r="AB767136" s="5"/>
      <c r="AE767136" s="5"/>
      <c r="AH767136" s="5"/>
      <c r="AK767136" s="5"/>
    </row>
    <row r="767146" spans="25:37" x14ac:dyDescent="0.2">
      <c r="Y767146" s="251"/>
      <c r="AB767146" s="251"/>
      <c r="AE767146" s="251"/>
      <c r="AH767146" s="251"/>
      <c r="AK767146" s="251"/>
    </row>
    <row r="767261" spans="25:37" x14ac:dyDescent="0.2">
      <c r="Y767261" s="5"/>
      <c r="AB767261" s="5"/>
      <c r="AE767261" s="5"/>
      <c r="AH767261" s="5"/>
      <c r="AK767261" s="5"/>
    </row>
    <row r="767271" spans="25:37" x14ac:dyDescent="0.2">
      <c r="Y767271" s="251"/>
      <c r="AB767271" s="251"/>
      <c r="AE767271" s="251"/>
      <c r="AH767271" s="251"/>
      <c r="AK767271" s="251"/>
    </row>
    <row r="767386" spans="25:37" x14ac:dyDescent="0.2">
      <c r="Y767386" s="5"/>
      <c r="AB767386" s="5"/>
      <c r="AE767386" s="5"/>
      <c r="AH767386" s="5"/>
      <c r="AK767386" s="5"/>
    </row>
    <row r="767396" spans="25:37" x14ac:dyDescent="0.2">
      <c r="Y767396" s="251"/>
      <c r="AB767396" s="251"/>
      <c r="AE767396" s="251"/>
      <c r="AH767396" s="251"/>
      <c r="AK767396" s="251"/>
    </row>
    <row r="767511" spans="25:37" x14ac:dyDescent="0.2">
      <c r="Y767511" s="5"/>
      <c r="AB767511" s="5"/>
      <c r="AE767511" s="5"/>
      <c r="AH767511" s="5"/>
      <c r="AK767511" s="5"/>
    </row>
    <row r="767521" spans="25:37" x14ac:dyDescent="0.2">
      <c r="Y767521" s="251"/>
      <c r="AB767521" s="251"/>
      <c r="AE767521" s="251"/>
      <c r="AH767521" s="251"/>
      <c r="AK767521" s="251"/>
    </row>
    <row r="767636" spans="25:37" x14ac:dyDescent="0.2">
      <c r="Y767636" s="5"/>
      <c r="AB767636" s="5"/>
      <c r="AE767636" s="5"/>
      <c r="AH767636" s="5"/>
      <c r="AK767636" s="5"/>
    </row>
    <row r="767646" spans="25:37" x14ac:dyDescent="0.2">
      <c r="Y767646" s="251"/>
      <c r="AB767646" s="251"/>
      <c r="AE767646" s="251"/>
      <c r="AH767646" s="251"/>
      <c r="AK767646" s="251"/>
    </row>
    <row r="767761" spans="25:37" x14ac:dyDescent="0.2">
      <c r="Y767761" s="5"/>
      <c r="AB767761" s="5"/>
      <c r="AE767761" s="5"/>
      <c r="AH767761" s="5"/>
      <c r="AK767761" s="5"/>
    </row>
    <row r="767771" spans="25:37" x14ac:dyDescent="0.2">
      <c r="Y767771" s="251"/>
      <c r="AB767771" s="251"/>
      <c r="AE767771" s="251"/>
      <c r="AH767771" s="251"/>
      <c r="AK767771" s="251"/>
    </row>
    <row r="767886" spans="25:37" x14ac:dyDescent="0.2">
      <c r="Y767886" s="5"/>
      <c r="AB767886" s="5"/>
      <c r="AE767886" s="5"/>
      <c r="AH767886" s="5"/>
      <c r="AK767886" s="5"/>
    </row>
    <row r="767896" spans="25:37" x14ac:dyDescent="0.2">
      <c r="Y767896" s="251"/>
      <c r="AB767896" s="251"/>
      <c r="AE767896" s="251"/>
      <c r="AH767896" s="251"/>
      <c r="AK767896" s="251"/>
    </row>
    <row r="768011" spans="25:37" x14ac:dyDescent="0.2">
      <c r="Y768011" s="5"/>
      <c r="AB768011" s="5"/>
      <c r="AE768011" s="5"/>
      <c r="AH768011" s="5"/>
      <c r="AK768011" s="5"/>
    </row>
    <row r="768021" spans="25:37" x14ac:dyDescent="0.2">
      <c r="Y768021" s="251"/>
      <c r="AB768021" s="251"/>
      <c r="AE768021" s="251"/>
      <c r="AH768021" s="251"/>
      <c r="AK768021" s="251"/>
    </row>
    <row r="768136" spans="25:37" x14ac:dyDescent="0.2">
      <c r="Y768136" s="5"/>
      <c r="AB768136" s="5"/>
      <c r="AE768136" s="5"/>
      <c r="AH768136" s="5"/>
      <c r="AK768136" s="5"/>
    </row>
    <row r="768146" spans="25:37" x14ac:dyDescent="0.2">
      <c r="Y768146" s="251"/>
      <c r="AB768146" s="251"/>
      <c r="AE768146" s="251"/>
      <c r="AH768146" s="251"/>
      <c r="AK768146" s="251"/>
    </row>
    <row r="768261" spans="25:37" x14ac:dyDescent="0.2">
      <c r="Y768261" s="5"/>
      <c r="AB768261" s="5"/>
      <c r="AE768261" s="5"/>
      <c r="AH768261" s="5"/>
      <c r="AK768261" s="5"/>
    </row>
    <row r="768271" spans="25:37" x14ac:dyDescent="0.2">
      <c r="Y768271" s="251"/>
      <c r="AB768271" s="251"/>
      <c r="AE768271" s="251"/>
      <c r="AH768271" s="251"/>
      <c r="AK768271" s="251"/>
    </row>
    <row r="768386" spans="25:37" x14ac:dyDescent="0.2">
      <c r="Y768386" s="5"/>
      <c r="AB768386" s="5"/>
      <c r="AE768386" s="5"/>
      <c r="AH768386" s="5"/>
      <c r="AK768386" s="5"/>
    </row>
    <row r="768396" spans="25:37" x14ac:dyDescent="0.2">
      <c r="Y768396" s="251"/>
      <c r="AB768396" s="251"/>
      <c r="AE768396" s="251"/>
      <c r="AH768396" s="251"/>
      <c r="AK768396" s="251"/>
    </row>
    <row r="768511" spans="25:37" x14ac:dyDescent="0.2">
      <c r="Y768511" s="5"/>
      <c r="AB768511" s="5"/>
      <c r="AE768511" s="5"/>
      <c r="AH768511" s="5"/>
      <c r="AK768511" s="5"/>
    </row>
    <row r="768521" spans="25:37" x14ac:dyDescent="0.2">
      <c r="Y768521" s="251"/>
      <c r="AB768521" s="251"/>
      <c r="AE768521" s="251"/>
      <c r="AH768521" s="251"/>
      <c r="AK768521" s="251"/>
    </row>
    <row r="768636" spans="25:37" x14ac:dyDescent="0.2">
      <c r="Y768636" s="5"/>
      <c r="AB768636" s="5"/>
      <c r="AE768636" s="5"/>
      <c r="AH768636" s="5"/>
      <c r="AK768636" s="5"/>
    </row>
    <row r="768646" spans="25:37" x14ac:dyDescent="0.2">
      <c r="Y768646" s="251"/>
      <c r="AB768646" s="251"/>
      <c r="AE768646" s="251"/>
      <c r="AH768646" s="251"/>
      <c r="AK768646" s="251"/>
    </row>
    <row r="768761" spans="25:37" x14ac:dyDescent="0.2">
      <c r="Y768761" s="5"/>
      <c r="AB768761" s="5"/>
      <c r="AE768761" s="5"/>
      <c r="AH768761" s="5"/>
      <c r="AK768761" s="5"/>
    </row>
    <row r="768771" spans="25:37" x14ac:dyDescent="0.2">
      <c r="Y768771" s="251"/>
      <c r="AB768771" s="251"/>
      <c r="AE768771" s="251"/>
      <c r="AH768771" s="251"/>
      <c r="AK768771" s="251"/>
    </row>
    <row r="768886" spans="25:37" x14ac:dyDescent="0.2">
      <c r="Y768886" s="5"/>
      <c r="AB768886" s="5"/>
      <c r="AE768886" s="5"/>
      <c r="AH768886" s="5"/>
      <c r="AK768886" s="5"/>
    </row>
    <row r="768896" spans="25:37" x14ac:dyDescent="0.2">
      <c r="Y768896" s="251"/>
      <c r="AB768896" s="251"/>
      <c r="AE768896" s="251"/>
      <c r="AH768896" s="251"/>
      <c r="AK768896" s="251"/>
    </row>
    <row r="769011" spans="25:37" x14ac:dyDescent="0.2">
      <c r="Y769011" s="5"/>
      <c r="AB769011" s="5"/>
      <c r="AE769011" s="5"/>
      <c r="AH769011" s="5"/>
      <c r="AK769011" s="5"/>
    </row>
    <row r="769021" spans="25:37" x14ac:dyDescent="0.2">
      <c r="Y769021" s="251"/>
      <c r="AB769021" s="251"/>
      <c r="AE769021" s="251"/>
      <c r="AH769021" s="251"/>
      <c r="AK769021" s="251"/>
    </row>
    <row r="769136" spans="25:37" x14ac:dyDescent="0.2">
      <c r="Y769136" s="5"/>
      <c r="AB769136" s="5"/>
      <c r="AE769136" s="5"/>
      <c r="AH769136" s="5"/>
      <c r="AK769136" s="5"/>
    </row>
    <row r="769146" spans="25:37" x14ac:dyDescent="0.2">
      <c r="Y769146" s="251"/>
      <c r="AB769146" s="251"/>
      <c r="AE769146" s="251"/>
      <c r="AH769146" s="251"/>
      <c r="AK769146" s="251"/>
    </row>
    <row r="769261" spans="25:37" x14ac:dyDescent="0.2">
      <c r="Y769261" s="5"/>
      <c r="AB769261" s="5"/>
      <c r="AE769261" s="5"/>
      <c r="AH769261" s="5"/>
      <c r="AK769261" s="5"/>
    </row>
    <row r="769271" spans="25:37" x14ac:dyDescent="0.2">
      <c r="Y769271" s="251"/>
      <c r="AB769271" s="251"/>
      <c r="AE769271" s="251"/>
      <c r="AH769271" s="251"/>
      <c r="AK769271" s="251"/>
    </row>
    <row r="769386" spans="25:37" x14ac:dyDescent="0.2">
      <c r="Y769386" s="5"/>
      <c r="AB769386" s="5"/>
      <c r="AE769386" s="5"/>
      <c r="AH769386" s="5"/>
      <c r="AK769386" s="5"/>
    </row>
    <row r="769396" spans="25:37" x14ac:dyDescent="0.2">
      <c r="Y769396" s="251"/>
      <c r="AB769396" s="251"/>
      <c r="AE769396" s="251"/>
      <c r="AH769396" s="251"/>
      <c r="AK769396" s="251"/>
    </row>
    <row r="769511" spans="25:37" x14ac:dyDescent="0.2">
      <c r="Y769511" s="5"/>
      <c r="AB769511" s="5"/>
      <c r="AE769511" s="5"/>
      <c r="AH769511" s="5"/>
      <c r="AK769511" s="5"/>
    </row>
    <row r="769521" spans="25:37" x14ac:dyDescent="0.2">
      <c r="Y769521" s="251"/>
      <c r="AB769521" s="251"/>
      <c r="AE769521" s="251"/>
      <c r="AH769521" s="251"/>
      <c r="AK769521" s="251"/>
    </row>
    <row r="769636" spans="25:37" x14ac:dyDescent="0.2">
      <c r="Y769636" s="5"/>
      <c r="AB769636" s="5"/>
      <c r="AE769636" s="5"/>
      <c r="AH769636" s="5"/>
      <c r="AK769636" s="5"/>
    </row>
    <row r="769646" spans="25:37" x14ac:dyDescent="0.2">
      <c r="Y769646" s="251"/>
      <c r="AB769646" s="251"/>
      <c r="AE769646" s="251"/>
      <c r="AH769646" s="251"/>
      <c r="AK769646" s="251"/>
    </row>
    <row r="769761" spans="25:37" x14ac:dyDescent="0.2">
      <c r="Y769761" s="5"/>
      <c r="AB769761" s="5"/>
      <c r="AE769761" s="5"/>
      <c r="AH769761" s="5"/>
      <c r="AK769761" s="5"/>
    </row>
    <row r="769771" spans="25:37" x14ac:dyDescent="0.2">
      <c r="Y769771" s="251"/>
      <c r="AB769771" s="251"/>
      <c r="AE769771" s="251"/>
      <c r="AH769771" s="251"/>
      <c r="AK769771" s="251"/>
    </row>
    <row r="769886" spans="25:37" x14ac:dyDescent="0.2">
      <c r="Y769886" s="5"/>
      <c r="AB769886" s="5"/>
      <c r="AE769886" s="5"/>
      <c r="AH769886" s="5"/>
      <c r="AK769886" s="5"/>
    </row>
    <row r="769896" spans="25:37" x14ac:dyDescent="0.2">
      <c r="Y769896" s="251"/>
      <c r="AB769896" s="251"/>
      <c r="AE769896" s="251"/>
      <c r="AH769896" s="251"/>
      <c r="AK769896" s="251"/>
    </row>
    <row r="770011" spans="25:37" x14ac:dyDescent="0.2">
      <c r="Y770011" s="5"/>
      <c r="AB770011" s="5"/>
      <c r="AE770011" s="5"/>
      <c r="AH770011" s="5"/>
      <c r="AK770011" s="5"/>
    </row>
    <row r="770021" spans="25:37" x14ac:dyDescent="0.2">
      <c r="Y770021" s="251"/>
      <c r="AB770021" s="251"/>
      <c r="AE770021" s="251"/>
      <c r="AH770021" s="251"/>
      <c r="AK770021" s="251"/>
    </row>
    <row r="770136" spans="25:37" x14ac:dyDescent="0.2">
      <c r="Y770136" s="5"/>
      <c r="AB770136" s="5"/>
      <c r="AE770136" s="5"/>
      <c r="AH770136" s="5"/>
      <c r="AK770136" s="5"/>
    </row>
    <row r="770146" spans="25:37" x14ac:dyDescent="0.2">
      <c r="Y770146" s="251"/>
      <c r="AB770146" s="251"/>
      <c r="AE770146" s="251"/>
      <c r="AH770146" s="251"/>
      <c r="AK770146" s="251"/>
    </row>
    <row r="770261" spans="25:37" x14ac:dyDescent="0.2">
      <c r="Y770261" s="5"/>
      <c r="AB770261" s="5"/>
      <c r="AE770261" s="5"/>
      <c r="AH770261" s="5"/>
      <c r="AK770261" s="5"/>
    </row>
    <row r="770271" spans="25:37" x14ac:dyDescent="0.2">
      <c r="Y770271" s="251"/>
      <c r="AB770271" s="251"/>
      <c r="AE770271" s="251"/>
      <c r="AH770271" s="251"/>
      <c r="AK770271" s="251"/>
    </row>
    <row r="770386" spans="25:37" x14ac:dyDescent="0.2">
      <c r="Y770386" s="5"/>
      <c r="AB770386" s="5"/>
      <c r="AE770386" s="5"/>
      <c r="AH770386" s="5"/>
      <c r="AK770386" s="5"/>
    </row>
    <row r="770396" spans="25:37" x14ac:dyDescent="0.2">
      <c r="Y770396" s="251"/>
      <c r="AB770396" s="251"/>
      <c r="AE770396" s="251"/>
      <c r="AH770396" s="251"/>
      <c r="AK770396" s="251"/>
    </row>
    <row r="770511" spans="25:37" x14ac:dyDescent="0.2">
      <c r="Y770511" s="5"/>
      <c r="AB770511" s="5"/>
      <c r="AE770511" s="5"/>
      <c r="AH770511" s="5"/>
      <c r="AK770511" s="5"/>
    </row>
    <row r="770521" spans="25:37" x14ac:dyDescent="0.2">
      <c r="Y770521" s="251"/>
      <c r="AB770521" s="251"/>
      <c r="AE770521" s="251"/>
      <c r="AH770521" s="251"/>
      <c r="AK770521" s="251"/>
    </row>
    <row r="770636" spans="25:37" x14ac:dyDescent="0.2">
      <c r="Y770636" s="5"/>
      <c r="AB770636" s="5"/>
      <c r="AE770636" s="5"/>
      <c r="AH770636" s="5"/>
      <c r="AK770636" s="5"/>
    </row>
    <row r="770646" spans="25:37" x14ac:dyDescent="0.2">
      <c r="Y770646" s="251"/>
      <c r="AB770646" s="251"/>
      <c r="AE770646" s="251"/>
      <c r="AH770646" s="251"/>
      <c r="AK770646" s="251"/>
    </row>
    <row r="770761" spans="25:37" x14ac:dyDescent="0.2">
      <c r="Y770761" s="5"/>
      <c r="AB770761" s="5"/>
      <c r="AE770761" s="5"/>
      <c r="AH770761" s="5"/>
      <c r="AK770761" s="5"/>
    </row>
    <row r="770771" spans="25:37" x14ac:dyDescent="0.2">
      <c r="Y770771" s="251"/>
      <c r="AB770771" s="251"/>
      <c r="AE770771" s="251"/>
      <c r="AH770771" s="251"/>
      <c r="AK770771" s="251"/>
    </row>
    <row r="770886" spans="25:37" x14ac:dyDescent="0.2">
      <c r="Y770886" s="5"/>
      <c r="AB770886" s="5"/>
      <c r="AE770886" s="5"/>
      <c r="AH770886" s="5"/>
      <c r="AK770886" s="5"/>
    </row>
    <row r="770896" spans="25:37" x14ac:dyDescent="0.2">
      <c r="Y770896" s="251"/>
      <c r="AB770896" s="251"/>
      <c r="AE770896" s="251"/>
      <c r="AH770896" s="251"/>
      <c r="AK770896" s="251"/>
    </row>
    <row r="771011" spans="25:37" x14ac:dyDescent="0.2">
      <c r="Y771011" s="5"/>
      <c r="AB771011" s="5"/>
      <c r="AE771011" s="5"/>
      <c r="AH771011" s="5"/>
      <c r="AK771011" s="5"/>
    </row>
    <row r="771021" spans="25:37" x14ac:dyDescent="0.2">
      <c r="Y771021" s="251"/>
      <c r="AB771021" s="251"/>
      <c r="AE771021" s="251"/>
      <c r="AH771021" s="251"/>
      <c r="AK771021" s="251"/>
    </row>
    <row r="771136" spans="25:37" x14ac:dyDescent="0.2">
      <c r="Y771136" s="5"/>
      <c r="AB771136" s="5"/>
      <c r="AE771136" s="5"/>
      <c r="AH771136" s="5"/>
      <c r="AK771136" s="5"/>
    </row>
    <row r="771146" spans="25:37" x14ac:dyDescent="0.2">
      <c r="Y771146" s="251"/>
      <c r="AB771146" s="251"/>
      <c r="AE771146" s="251"/>
      <c r="AH771146" s="251"/>
      <c r="AK771146" s="251"/>
    </row>
    <row r="771261" spans="25:37" x14ac:dyDescent="0.2">
      <c r="Y771261" s="5"/>
      <c r="AB771261" s="5"/>
      <c r="AE771261" s="5"/>
      <c r="AH771261" s="5"/>
      <c r="AK771261" s="5"/>
    </row>
    <row r="771271" spans="25:37" x14ac:dyDescent="0.2">
      <c r="Y771271" s="251"/>
      <c r="AB771271" s="251"/>
      <c r="AE771271" s="251"/>
      <c r="AH771271" s="251"/>
      <c r="AK771271" s="251"/>
    </row>
    <row r="771386" spans="25:37" x14ac:dyDescent="0.2">
      <c r="Y771386" s="5"/>
      <c r="AB771386" s="5"/>
      <c r="AE771386" s="5"/>
      <c r="AH771386" s="5"/>
      <c r="AK771386" s="5"/>
    </row>
    <row r="771396" spans="25:37" x14ac:dyDescent="0.2">
      <c r="Y771396" s="251"/>
      <c r="AB771396" s="251"/>
      <c r="AE771396" s="251"/>
      <c r="AH771396" s="251"/>
      <c r="AK771396" s="251"/>
    </row>
    <row r="771511" spans="25:37" x14ac:dyDescent="0.2">
      <c r="Y771511" s="5"/>
      <c r="AB771511" s="5"/>
      <c r="AE771511" s="5"/>
      <c r="AH771511" s="5"/>
      <c r="AK771511" s="5"/>
    </row>
    <row r="771521" spans="25:37" x14ac:dyDescent="0.2">
      <c r="Y771521" s="251"/>
      <c r="AB771521" s="251"/>
      <c r="AE771521" s="251"/>
      <c r="AH771521" s="251"/>
      <c r="AK771521" s="251"/>
    </row>
    <row r="771636" spans="25:37" x14ac:dyDescent="0.2">
      <c r="Y771636" s="5"/>
      <c r="AB771636" s="5"/>
      <c r="AE771636" s="5"/>
      <c r="AH771636" s="5"/>
      <c r="AK771636" s="5"/>
    </row>
    <row r="771646" spans="25:37" x14ac:dyDescent="0.2">
      <c r="Y771646" s="251"/>
      <c r="AB771646" s="251"/>
      <c r="AE771646" s="251"/>
      <c r="AH771646" s="251"/>
      <c r="AK771646" s="251"/>
    </row>
    <row r="771761" spans="25:37" x14ac:dyDescent="0.2">
      <c r="Y771761" s="5"/>
      <c r="AB771761" s="5"/>
      <c r="AE771761" s="5"/>
      <c r="AH771761" s="5"/>
      <c r="AK771761" s="5"/>
    </row>
    <row r="771771" spans="25:37" x14ac:dyDescent="0.2">
      <c r="Y771771" s="251"/>
      <c r="AB771771" s="251"/>
      <c r="AE771771" s="251"/>
      <c r="AH771771" s="251"/>
      <c r="AK771771" s="251"/>
    </row>
    <row r="771886" spans="25:37" x14ac:dyDescent="0.2">
      <c r="Y771886" s="5"/>
      <c r="AB771886" s="5"/>
      <c r="AE771886" s="5"/>
      <c r="AH771886" s="5"/>
      <c r="AK771886" s="5"/>
    </row>
    <row r="771896" spans="25:37" x14ac:dyDescent="0.2">
      <c r="Y771896" s="251"/>
      <c r="AB771896" s="251"/>
      <c r="AE771896" s="251"/>
      <c r="AH771896" s="251"/>
      <c r="AK771896" s="251"/>
    </row>
    <row r="772011" spans="25:37" x14ac:dyDescent="0.2">
      <c r="Y772011" s="5"/>
      <c r="AB772011" s="5"/>
      <c r="AE772011" s="5"/>
      <c r="AH772011" s="5"/>
      <c r="AK772011" s="5"/>
    </row>
    <row r="772021" spans="25:37" x14ac:dyDescent="0.2">
      <c r="Y772021" s="251"/>
      <c r="AB772021" s="251"/>
      <c r="AE772021" s="251"/>
      <c r="AH772021" s="251"/>
      <c r="AK772021" s="251"/>
    </row>
    <row r="772136" spans="25:37" x14ac:dyDescent="0.2">
      <c r="Y772136" s="5"/>
      <c r="AB772136" s="5"/>
      <c r="AE772136" s="5"/>
      <c r="AH772136" s="5"/>
      <c r="AK772136" s="5"/>
    </row>
    <row r="772146" spans="25:37" x14ac:dyDescent="0.2">
      <c r="Y772146" s="251"/>
      <c r="AB772146" s="251"/>
      <c r="AE772146" s="251"/>
      <c r="AH772146" s="251"/>
      <c r="AK772146" s="251"/>
    </row>
    <row r="772261" spans="25:37" x14ac:dyDescent="0.2">
      <c r="Y772261" s="5"/>
      <c r="AB772261" s="5"/>
      <c r="AE772261" s="5"/>
      <c r="AH772261" s="5"/>
      <c r="AK772261" s="5"/>
    </row>
    <row r="772271" spans="25:37" x14ac:dyDescent="0.2">
      <c r="Y772271" s="251"/>
      <c r="AB772271" s="251"/>
      <c r="AE772271" s="251"/>
      <c r="AH772271" s="251"/>
      <c r="AK772271" s="251"/>
    </row>
    <row r="772386" spans="25:37" x14ac:dyDescent="0.2">
      <c r="Y772386" s="5"/>
      <c r="AB772386" s="5"/>
      <c r="AE772386" s="5"/>
      <c r="AH772386" s="5"/>
      <c r="AK772386" s="5"/>
    </row>
    <row r="772396" spans="25:37" x14ac:dyDescent="0.2">
      <c r="Y772396" s="251"/>
      <c r="AB772396" s="251"/>
      <c r="AE772396" s="251"/>
      <c r="AH772396" s="251"/>
      <c r="AK772396" s="251"/>
    </row>
    <row r="772511" spans="25:37" x14ac:dyDescent="0.2">
      <c r="Y772511" s="5"/>
      <c r="AB772511" s="5"/>
      <c r="AE772511" s="5"/>
      <c r="AH772511" s="5"/>
      <c r="AK772511" s="5"/>
    </row>
    <row r="772521" spans="25:37" x14ac:dyDescent="0.2">
      <c r="Y772521" s="251"/>
      <c r="AB772521" s="251"/>
      <c r="AE772521" s="251"/>
      <c r="AH772521" s="251"/>
      <c r="AK772521" s="251"/>
    </row>
    <row r="772636" spans="25:37" x14ac:dyDescent="0.2">
      <c r="Y772636" s="5"/>
      <c r="AB772636" s="5"/>
      <c r="AE772636" s="5"/>
      <c r="AH772636" s="5"/>
      <c r="AK772636" s="5"/>
    </row>
    <row r="772646" spans="25:37" x14ac:dyDescent="0.2">
      <c r="Y772646" s="251"/>
      <c r="AB772646" s="251"/>
      <c r="AE772646" s="251"/>
      <c r="AH772646" s="251"/>
      <c r="AK772646" s="251"/>
    </row>
    <row r="772761" spans="25:37" x14ac:dyDescent="0.2">
      <c r="Y772761" s="5"/>
      <c r="AB772761" s="5"/>
      <c r="AE772761" s="5"/>
      <c r="AH772761" s="5"/>
      <c r="AK772761" s="5"/>
    </row>
    <row r="772771" spans="25:37" x14ac:dyDescent="0.2">
      <c r="Y772771" s="251"/>
      <c r="AB772771" s="251"/>
      <c r="AE772771" s="251"/>
      <c r="AH772771" s="251"/>
      <c r="AK772771" s="251"/>
    </row>
    <row r="772886" spans="25:37" x14ac:dyDescent="0.2">
      <c r="Y772886" s="5"/>
      <c r="AB772886" s="5"/>
      <c r="AE772886" s="5"/>
      <c r="AH772886" s="5"/>
      <c r="AK772886" s="5"/>
    </row>
    <row r="772896" spans="25:37" x14ac:dyDescent="0.2">
      <c r="Y772896" s="251"/>
      <c r="AB772896" s="251"/>
      <c r="AE772896" s="251"/>
      <c r="AH772896" s="251"/>
      <c r="AK772896" s="251"/>
    </row>
    <row r="773011" spans="25:37" x14ac:dyDescent="0.2">
      <c r="Y773011" s="5"/>
      <c r="AB773011" s="5"/>
      <c r="AE773011" s="5"/>
      <c r="AH773011" s="5"/>
      <c r="AK773011" s="5"/>
    </row>
    <row r="773021" spans="25:37" x14ac:dyDescent="0.2">
      <c r="Y773021" s="251"/>
      <c r="AB773021" s="251"/>
      <c r="AE773021" s="251"/>
      <c r="AH773021" s="251"/>
      <c r="AK773021" s="251"/>
    </row>
    <row r="773136" spans="25:37" x14ac:dyDescent="0.2">
      <c r="Y773136" s="5"/>
      <c r="AB773136" s="5"/>
      <c r="AE773136" s="5"/>
      <c r="AH773136" s="5"/>
      <c r="AK773136" s="5"/>
    </row>
    <row r="773146" spans="25:37" x14ac:dyDescent="0.2">
      <c r="Y773146" s="251"/>
      <c r="AB773146" s="251"/>
      <c r="AE773146" s="251"/>
      <c r="AH773146" s="251"/>
      <c r="AK773146" s="251"/>
    </row>
    <row r="773261" spans="25:37" x14ac:dyDescent="0.2">
      <c r="Y773261" s="5"/>
      <c r="AB773261" s="5"/>
      <c r="AE773261" s="5"/>
      <c r="AH773261" s="5"/>
      <c r="AK773261" s="5"/>
    </row>
    <row r="773271" spans="25:37" x14ac:dyDescent="0.2">
      <c r="Y773271" s="251"/>
      <c r="AB773271" s="251"/>
      <c r="AE773271" s="251"/>
      <c r="AH773271" s="251"/>
      <c r="AK773271" s="251"/>
    </row>
    <row r="773386" spans="25:37" x14ac:dyDescent="0.2">
      <c r="Y773386" s="5"/>
      <c r="AB773386" s="5"/>
      <c r="AE773386" s="5"/>
      <c r="AH773386" s="5"/>
      <c r="AK773386" s="5"/>
    </row>
    <row r="773396" spans="25:37" x14ac:dyDescent="0.2">
      <c r="Y773396" s="251"/>
      <c r="AB773396" s="251"/>
      <c r="AE773396" s="251"/>
      <c r="AH773396" s="251"/>
      <c r="AK773396" s="251"/>
    </row>
    <row r="773511" spans="25:37" x14ac:dyDescent="0.2">
      <c r="Y773511" s="5"/>
      <c r="AB773511" s="5"/>
      <c r="AE773511" s="5"/>
      <c r="AH773511" s="5"/>
      <c r="AK773511" s="5"/>
    </row>
    <row r="773521" spans="25:37" x14ac:dyDescent="0.2">
      <c r="Y773521" s="251"/>
      <c r="AB773521" s="251"/>
      <c r="AE773521" s="251"/>
      <c r="AH773521" s="251"/>
      <c r="AK773521" s="251"/>
    </row>
    <row r="773636" spans="25:37" x14ac:dyDescent="0.2">
      <c r="Y773636" s="5"/>
      <c r="AB773636" s="5"/>
      <c r="AE773636" s="5"/>
      <c r="AH773636" s="5"/>
      <c r="AK773636" s="5"/>
    </row>
    <row r="773646" spans="25:37" x14ac:dyDescent="0.2">
      <c r="Y773646" s="251"/>
      <c r="AB773646" s="251"/>
      <c r="AE773646" s="251"/>
      <c r="AH773646" s="251"/>
      <c r="AK773646" s="251"/>
    </row>
    <row r="773761" spans="25:37" x14ac:dyDescent="0.2">
      <c r="Y773761" s="5"/>
      <c r="AB773761" s="5"/>
      <c r="AE773761" s="5"/>
      <c r="AH773761" s="5"/>
      <c r="AK773761" s="5"/>
    </row>
    <row r="773771" spans="25:37" x14ac:dyDescent="0.2">
      <c r="Y773771" s="251"/>
      <c r="AB773771" s="251"/>
      <c r="AE773771" s="251"/>
      <c r="AH773771" s="251"/>
      <c r="AK773771" s="251"/>
    </row>
    <row r="773886" spans="25:37" x14ac:dyDescent="0.2">
      <c r="Y773886" s="5"/>
      <c r="AB773886" s="5"/>
      <c r="AE773886" s="5"/>
      <c r="AH773886" s="5"/>
      <c r="AK773886" s="5"/>
    </row>
    <row r="773896" spans="25:37" x14ac:dyDescent="0.2">
      <c r="Y773896" s="251"/>
      <c r="AB773896" s="251"/>
      <c r="AE773896" s="251"/>
      <c r="AH773896" s="251"/>
      <c r="AK773896" s="251"/>
    </row>
    <row r="774011" spans="25:37" x14ac:dyDescent="0.2">
      <c r="Y774011" s="5"/>
      <c r="AB774011" s="5"/>
      <c r="AE774011" s="5"/>
      <c r="AH774011" s="5"/>
      <c r="AK774011" s="5"/>
    </row>
    <row r="774021" spans="25:37" x14ac:dyDescent="0.2">
      <c r="Y774021" s="251"/>
      <c r="AB774021" s="251"/>
      <c r="AE774021" s="251"/>
      <c r="AH774021" s="251"/>
      <c r="AK774021" s="251"/>
    </row>
    <row r="774136" spans="25:37" x14ac:dyDescent="0.2">
      <c r="Y774136" s="5"/>
      <c r="AB774136" s="5"/>
      <c r="AE774136" s="5"/>
      <c r="AH774136" s="5"/>
      <c r="AK774136" s="5"/>
    </row>
    <row r="774146" spans="25:37" x14ac:dyDescent="0.2">
      <c r="Y774146" s="251"/>
      <c r="AB774146" s="251"/>
      <c r="AE774146" s="251"/>
      <c r="AH774146" s="251"/>
      <c r="AK774146" s="251"/>
    </row>
    <row r="774261" spans="25:37" x14ac:dyDescent="0.2">
      <c r="Y774261" s="5"/>
      <c r="AB774261" s="5"/>
      <c r="AE774261" s="5"/>
      <c r="AH774261" s="5"/>
      <c r="AK774261" s="5"/>
    </row>
    <row r="774271" spans="25:37" x14ac:dyDescent="0.2">
      <c r="Y774271" s="251"/>
      <c r="AB774271" s="251"/>
      <c r="AE774271" s="251"/>
      <c r="AH774271" s="251"/>
      <c r="AK774271" s="251"/>
    </row>
    <row r="774386" spans="25:37" x14ac:dyDescent="0.2">
      <c r="Y774386" s="5"/>
      <c r="AB774386" s="5"/>
      <c r="AE774386" s="5"/>
      <c r="AH774386" s="5"/>
      <c r="AK774386" s="5"/>
    </row>
    <row r="774396" spans="25:37" x14ac:dyDescent="0.2">
      <c r="Y774396" s="251"/>
      <c r="AB774396" s="251"/>
      <c r="AE774396" s="251"/>
      <c r="AH774396" s="251"/>
      <c r="AK774396" s="251"/>
    </row>
    <row r="774511" spans="25:37" x14ac:dyDescent="0.2">
      <c r="Y774511" s="5"/>
      <c r="AB774511" s="5"/>
      <c r="AE774511" s="5"/>
      <c r="AH774511" s="5"/>
      <c r="AK774511" s="5"/>
    </row>
    <row r="774521" spans="25:37" x14ac:dyDescent="0.2">
      <c r="Y774521" s="251"/>
      <c r="AB774521" s="251"/>
      <c r="AE774521" s="251"/>
      <c r="AH774521" s="251"/>
      <c r="AK774521" s="251"/>
    </row>
    <row r="774636" spans="25:37" x14ac:dyDescent="0.2">
      <c r="Y774636" s="5"/>
      <c r="AB774636" s="5"/>
      <c r="AE774636" s="5"/>
      <c r="AH774636" s="5"/>
      <c r="AK774636" s="5"/>
    </row>
    <row r="774646" spans="25:37" x14ac:dyDescent="0.2">
      <c r="Y774646" s="251"/>
      <c r="AB774646" s="251"/>
      <c r="AE774646" s="251"/>
      <c r="AH774646" s="251"/>
      <c r="AK774646" s="251"/>
    </row>
    <row r="774761" spans="25:37" x14ac:dyDescent="0.2">
      <c r="Y774761" s="5"/>
      <c r="AB774761" s="5"/>
      <c r="AE774761" s="5"/>
      <c r="AH774761" s="5"/>
      <c r="AK774761" s="5"/>
    </row>
    <row r="774771" spans="25:37" x14ac:dyDescent="0.2">
      <c r="Y774771" s="251"/>
      <c r="AB774771" s="251"/>
      <c r="AE774771" s="251"/>
      <c r="AH774771" s="251"/>
      <c r="AK774771" s="251"/>
    </row>
    <row r="774886" spans="25:37" x14ac:dyDescent="0.2">
      <c r="Y774886" s="5"/>
      <c r="AB774886" s="5"/>
      <c r="AE774886" s="5"/>
      <c r="AH774886" s="5"/>
      <c r="AK774886" s="5"/>
    </row>
    <row r="774896" spans="25:37" x14ac:dyDescent="0.2">
      <c r="Y774896" s="251"/>
      <c r="AB774896" s="251"/>
      <c r="AE774896" s="251"/>
      <c r="AH774896" s="251"/>
      <c r="AK774896" s="251"/>
    </row>
    <row r="775011" spans="25:37" x14ac:dyDescent="0.2">
      <c r="Y775011" s="5"/>
      <c r="AB775011" s="5"/>
      <c r="AE775011" s="5"/>
      <c r="AH775011" s="5"/>
      <c r="AK775011" s="5"/>
    </row>
    <row r="775021" spans="25:37" x14ac:dyDescent="0.2">
      <c r="Y775021" s="251"/>
      <c r="AB775021" s="251"/>
      <c r="AE775021" s="251"/>
      <c r="AH775021" s="251"/>
      <c r="AK775021" s="251"/>
    </row>
    <row r="775136" spans="25:37" x14ac:dyDescent="0.2">
      <c r="Y775136" s="5"/>
      <c r="AB775136" s="5"/>
      <c r="AE775136" s="5"/>
      <c r="AH775136" s="5"/>
      <c r="AK775136" s="5"/>
    </row>
    <row r="775146" spans="25:37" x14ac:dyDescent="0.2">
      <c r="Y775146" s="251"/>
      <c r="AB775146" s="251"/>
      <c r="AE775146" s="251"/>
      <c r="AH775146" s="251"/>
      <c r="AK775146" s="251"/>
    </row>
    <row r="775261" spans="25:37" x14ac:dyDescent="0.2">
      <c r="Y775261" s="5"/>
      <c r="AB775261" s="5"/>
      <c r="AE775261" s="5"/>
      <c r="AH775261" s="5"/>
      <c r="AK775261" s="5"/>
    </row>
    <row r="775271" spans="25:37" x14ac:dyDescent="0.2">
      <c r="Y775271" s="251"/>
      <c r="AB775271" s="251"/>
      <c r="AE775271" s="251"/>
      <c r="AH775271" s="251"/>
      <c r="AK775271" s="251"/>
    </row>
    <row r="775386" spans="25:37" x14ac:dyDescent="0.2">
      <c r="Y775386" s="5"/>
      <c r="AB775386" s="5"/>
      <c r="AE775386" s="5"/>
      <c r="AH775386" s="5"/>
      <c r="AK775386" s="5"/>
    </row>
    <row r="775396" spans="25:37" x14ac:dyDescent="0.2">
      <c r="Y775396" s="251"/>
      <c r="AB775396" s="251"/>
      <c r="AE775396" s="251"/>
      <c r="AH775396" s="251"/>
      <c r="AK775396" s="251"/>
    </row>
    <row r="775511" spans="25:37" x14ac:dyDescent="0.2">
      <c r="Y775511" s="5"/>
      <c r="AB775511" s="5"/>
      <c r="AE775511" s="5"/>
      <c r="AH775511" s="5"/>
      <c r="AK775511" s="5"/>
    </row>
    <row r="775521" spans="25:37" x14ac:dyDescent="0.2">
      <c r="Y775521" s="251"/>
      <c r="AB775521" s="251"/>
      <c r="AE775521" s="251"/>
      <c r="AH775521" s="251"/>
      <c r="AK775521" s="251"/>
    </row>
    <row r="775636" spans="25:37" x14ac:dyDescent="0.2">
      <c r="Y775636" s="5"/>
      <c r="AB775636" s="5"/>
      <c r="AE775636" s="5"/>
      <c r="AH775636" s="5"/>
      <c r="AK775636" s="5"/>
    </row>
    <row r="775646" spans="25:37" x14ac:dyDescent="0.2">
      <c r="Y775646" s="251"/>
      <c r="AB775646" s="251"/>
      <c r="AE775646" s="251"/>
      <c r="AH775646" s="251"/>
      <c r="AK775646" s="251"/>
    </row>
    <row r="775761" spans="25:37" x14ac:dyDescent="0.2">
      <c r="Y775761" s="5"/>
      <c r="AB775761" s="5"/>
      <c r="AE775761" s="5"/>
      <c r="AH775761" s="5"/>
      <c r="AK775761" s="5"/>
    </row>
    <row r="775771" spans="25:37" x14ac:dyDescent="0.2">
      <c r="Y775771" s="251"/>
      <c r="AB775771" s="251"/>
      <c r="AE775771" s="251"/>
      <c r="AH775771" s="251"/>
      <c r="AK775771" s="251"/>
    </row>
    <row r="775886" spans="25:37" x14ac:dyDescent="0.2">
      <c r="Y775886" s="5"/>
      <c r="AB775886" s="5"/>
      <c r="AE775886" s="5"/>
      <c r="AH775886" s="5"/>
      <c r="AK775886" s="5"/>
    </row>
    <row r="775896" spans="25:37" x14ac:dyDescent="0.2">
      <c r="Y775896" s="251"/>
      <c r="AB775896" s="251"/>
      <c r="AE775896" s="251"/>
      <c r="AH775896" s="251"/>
      <c r="AK775896" s="251"/>
    </row>
    <row r="776011" spans="25:37" x14ac:dyDescent="0.2">
      <c r="Y776011" s="5"/>
      <c r="AB776011" s="5"/>
      <c r="AE776011" s="5"/>
      <c r="AH776011" s="5"/>
      <c r="AK776011" s="5"/>
    </row>
    <row r="776021" spans="25:37" x14ac:dyDescent="0.2">
      <c r="Y776021" s="251"/>
      <c r="AB776021" s="251"/>
      <c r="AE776021" s="251"/>
      <c r="AH776021" s="251"/>
      <c r="AK776021" s="251"/>
    </row>
    <row r="776136" spans="25:37" x14ac:dyDescent="0.2">
      <c r="Y776136" s="5"/>
      <c r="AB776136" s="5"/>
      <c r="AE776136" s="5"/>
      <c r="AH776136" s="5"/>
      <c r="AK776136" s="5"/>
    </row>
    <row r="776146" spans="25:37" x14ac:dyDescent="0.2">
      <c r="Y776146" s="251"/>
      <c r="AB776146" s="251"/>
      <c r="AE776146" s="251"/>
      <c r="AH776146" s="251"/>
      <c r="AK776146" s="251"/>
    </row>
    <row r="776261" spans="25:37" x14ac:dyDescent="0.2">
      <c r="Y776261" s="5"/>
      <c r="AB776261" s="5"/>
      <c r="AE776261" s="5"/>
      <c r="AH776261" s="5"/>
      <c r="AK776261" s="5"/>
    </row>
    <row r="776271" spans="25:37" x14ac:dyDescent="0.2">
      <c r="Y776271" s="251"/>
      <c r="AB776271" s="251"/>
      <c r="AE776271" s="251"/>
      <c r="AH776271" s="251"/>
      <c r="AK776271" s="251"/>
    </row>
    <row r="776386" spans="25:37" x14ac:dyDescent="0.2">
      <c r="Y776386" s="5"/>
      <c r="AB776386" s="5"/>
      <c r="AE776386" s="5"/>
      <c r="AH776386" s="5"/>
      <c r="AK776386" s="5"/>
    </row>
    <row r="776396" spans="25:37" x14ac:dyDescent="0.2">
      <c r="Y776396" s="251"/>
      <c r="AB776396" s="251"/>
      <c r="AE776396" s="251"/>
      <c r="AH776396" s="251"/>
      <c r="AK776396" s="251"/>
    </row>
    <row r="776511" spans="25:37" x14ac:dyDescent="0.2">
      <c r="Y776511" s="5"/>
      <c r="AB776511" s="5"/>
      <c r="AE776511" s="5"/>
      <c r="AH776511" s="5"/>
      <c r="AK776511" s="5"/>
    </row>
    <row r="776521" spans="25:37" x14ac:dyDescent="0.2">
      <c r="Y776521" s="251"/>
      <c r="AB776521" s="251"/>
      <c r="AE776521" s="251"/>
      <c r="AH776521" s="251"/>
      <c r="AK776521" s="251"/>
    </row>
    <row r="776636" spans="25:37" x14ac:dyDescent="0.2">
      <c r="Y776636" s="5"/>
      <c r="AB776636" s="5"/>
      <c r="AE776636" s="5"/>
      <c r="AH776636" s="5"/>
      <c r="AK776636" s="5"/>
    </row>
    <row r="776646" spans="25:37" x14ac:dyDescent="0.2">
      <c r="Y776646" s="251"/>
      <c r="AB776646" s="251"/>
      <c r="AE776646" s="251"/>
      <c r="AH776646" s="251"/>
      <c r="AK776646" s="251"/>
    </row>
    <row r="776761" spans="25:37" x14ac:dyDescent="0.2">
      <c r="Y776761" s="5"/>
      <c r="AB776761" s="5"/>
      <c r="AE776761" s="5"/>
      <c r="AH776761" s="5"/>
      <c r="AK776761" s="5"/>
    </row>
    <row r="776771" spans="25:37" x14ac:dyDescent="0.2">
      <c r="Y776771" s="251"/>
      <c r="AB776771" s="251"/>
      <c r="AE776771" s="251"/>
      <c r="AH776771" s="251"/>
      <c r="AK776771" s="251"/>
    </row>
    <row r="776886" spans="25:37" x14ac:dyDescent="0.2">
      <c r="Y776886" s="5"/>
      <c r="AB776886" s="5"/>
      <c r="AE776886" s="5"/>
      <c r="AH776886" s="5"/>
      <c r="AK776886" s="5"/>
    </row>
    <row r="776896" spans="25:37" x14ac:dyDescent="0.2">
      <c r="Y776896" s="251"/>
      <c r="AB776896" s="251"/>
      <c r="AE776896" s="251"/>
      <c r="AH776896" s="251"/>
      <c r="AK776896" s="251"/>
    </row>
    <row r="777011" spans="25:37" x14ac:dyDescent="0.2">
      <c r="Y777011" s="5"/>
      <c r="AB777011" s="5"/>
      <c r="AE777011" s="5"/>
      <c r="AH777011" s="5"/>
      <c r="AK777011" s="5"/>
    </row>
    <row r="777021" spans="25:37" x14ac:dyDescent="0.2">
      <c r="Y777021" s="251"/>
      <c r="AB777021" s="251"/>
      <c r="AE777021" s="251"/>
      <c r="AH777021" s="251"/>
      <c r="AK777021" s="251"/>
    </row>
    <row r="777136" spans="25:37" x14ac:dyDescent="0.2">
      <c r="Y777136" s="5"/>
      <c r="AB777136" s="5"/>
      <c r="AE777136" s="5"/>
      <c r="AH777136" s="5"/>
      <c r="AK777136" s="5"/>
    </row>
    <row r="777146" spans="25:37" x14ac:dyDescent="0.2">
      <c r="Y777146" s="251"/>
      <c r="AB777146" s="251"/>
      <c r="AE777146" s="251"/>
      <c r="AH777146" s="251"/>
      <c r="AK777146" s="251"/>
    </row>
    <row r="777261" spans="25:37" x14ac:dyDescent="0.2">
      <c r="Y777261" s="5"/>
      <c r="AB777261" s="5"/>
      <c r="AE777261" s="5"/>
      <c r="AH777261" s="5"/>
      <c r="AK777261" s="5"/>
    </row>
    <row r="777271" spans="25:37" x14ac:dyDescent="0.2">
      <c r="Y777271" s="251"/>
      <c r="AB777271" s="251"/>
      <c r="AE777271" s="251"/>
      <c r="AH777271" s="251"/>
      <c r="AK777271" s="251"/>
    </row>
    <row r="777386" spans="25:37" x14ac:dyDescent="0.2">
      <c r="Y777386" s="5"/>
      <c r="AB777386" s="5"/>
      <c r="AE777386" s="5"/>
      <c r="AH777386" s="5"/>
      <c r="AK777386" s="5"/>
    </row>
    <row r="777396" spans="25:37" x14ac:dyDescent="0.2">
      <c r="Y777396" s="251"/>
      <c r="AB777396" s="251"/>
      <c r="AE777396" s="251"/>
      <c r="AH777396" s="251"/>
      <c r="AK777396" s="251"/>
    </row>
    <row r="777511" spans="25:37" x14ac:dyDescent="0.2">
      <c r="Y777511" s="5"/>
      <c r="AB777511" s="5"/>
      <c r="AE777511" s="5"/>
      <c r="AH777511" s="5"/>
      <c r="AK777511" s="5"/>
    </row>
    <row r="777521" spans="25:37" x14ac:dyDescent="0.2">
      <c r="Y777521" s="251"/>
      <c r="AB777521" s="251"/>
      <c r="AE777521" s="251"/>
      <c r="AH777521" s="251"/>
      <c r="AK777521" s="251"/>
    </row>
    <row r="777636" spans="25:37" x14ac:dyDescent="0.2">
      <c r="Y777636" s="5"/>
      <c r="AB777636" s="5"/>
      <c r="AE777636" s="5"/>
      <c r="AH777636" s="5"/>
      <c r="AK777636" s="5"/>
    </row>
    <row r="777646" spans="25:37" x14ac:dyDescent="0.2">
      <c r="Y777646" s="251"/>
      <c r="AB777646" s="251"/>
      <c r="AE777646" s="251"/>
      <c r="AH777646" s="251"/>
      <c r="AK777646" s="251"/>
    </row>
    <row r="777761" spans="25:37" x14ac:dyDescent="0.2">
      <c r="Y777761" s="5"/>
      <c r="AB777761" s="5"/>
      <c r="AE777761" s="5"/>
      <c r="AH777761" s="5"/>
      <c r="AK777761" s="5"/>
    </row>
    <row r="777771" spans="25:37" x14ac:dyDescent="0.2">
      <c r="Y777771" s="251"/>
      <c r="AB777771" s="251"/>
      <c r="AE777771" s="251"/>
      <c r="AH777771" s="251"/>
      <c r="AK777771" s="251"/>
    </row>
    <row r="777886" spans="25:37" x14ac:dyDescent="0.2">
      <c r="Y777886" s="5"/>
      <c r="AB777886" s="5"/>
      <c r="AE777886" s="5"/>
      <c r="AH777886" s="5"/>
      <c r="AK777886" s="5"/>
    </row>
    <row r="777896" spans="25:37" x14ac:dyDescent="0.2">
      <c r="Y777896" s="251"/>
      <c r="AB777896" s="251"/>
      <c r="AE777896" s="251"/>
      <c r="AH777896" s="251"/>
      <c r="AK777896" s="251"/>
    </row>
    <row r="778011" spans="25:37" x14ac:dyDescent="0.2">
      <c r="Y778011" s="5"/>
      <c r="AB778011" s="5"/>
      <c r="AE778011" s="5"/>
      <c r="AH778011" s="5"/>
      <c r="AK778011" s="5"/>
    </row>
    <row r="778021" spans="25:37" x14ac:dyDescent="0.2">
      <c r="Y778021" s="251"/>
      <c r="AB778021" s="251"/>
      <c r="AE778021" s="251"/>
      <c r="AH778021" s="251"/>
      <c r="AK778021" s="251"/>
    </row>
    <row r="778136" spans="25:37" x14ac:dyDescent="0.2">
      <c r="Y778136" s="5"/>
      <c r="AB778136" s="5"/>
      <c r="AE778136" s="5"/>
      <c r="AH778136" s="5"/>
      <c r="AK778136" s="5"/>
    </row>
    <row r="778146" spans="25:37" x14ac:dyDescent="0.2">
      <c r="Y778146" s="251"/>
      <c r="AB778146" s="251"/>
      <c r="AE778146" s="251"/>
      <c r="AH778146" s="251"/>
      <c r="AK778146" s="251"/>
    </row>
    <row r="778261" spans="25:37" x14ac:dyDescent="0.2">
      <c r="Y778261" s="5"/>
      <c r="AB778261" s="5"/>
      <c r="AE778261" s="5"/>
      <c r="AH778261" s="5"/>
      <c r="AK778261" s="5"/>
    </row>
    <row r="778271" spans="25:37" x14ac:dyDescent="0.2">
      <c r="Y778271" s="251"/>
      <c r="AB778271" s="251"/>
      <c r="AE778271" s="251"/>
      <c r="AH778271" s="251"/>
      <c r="AK778271" s="251"/>
    </row>
    <row r="778386" spans="25:37" x14ac:dyDescent="0.2">
      <c r="Y778386" s="5"/>
      <c r="AB778386" s="5"/>
      <c r="AE778386" s="5"/>
      <c r="AH778386" s="5"/>
      <c r="AK778386" s="5"/>
    </row>
    <row r="778396" spans="25:37" x14ac:dyDescent="0.2">
      <c r="Y778396" s="251"/>
      <c r="AB778396" s="251"/>
      <c r="AE778396" s="251"/>
      <c r="AH778396" s="251"/>
      <c r="AK778396" s="251"/>
    </row>
    <row r="778511" spans="25:37" x14ac:dyDescent="0.2">
      <c r="Y778511" s="5"/>
      <c r="AB778511" s="5"/>
      <c r="AE778511" s="5"/>
      <c r="AH778511" s="5"/>
      <c r="AK778511" s="5"/>
    </row>
    <row r="778521" spans="25:37" x14ac:dyDescent="0.2">
      <c r="Y778521" s="251"/>
      <c r="AB778521" s="251"/>
      <c r="AE778521" s="251"/>
      <c r="AH778521" s="251"/>
      <c r="AK778521" s="251"/>
    </row>
    <row r="778636" spans="25:37" x14ac:dyDescent="0.2">
      <c r="Y778636" s="5"/>
      <c r="AB778636" s="5"/>
      <c r="AE778636" s="5"/>
      <c r="AH778636" s="5"/>
      <c r="AK778636" s="5"/>
    </row>
    <row r="778646" spans="25:37" x14ac:dyDescent="0.2">
      <c r="Y778646" s="251"/>
      <c r="AB778646" s="251"/>
      <c r="AE778646" s="251"/>
      <c r="AH778646" s="251"/>
      <c r="AK778646" s="251"/>
    </row>
    <row r="778761" spans="25:37" x14ac:dyDescent="0.2">
      <c r="Y778761" s="5"/>
      <c r="AB778761" s="5"/>
      <c r="AE778761" s="5"/>
      <c r="AH778761" s="5"/>
      <c r="AK778761" s="5"/>
    </row>
    <row r="778771" spans="25:37" x14ac:dyDescent="0.2">
      <c r="Y778771" s="251"/>
      <c r="AB778771" s="251"/>
      <c r="AE778771" s="251"/>
      <c r="AH778771" s="251"/>
      <c r="AK778771" s="251"/>
    </row>
    <row r="778886" spans="25:37" x14ac:dyDescent="0.2">
      <c r="Y778886" s="5"/>
      <c r="AB778886" s="5"/>
      <c r="AE778886" s="5"/>
      <c r="AH778886" s="5"/>
      <c r="AK778886" s="5"/>
    </row>
    <row r="778896" spans="25:37" x14ac:dyDescent="0.2">
      <c r="Y778896" s="251"/>
      <c r="AB778896" s="251"/>
      <c r="AE778896" s="251"/>
      <c r="AH778896" s="251"/>
      <c r="AK778896" s="251"/>
    </row>
    <row r="779011" spans="25:37" x14ac:dyDescent="0.2">
      <c r="Y779011" s="5"/>
      <c r="AB779011" s="5"/>
      <c r="AE779011" s="5"/>
      <c r="AH779011" s="5"/>
      <c r="AK779011" s="5"/>
    </row>
    <row r="779021" spans="25:37" x14ac:dyDescent="0.2">
      <c r="Y779021" s="251"/>
      <c r="AB779021" s="251"/>
      <c r="AE779021" s="251"/>
      <c r="AH779021" s="251"/>
      <c r="AK779021" s="251"/>
    </row>
    <row r="779136" spans="25:37" x14ac:dyDescent="0.2">
      <c r="Y779136" s="5"/>
      <c r="AB779136" s="5"/>
      <c r="AE779136" s="5"/>
      <c r="AH779136" s="5"/>
      <c r="AK779136" s="5"/>
    </row>
    <row r="779146" spans="25:37" x14ac:dyDescent="0.2">
      <c r="Y779146" s="251"/>
      <c r="AB779146" s="251"/>
      <c r="AE779146" s="251"/>
      <c r="AH779146" s="251"/>
      <c r="AK779146" s="251"/>
    </row>
    <row r="779261" spans="25:37" x14ac:dyDescent="0.2">
      <c r="Y779261" s="5"/>
      <c r="AB779261" s="5"/>
      <c r="AE779261" s="5"/>
      <c r="AH779261" s="5"/>
      <c r="AK779261" s="5"/>
    </row>
    <row r="779271" spans="25:37" x14ac:dyDescent="0.2">
      <c r="Y779271" s="251"/>
      <c r="AB779271" s="251"/>
      <c r="AE779271" s="251"/>
      <c r="AH779271" s="251"/>
      <c r="AK779271" s="251"/>
    </row>
    <row r="779386" spans="25:37" x14ac:dyDescent="0.2">
      <c r="Y779386" s="5"/>
      <c r="AB779386" s="5"/>
      <c r="AE779386" s="5"/>
      <c r="AH779386" s="5"/>
      <c r="AK779386" s="5"/>
    </row>
    <row r="779396" spans="25:37" x14ac:dyDescent="0.2">
      <c r="Y779396" s="251"/>
      <c r="AB779396" s="251"/>
      <c r="AE779396" s="251"/>
      <c r="AH779396" s="251"/>
      <c r="AK779396" s="251"/>
    </row>
    <row r="779511" spans="25:37" x14ac:dyDescent="0.2">
      <c r="Y779511" s="5"/>
      <c r="AB779511" s="5"/>
      <c r="AE779511" s="5"/>
      <c r="AH779511" s="5"/>
      <c r="AK779511" s="5"/>
    </row>
    <row r="779521" spans="25:37" x14ac:dyDescent="0.2">
      <c r="Y779521" s="251"/>
      <c r="AB779521" s="251"/>
      <c r="AE779521" s="251"/>
      <c r="AH779521" s="251"/>
      <c r="AK779521" s="251"/>
    </row>
    <row r="779636" spans="25:37" x14ac:dyDescent="0.2">
      <c r="Y779636" s="5"/>
      <c r="AB779636" s="5"/>
      <c r="AE779636" s="5"/>
      <c r="AH779636" s="5"/>
      <c r="AK779636" s="5"/>
    </row>
    <row r="779646" spans="25:37" x14ac:dyDescent="0.2">
      <c r="Y779646" s="251"/>
      <c r="AB779646" s="251"/>
      <c r="AE779646" s="251"/>
      <c r="AH779646" s="251"/>
      <c r="AK779646" s="251"/>
    </row>
    <row r="779761" spans="25:37" x14ac:dyDescent="0.2">
      <c r="Y779761" s="5"/>
      <c r="AB779761" s="5"/>
      <c r="AE779761" s="5"/>
      <c r="AH779761" s="5"/>
      <c r="AK779761" s="5"/>
    </row>
    <row r="779771" spans="25:37" x14ac:dyDescent="0.2">
      <c r="Y779771" s="251"/>
      <c r="AB779771" s="251"/>
      <c r="AE779771" s="251"/>
      <c r="AH779771" s="251"/>
      <c r="AK779771" s="251"/>
    </row>
    <row r="779886" spans="25:37" x14ac:dyDescent="0.2">
      <c r="Y779886" s="5"/>
      <c r="AB779886" s="5"/>
      <c r="AE779886" s="5"/>
      <c r="AH779886" s="5"/>
      <c r="AK779886" s="5"/>
    </row>
    <row r="779896" spans="25:37" x14ac:dyDescent="0.2">
      <c r="Y779896" s="251"/>
      <c r="AB779896" s="251"/>
      <c r="AE779896" s="251"/>
      <c r="AH779896" s="251"/>
      <c r="AK779896" s="251"/>
    </row>
    <row r="780011" spans="25:37" x14ac:dyDescent="0.2">
      <c r="Y780011" s="5"/>
      <c r="AB780011" s="5"/>
      <c r="AE780011" s="5"/>
      <c r="AH780011" s="5"/>
      <c r="AK780011" s="5"/>
    </row>
    <row r="780021" spans="25:37" x14ac:dyDescent="0.2">
      <c r="Y780021" s="251"/>
      <c r="AB780021" s="251"/>
      <c r="AE780021" s="251"/>
      <c r="AH780021" s="251"/>
      <c r="AK780021" s="251"/>
    </row>
    <row r="780136" spans="25:37" x14ac:dyDescent="0.2">
      <c r="Y780136" s="5"/>
      <c r="AB780136" s="5"/>
      <c r="AE780136" s="5"/>
      <c r="AH780136" s="5"/>
      <c r="AK780136" s="5"/>
    </row>
    <row r="780146" spans="25:37" x14ac:dyDescent="0.2">
      <c r="Y780146" s="251"/>
      <c r="AB780146" s="251"/>
      <c r="AE780146" s="251"/>
      <c r="AH780146" s="251"/>
      <c r="AK780146" s="251"/>
    </row>
    <row r="780261" spans="25:37" x14ac:dyDescent="0.2">
      <c r="Y780261" s="5"/>
      <c r="AB780261" s="5"/>
      <c r="AE780261" s="5"/>
      <c r="AH780261" s="5"/>
      <c r="AK780261" s="5"/>
    </row>
    <row r="780271" spans="25:37" x14ac:dyDescent="0.2">
      <c r="Y780271" s="251"/>
      <c r="AB780271" s="251"/>
      <c r="AE780271" s="251"/>
      <c r="AH780271" s="251"/>
      <c r="AK780271" s="251"/>
    </row>
    <row r="780386" spans="25:37" x14ac:dyDescent="0.2">
      <c r="Y780386" s="5"/>
      <c r="AB780386" s="5"/>
      <c r="AE780386" s="5"/>
      <c r="AH780386" s="5"/>
      <c r="AK780386" s="5"/>
    </row>
    <row r="780396" spans="25:37" x14ac:dyDescent="0.2">
      <c r="Y780396" s="251"/>
      <c r="AB780396" s="251"/>
      <c r="AE780396" s="251"/>
      <c r="AH780396" s="251"/>
      <c r="AK780396" s="251"/>
    </row>
    <row r="780511" spans="25:37" x14ac:dyDescent="0.2">
      <c r="Y780511" s="5"/>
      <c r="AB780511" s="5"/>
      <c r="AE780511" s="5"/>
      <c r="AH780511" s="5"/>
      <c r="AK780511" s="5"/>
    </row>
    <row r="780521" spans="25:37" x14ac:dyDescent="0.2">
      <c r="Y780521" s="251"/>
      <c r="AB780521" s="251"/>
      <c r="AE780521" s="251"/>
      <c r="AH780521" s="251"/>
      <c r="AK780521" s="251"/>
    </row>
    <row r="780636" spans="25:37" x14ac:dyDescent="0.2">
      <c r="Y780636" s="5"/>
      <c r="AB780636" s="5"/>
      <c r="AE780636" s="5"/>
      <c r="AH780636" s="5"/>
      <c r="AK780636" s="5"/>
    </row>
    <row r="780646" spans="25:37" x14ac:dyDescent="0.2">
      <c r="Y780646" s="251"/>
      <c r="AB780646" s="251"/>
      <c r="AE780646" s="251"/>
      <c r="AH780646" s="251"/>
      <c r="AK780646" s="251"/>
    </row>
    <row r="780761" spans="25:37" x14ac:dyDescent="0.2">
      <c r="Y780761" s="5"/>
      <c r="AB780761" s="5"/>
      <c r="AE780761" s="5"/>
      <c r="AH780761" s="5"/>
      <c r="AK780761" s="5"/>
    </row>
    <row r="780771" spans="25:37" x14ac:dyDescent="0.2">
      <c r="Y780771" s="251"/>
      <c r="AB780771" s="251"/>
      <c r="AE780771" s="251"/>
      <c r="AH780771" s="251"/>
      <c r="AK780771" s="251"/>
    </row>
    <row r="780886" spans="25:37" x14ac:dyDescent="0.2">
      <c r="Y780886" s="5"/>
      <c r="AB780886" s="5"/>
      <c r="AE780886" s="5"/>
      <c r="AH780886" s="5"/>
      <c r="AK780886" s="5"/>
    </row>
    <row r="780896" spans="25:37" x14ac:dyDescent="0.2">
      <c r="Y780896" s="251"/>
      <c r="AB780896" s="251"/>
      <c r="AE780896" s="251"/>
      <c r="AH780896" s="251"/>
      <c r="AK780896" s="251"/>
    </row>
    <row r="781011" spans="25:37" x14ac:dyDescent="0.2">
      <c r="Y781011" s="5"/>
      <c r="AB781011" s="5"/>
      <c r="AE781011" s="5"/>
      <c r="AH781011" s="5"/>
      <c r="AK781011" s="5"/>
    </row>
    <row r="781021" spans="25:37" x14ac:dyDescent="0.2">
      <c r="Y781021" s="251"/>
      <c r="AB781021" s="251"/>
      <c r="AE781021" s="251"/>
      <c r="AH781021" s="251"/>
      <c r="AK781021" s="251"/>
    </row>
    <row r="781136" spans="25:37" x14ac:dyDescent="0.2">
      <c r="Y781136" s="5"/>
      <c r="AB781136" s="5"/>
      <c r="AE781136" s="5"/>
      <c r="AH781136" s="5"/>
      <c r="AK781136" s="5"/>
    </row>
    <row r="781146" spans="25:37" x14ac:dyDescent="0.2">
      <c r="Y781146" s="251"/>
      <c r="AB781146" s="251"/>
      <c r="AE781146" s="251"/>
      <c r="AH781146" s="251"/>
      <c r="AK781146" s="251"/>
    </row>
    <row r="781261" spans="25:37" x14ac:dyDescent="0.2">
      <c r="Y781261" s="5"/>
      <c r="AB781261" s="5"/>
      <c r="AE781261" s="5"/>
      <c r="AH781261" s="5"/>
      <c r="AK781261" s="5"/>
    </row>
    <row r="781271" spans="25:37" x14ac:dyDescent="0.2">
      <c r="Y781271" s="251"/>
      <c r="AB781271" s="251"/>
      <c r="AE781271" s="251"/>
      <c r="AH781271" s="251"/>
      <c r="AK781271" s="251"/>
    </row>
    <row r="781386" spans="25:37" x14ac:dyDescent="0.2">
      <c r="Y781386" s="5"/>
      <c r="AB781386" s="5"/>
      <c r="AE781386" s="5"/>
      <c r="AH781386" s="5"/>
      <c r="AK781386" s="5"/>
    </row>
    <row r="781396" spans="25:37" x14ac:dyDescent="0.2">
      <c r="Y781396" s="251"/>
      <c r="AB781396" s="251"/>
      <c r="AE781396" s="251"/>
      <c r="AH781396" s="251"/>
      <c r="AK781396" s="251"/>
    </row>
    <row r="781511" spans="25:37" x14ac:dyDescent="0.2">
      <c r="Y781511" s="5"/>
      <c r="AB781511" s="5"/>
      <c r="AE781511" s="5"/>
      <c r="AH781511" s="5"/>
      <c r="AK781511" s="5"/>
    </row>
    <row r="781521" spans="25:37" x14ac:dyDescent="0.2">
      <c r="Y781521" s="251"/>
      <c r="AB781521" s="251"/>
      <c r="AE781521" s="251"/>
      <c r="AH781521" s="251"/>
      <c r="AK781521" s="251"/>
    </row>
    <row r="781636" spans="25:37" x14ac:dyDescent="0.2">
      <c r="Y781636" s="5"/>
      <c r="AB781636" s="5"/>
      <c r="AE781636" s="5"/>
      <c r="AH781636" s="5"/>
      <c r="AK781636" s="5"/>
    </row>
    <row r="781646" spans="25:37" x14ac:dyDescent="0.2">
      <c r="Y781646" s="251"/>
      <c r="AB781646" s="251"/>
      <c r="AE781646" s="251"/>
      <c r="AH781646" s="251"/>
      <c r="AK781646" s="251"/>
    </row>
    <row r="781761" spans="25:37" x14ac:dyDescent="0.2">
      <c r="Y781761" s="5"/>
      <c r="AB781761" s="5"/>
      <c r="AE781761" s="5"/>
      <c r="AH781761" s="5"/>
      <c r="AK781761" s="5"/>
    </row>
    <row r="781771" spans="25:37" x14ac:dyDescent="0.2">
      <c r="Y781771" s="251"/>
      <c r="AB781771" s="251"/>
      <c r="AE781771" s="251"/>
      <c r="AH781771" s="251"/>
      <c r="AK781771" s="251"/>
    </row>
    <row r="781886" spans="25:37" x14ac:dyDescent="0.2">
      <c r="Y781886" s="5"/>
      <c r="AB781886" s="5"/>
      <c r="AE781886" s="5"/>
      <c r="AH781886" s="5"/>
      <c r="AK781886" s="5"/>
    </row>
    <row r="781896" spans="25:37" x14ac:dyDescent="0.2">
      <c r="Y781896" s="251"/>
      <c r="AB781896" s="251"/>
      <c r="AE781896" s="251"/>
      <c r="AH781896" s="251"/>
      <c r="AK781896" s="251"/>
    </row>
    <row r="782011" spans="25:37" x14ac:dyDescent="0.2">
      <c r="Y782011" s="5"/>
      <c r="AB782011" s="5"/>
      <c r="AE782011" s="5"/>
      <c r="AH782011" s="5"/>
      <c r="AK782011" s="5"/>
    </row>
    <row r="782021" spans="25:37" x14ac:dyDescent="0.2">
      <c r="Y782021" s="251"/>
      <c r="AB782021" s="251"/>
      <c r="AE782021" s="251"/>
      <c r="AH782021" s="251"/>
      <c r="AK782021" s="251"/>
    </row>
    <row r="782136" spans="25:37" x14ac:dyDescent="0.2">
      <c r="Y782136" s="5"/>
      <c r="AB782136" s="5"/>
      <c r="AE782136" s="5"/>
      <c r="AH782136" s="5"/>
      <c r="AK782136" s="5"/>
    </row>
    <row r="782146" spans="25:37" x14ac:dyDescent="0.2">
      <c r="Y782146" s="251"/>
      <c r="AB782146" s="251"/>
      <c r="AE782146" s="251"/>
      <c r="AH782146" s="251"/>
      <c r="AK782146" s="251"/>
    </row>
    <row r="782261" spans="25:37" x14ac:dyDescent="0.2">
      <c r="Y782261" s="5"/>
      <c r="AB782261" s="5"/>
      <c r="AE782261" s="5"/>
      <c r="AH782261" s="5"/>
      <c r="AK782261" s="5"/>
    </row>
    <row r="782271" spans="25:37" x14ac:dyDescent="0.2">
      <c r="Y782271" s="251"/>
      <c r="AB782271" s="251"/>
      <c r="AE782271" s="251"/>
      <c r="AH782271" s="251"/>
      <c r="AK782271" s="251"/>
    </row>
    <row r="782386" spans="25:37" x14ac:dyDescent="0.2">
      <c r="Y782386" s="5"/>
      <c r="AB782386" s="5"/>
      <c r="AE782386" s="5"/>
      <c r="AH782386" s="5"/>
      <c r="AK782386" s="5"/>
    </row>
    <row r="782396" spans="25:37" x14ac:dyDescent="0.2">
      <c r="Y782396" s="251"/>
      <c r="AB782396" s="251"/>
      <c r="AE782396" s="251"/>
      <c r="AH782396" s="251"/>
      <c r="AK782396" s="251"/>
    </row>
    <row r="782511" spans="25:37" x14ac:dyDescent="0.2">
      <c r="Y782511" s="5"/>
      <c r="AB782511" s="5"/>
      <c r="AE782511" s="5"/>
      <c r="AH782511" s="5"/>
      <c r="AK782511" s="5"/>
    </row>
    <row r="782521" spans="25:37" x14ac:dyDescent="0.2">
      <c r="Y782521" s="251"/>
      <c r="AB782521" s="251"/>
      <c r="AE782521" s="251"/>
      <c r="AH782521" s="251"/>
      <c r="AK782521" s="251"/>
    </row>
    <row r="782636" spans="25:37" x14ac:dyDescent="0.2">
      <c r="Y782636" s="5"/>
      <c r="AB782636" s="5"/>
      <c r="AE782636" s="5"/>
      <c r="AH782636" s="5"/>
      <c r="AK782636" s="5"/>
    </row>
    <row r="782646" spans="25:37" x14ac:dyDescent="0.2">
      <c r="Y782646" s="251"/>
      <c r="AB782646" s="251"/>
      <c r="AE782646" s="251"/>
      <c r="AH782646" s="251"/>
      <c r="AK782646" s="251"/>
    </row>
    <row r="782761" spans="25:37" x14ac:dyDescent="0.2">
      <c r="Y782761" s="5"/>
      <c r="AB782761" s="5"/>
      <c r="AE782761" s="5"/>
      <c r="AH782761" s="5"/>
      <c r="AK782761" s="5"/>
    </row>
    <row r="782771" spans="25:37" x14ac:dyDescent="0.2">
      <c r="Y782771" s="251"/>
      <c r="AB782771" s="251"/>
      <c r="AE782771" s="251"/>
      <c r="AH782771" s="251"/>
      <c r="AK782771" s="251"/>
    </row>
    <row r="782886" spans="25:37" x14ac:dyDescent="0.2">
      <c r="Y782886" s="5"/>
      <c r="AB782886" s="5"/>
      <c r="AE782886" s="5"/>
      <c r="AH782886" s="5"/>
      <c r="AK782886" s="5"/>
    </row>
    <row r="782896" spans="25:37" x14ac:dyDescent="0.2">
      <c r="Y782896" s="251"/>
      <c r="AB782896" s="251"/>
      <c r="AE782896" s="251"/>
      <c r="AH782896" s="251"/>
      <c r="AK782896" s="251"/>
    </row>
    <row r="783011" spans="25:37" x14ac:dyDescent="0.2">
      <c r="Y783011" s="5"/>
      <c r="AB783011" s="5"/>
      <c r="AE783011" s="5"/>
      <c r="AH783011" s="5"/>
      <c r="AK783011" s="5"/>
    </row>
    <row r="783021" spans="25:37" x14ac:dyDescent="0.2">
      <c r="Y783021" s="251"/>
      <c r="AB783021" s="251"/>
      <c r="AE783021" s="251"/>
      <c r="AH783021" s="251"/>
      <c r="AK783021" s="251"/>
    </row>
    <row r="783136" spans="25:37" x14ac:dyDescent="0.2">
      <c r="Y783136" s="5"/>
      <c r="AB783136" s="5"/>
      <c r="AE783136" s="5"/>
      <c r="AH783136" s="5"/>
      <c r="AK783136" s="5"/>
    </row>
    <row r="783146" spans="25:37" x14ac:dyDescent="0.2">
      <c r="Y783146" s="251"/>
      <c r="AB783146" s="251"/>
      <c r="AE783146" s="251"/>
      <c r="AH783146" s="251"/>
      <c r="AK783146" s="251"/>
    </row>
    <row r="783261" spans="25:37" x14ac:dyDescent="0.2">
      <c r="Y783261" s="5"/>
      <c r="AB783261" s="5"/>
      <c r="AE783261" s="5"/>
      <c r="AH783261" s="5"/>
      <c r="AK783261" s="5"/>
    </row>
    <row r="783271" spans="25:37" x14ac:dyDescent="0.2">
      <c r="Y783271" s="251"/>
      <c r="AB783271" s="251"/>
      <c r="AE783271" s="251"/>
      <c r="AH783271" s="251"/>
      <c r="AK783271" s="251"/>
    </row>
    <row r="783386" spans="25:37" x14ac:dyDescent="0.2">
      <c r="Y783386" s="5"/>
      <c r="AB783386" s="5"/>
      <c r="AE783386" s="5"/>
      <c r="AH783386" s="5"/>
      <c r="AK783386" s="5"/>
    </row>
    <row r="783396" spans="25:37" x14ac:dyDescent="0.2">
      <c r="Y783396" s="251"/>
      <c r="AB783396" s="251"/>
      <c r="AE783396" s="251"/>
      <c r="AH783396" s="251"/>
      <c r="AK783396" s="251"/>
    </row>
    <row r="783511" spans="25:37" x14ac:dyDescent="0.2">
      <c r="Y783511" s="5"/>
      <c r="AB783511" s="5"/>
      <c r="AE783511" s="5"/>
      <c r="AH783511" s="5"/>
      <c r="AK783511" s="5"/>
    </row>
    <row r="783521" spans="25:37" x14ac:dyDescent="0.2">
      <c r="Y783521" s="251"/>
      <c r="AB783521" s="251"/>
      <c r="AE783521" s="251"/>
      <c r="AH783521" s="251"/>
      <c r="AK783521" s="251"/>
    </row>
    <row r="783636" spans="25:37" x14ac:dyDescent="0.2">
      <c r="Y783636" s="5"/>
      <c r="AB783636" s="5"/>
      <c r="AE783636" s="5"/>
      <c r="AH783636" s="5"/>
      <c r="AK783636" s="5"/>
    </row>
    <row r="783646" spans="25:37" x14ac:dyDescent="0.2">
      <c r="Y783646" s="251"/>
      <c r="AB783646" s="251"/>
      <c r="AE783646" s="251"/>
      <c r="AH783646" s="251"/>
      <c r="AK783646" s="251"/>
    </row>
    <row r="783761" spans="25:37" x14ac:dyDescent="0.2">
      <c r="Y783761" s="5"/>
      <c r="AB783761" s="5"/>
      <c r="AE783761" s="5"/>
      <c r="AH783761" s="5"/>
      <c r="AK783761" s="5"/>
    </row>
    <row r="783771" spans="25:37" x14ac:dyDescent="0.2">
      <c r="Y783771" s="251"/>
      <c r="AB783771" s="251"/>
      <c r="AE783771" s="251"/>
      <c r="AH783771" s="251"/>
      <c r="AK783771" s="251"/>
    </row>
    <row r="783886" spans="25:37" x14ac:dyDescent="0.2">
      <c r="Y783886" s="5"/>
      <c r="AB783886" s="5"/>
      <c r="AE783886" s="5"/>
      <c r="AH783886" s="5"/>
      <c r="AK783886" s="5"/>
    </row>
    <row r="783896" spans="25:37" x14ac:dyDescent="0.2">
      <c r="Y783896" s="251"/>
      <c r="AB783896" s="251"/>
      <c r="AE783896" s="251"/>
      <c r="AH783896" s="251"/>
      <c r="AK783896" s="251"/>
    </row>
    <row r="784011" spans="25:37" x14ac:dyDescent="0.2">
      <c r="Y784011" s="5"/>
      <c r="AB784011" s="5"/>
      <c r="AE784011" s="5"/>
      <c r="AH784011" s="5"/>
      <c r="AK784011" s="5"/>
    </row>
    <row r="784021" spans="25:37" x14ac:dyDescent="0.2">
      <c r="Y784021" s="251"/>
      <c r="AB784021" s="251"/>
      <c r="AE784021" s="251"/>
      <c r="AH784021" s="251"/>
      <c r="AK784021" s="251"/>
    </row>
    <row r="784136" spans="25:37" x14ac:dyDescent="0.2">
      <c r="Y784136" s="5"/>
      <c r="AB784136" s="5"/>
      <c r="AE784136" s="5"/>
      <c r="AH784136" s="5"/>
      <c r="AK784136" s="5"/>
    </row>
    <row r="784146" spans="25:37" x14ac:dyDescent="0.2">
      <c r="Y784146" s="251"/>
      <c r="AB784146" s="251"/>
      <c r="AE784146" s="251"/>
      <c r="AH784146" s="251"/>
      <c r="AK784146" s="251"/>
    </row>
    <row r="784261" spans="25:37" x14ac:dyDescent="0.2">
      <c r="Y784261" s="5"/>
      <c r="AB784261" s="5"/>
      <c r="AE784261" s="5"/>
      <c r="AH784261" s="5"/>
      <c r="AK784261" s="5"/>
    </row>
    <row r="784271" spans="25:37" x14ac:dyDescent="0.2">
      <c r="Y784271" s="251"/>
      <c r="AB784271" s="251"/>
      <c r="AE784271" s="251"/>
      <c r="AH784271" s="251"/>
      <c r="AK784271" s="251"/>
    </row>
    <row r="784386" spans="25:37" x14ac:dyDescent="0.2">
      <c r="Y784386" s="5"/>
      <c r="AB784386" s="5"/>
      <c r="AE784386" s="5"/>
      <c r="AH784386" s="5"/>
      <c r="AK784386" s="5"/>
    </row>
    <row r="784396" spans="25:37" x14ac:dyDescent="0.2">
      <c r="Y784396" s="251"/>
      <c r="AB784396" s="251"/>
      <c r="AE784396" s="251"/>
      <c r="AH784396" s="251"/>
      <c r="AK784396" s="251"/>
    </row>
    <row r="784511" spans="25:37" x14ac:dyDescent="0.2">
      <c r="Y784511" s="5"/>
      <c r="AB784511" s="5"/>
      <c r="AE784511" s="5"/>
      <c r="AH784511" s="5"/>
      <c r="AK784511" s="5"/>
    </row>
    <row r="784521" spans="25:37" x14ac:dyDescent="0.2">
      <c r="Y784521" s="251"/>
      <c r="AB784521" s="251"/>
      <c r="AE784521" s="251"/>
      <c r="AH784521" s="251"/>
      <c r="AK784521" s="251"/>
    </row>
    <row r="784636" spans="25:37" x14ac:dyDescent="0.2">
      <c r="Y784636" s="5"/>
      <c r="AB784636" s="5"/>
      <c r="AE784636" s="5"/>
      <c r="AH784636" s="5"/>
      <c r="AK784636" s="5"/>
    </row>
    <row r="784646" spans="25:37" x14ac:dyDescent="0.2">
      <c r="Y784646" s="251"/>
      <c r="AB784646" s="251"/>
      <c r="AE784646" s="251"/>
      <c r="AH784646" s="251"/>
      <c r="AK784646" s="251"/>
    </row>
    <row r="784761" spans="25:37" x14ac:dyDescent="0.2">
      <c r="Y784761" s="5"/>
      <c r="AB784761" s="5"/>
      <c r="AE784761" s="5"/>
      <c r="AH784761" s="5"/>
      <c r="AK784761" s="5"/>
    </row>
    <row r="784771" spans="25:37" x14ac:dyDescent="0.2">
      <c r="Y784771" s="251"/>
      <c r="AB784771" s="251"/>
      <c r="AE784771" s="251"/>
      <c r="AH784771" s="251"/>
      <c r="AK784771" s="251"/>
    </row>
    <row r="784886" spans="25:37" x14ac:dyDescent="0.2">
      <c r="Y784886" s="5"/>
      <c r="AB784886" s="5"/>
      <c r="AE784886" s="5"/>
      <c r="AH784886" s="5"/>
      <c r="AK784886" s="5"/>
    </row>
    <row r="784896" spans="25:37" x14ac:dyDescent="0.2">
      <c r="Y784896" s="251"/>
      <c r="AB784896" s="251"/>
      <c r="AE784896" s="251"/>
      <c r="AH784896" s="251"/>
      <c r="AK784896" s="251"/>
    </row>
    <row r="785011" spans="25:37" x14ac:dyDescent="0.2">
      <c r="Y785011" s="5"/>
      <c r="AB785011" s="5"/>
      <c r="AE785011" s="5"/>
      <c r="AH785011" s="5"/>
      <c r="AK785011" s="5"/>
    </row>
    <row r="785021" spans="25:37" x14ac:dyDescent="0.2">
      <c r="Y785021" s="251"/>
      <c r="AB785021" s="251"/>
      <c r="AE785021" s="251"/>
      <c r="AH785021" s="251"/>
      <c r="AK785021" s="251"/>
    </row>
    <row r="785136" spans="25:37" x14ac:dyDescent="0.2">
      <c r="Y785136" s="5"/>
      <c r="AB785136" s="5"/>
      <c r="AE785136" s="5"/>
      <c r="AH785136" s="5"/>
      <c r="AK785136" s="5"/>
    </row>
    <row r="785146" spans="25:37" x14ac:dyDescent="0.2">
      <c r="Y785146" s="251"/>
      <c r="AB785146" s="251"/>
      <c r="AE785146" s="251"/>
      <c r="AH785146" s="251"/>
      <c r="AK785146" s="251"/>
    </row>
    <row r="785261" spans="25:37" x14ac:dyDescent="0.2">
      <c r="Y785261" s="5"/>
      <c r="AB785261" s="5"/>
      <c r="AE785261" s="5"/>
      <c r="AH785261" s="5"/>
      <c r="AK785261" s="5"/>
    </row>
    <row r="785271" spans="25:37" x14ac:dyDescent="0.2">
      <c r="Y785271" s="251"/>
      <c r="AB785271" s="251"/>
      <c r="AE785271" s="251"/>
      <c r="AH785271" s="251"/>
      <c r="AK785271" s="251"/>
    </row>
    <row r="785386" spans="25:37" x14ac:dyDescent="0.2">
      <c r="Y785386" s="5"/>
      <c r="AB785386" s="5"/>
      <c r="AE785386" s="5"/>
      <c r="AH785386" s="5"/>
      <c r="AK785386" s="5"/>
    </row>
    <row r="785396" spans="25:37" x14ac:dyDescent="0.2">
      <c r="Y785396" s="251"/>
      <c r="AB785396" s="251"/>
      <c r="AE785396" s="251"/>
      <c r="AH785396" s="251"/>
      <c r="AK785396" s="251"/>
    </row>
    <row r="785511" spans="25:37" x14ac:dyDescent="0.2">
      <c r="Y785511" s="5"/>
      <c r="AB785511" s="5"/>
      <c r="AE785511" s="5"/>
      <c r="AH785511" s="5"/>
      <c r="AK785511" s="5"/>
    </row>
    <row r="785521" spans="25:37" x14ac:dyDescent="0.2">
      <c r="Y785521" s="251"/>
      <c r="AB785521" s="251"/>
      <c r="AE785521" s="251"/>
      <c r="AH785521" s="251"/>
      <c r="AK785521" s="251"/>
    </row>
    <row r="785636" spans="25:37" x14ac:dyDescent="0.2">
      <c r="Y785636" s="5"/>
      <c r="AB785636" s="5"/>
      <c r="AE785636" s="5"/>
      <c r="AH785636" s="5"/>
      <c r="AK785636" s="5"/>
    </row>
    <row r="785646" spans="25:37" x14ac:dyDescent="0.2">
      <c r="Y785646" s="251"/>
      <c r="AB785646" s="251"/>
      <c r="AE785646" s="251"/>
      <c r="AH785646" s="251"/>
      <c r="AK785646" s="251"/>
    </row>
    <row r="785761" spans="25:37" x14ac:dyDescent="0.2">
      <c r="Y785761" s="5"/>
      <c r="AB785761" s="5"/>
      <c r="AE785761" s="5"/>
      <c r="AH785761" s="5"/>
      <c r="AK785761" s="5"/>
    </row>
    <row r="785771" spans="25:37" x14ac:dyDescent="0.2">
      <c r="Y785771" s="251"/>
      <c r="AB785771" s="251"/>
      <c r="AE785771" s="251"/>
      <c r="AH785771" s="251"/>
      <c r="AK785771" s="251"/>
    </row>
    <row r="785886" spans="25:37" x14ac:dyDescent="0.2">
      <c r="Y785886" s="5"/>
      <c r="AB785886" s="5"/>
      <c r="AE785886" s="5"/>
      <c r="AH785886" s="5"/>
      <c r="AK785886" s="5"/>
    </row>
    <row r="785896" spans="25:37" x14ac:dyDescent="0.2">
      <c r="Y785896" s="251"/>
      <c r="AB785896" s="251"/>
      <c r="AE785896" s="251"/>
      <c r="AH785896" s="251"/>
      <c r="AK785896" s="251"/>
    </row>
    <row r="786011" spans="25:37" x14ac:dyDescent="0.2">
      <c r="Y786011" s="5"/>
      <c r="AB786011" s="5"/>
      <c r="AE786011" s="5"/>
      <c r="AH786011" s="5"/>
      <c r="AK786011" s="5"/>
    </row>
    <row r="786021" spans="25:37" x14ac:dyDescent="0.2">
      <c r="Y786021" s="251"/>
      <c r="AB786021" s="251"/>
      <c r="AE786021" s="251"/>
      <c r="AH786021" s="251"/>
      <c r="AK786021" s="251"/>
    </row>
    <row r="786136" spans="25:37" x14ac:dyDescent="0.2">
      <c r="Y786136" s="5"/>
      <c r="AB786136" s="5"/>
      <c r="AE786136" s="5"/>
      <c r="AH786136" s="5"/>
      <c r="AK786136" s="5"/>
    </row>
    <row r="786146" spans="25:37" x14ac:dyDescent="0.2">
      <c r="Y786146" s="251"/>
      <c r="AB786146" s="251"/>
      <c r="AE786146" s="251"/>
      <c r="AH786146" s="251"/>
      <c r="AK786146" s="251"/>
    </row>
    <row r="786261" spans="25:37" x14ac:dyDescent="0.2">
      <c r="Y786261" s="5"/>
      <c r="AB786261" s="5"/>
      <c r="AE786261" s="5"/>
      <c r="AH786261" s="5"/>
      <c r="AK786261" s="5"/>
    </row>
    <row r="786271" spans="25:37" x14ac:dyDescent="0.2">
      <c r="Y786271" s="251"/>
      <c r="AB786271" s="251"/>
      <c r="AE786271" s="251"/>
      <c r="AH786271" s="251"/>
      <c r="AK786271" s="251"/>
    </row>
    <row r="786386" spans="25:37" x14ac:dyDescent="0.2">
      <c r="Y786386" s="5"/>
      <c r="AB786386" s="5"/>
      <c r="AE786386" s="5"/>
      <c r="AH786386" s="5"/>
      <c r="AK786386" s="5"/>
    </row>
    <row r="786396" spans="25:37" x14ac:dyDescent="0.2">
      <c r="Y786396" s="251"/>
      <c r="AB786396" s="251"/>
      <c r="AE786396" s="251"/>
      <c r="AH786396" s="251"/>
      <c r="AK786396" s="251"/>
    </row>
    <row r="786511" spans="25:37" x14ac:dyDescent="0.2">
      <c r="Y786511" s="5"/>
      <c r="AB786511" s="5"/>
      <c r="AE786511" s="5"/>
      <c r="AH786511" s="5"/>
      <c r="AK786511" s="5"/>
    </row>
    <row r="786521" spans="25:37" x14ac:dyDescent="0.2">
      <c r="Y786521" s="251"/>
      <c r="AB786521" s="251"/>
      <c r="AE786521" s="251"/>
      <c r="AH786521" s="251"/>
      <c r="AK786521" s="251"/>
    </row>
    <row r="786636" spans="25:37" x14ac:dyDescent="0.2">
      <c r="Y786636" s="5"/>
      <c r="AB786636" s="5"/>
      <c r="AE786636" s="5"/>
      <c r="AH786636" s="5"/>
      <c r="AK786636" s="5"/>
    </row>
    <row r="786646" spans="25:37" x14ac:dyDescent="0.2">
      <c r="Y786646" s="251"/>
      <c r="AB786646" s="251"/>
      <c r="AE786646" s="251"/>
      <c r="AH786646" s="251"/>
      <c r="AK786646" s="251"/>
    </row>
    <row r="786761" spans="25:37" x14ac:dyDescent="0.2">
      <c r="Y786761" s="5"/>
      <c r="AB786761" s="5"/>
      <c r="AE786761" s="5"/>
      <c r="AH786761" s="5"/>
      <c r="AK786761" s="5"/>
    </row>
    <row r="786771" spans="25:37" x14ac:dyDescent="0.2">
      <c r="Y786771" s="251"/>
      <c r="AB786771" s="251"/>
      <c r="AE786771" s="251"/>
      <c r="AH786771" s="251"/>
      <c r="AK786771" s="251"/>
    </row>
    <row r="786886" spans="25:37" x14ac:dyDescent="0.2">
      <c r="Y786886" s="5"/>
      <c r="AB786886" s="5"/>
      <c r="AE786886" s="5"/>
      <c r="AH786886" s="5"/>
      <c r="AK786886" s="5"/>
    </row>
    <row r="786896" spans="25:37" x14ac:dyDescent="0.2">
      <c r="Y786896" s="251"/>
      <c r="AB786896" s="251"/>
      <c r="AE786896" s="251"/>
      <c r="AH786896" s="251"/>
      <c r="AK786896" s="251"/>
    </row>
    <row r="787011" spans="25:37" x14ac:dyDescent="0.2">
      <c r="Y787011" s="5"/>
      <c r="AB787011" s="5"/>
      <c r="AE787011" s="5"/>
      <c r="AH787011" s="5"/>
      <c r="AK787011" s="5"/>
    </row>
    <row r="787021" spans="25:37" x14ac:dyDescent="0.2">
      <c r="Y787021" s="251"/>
      <c r="AB787021" s="251"/>
      <c r="AE787021" s="251"/>
      <c r="AH787021" s="251"/>
      <c r="AK787021" s="251"/>
    </row>
    <row r="787136" spans="25:37" x14ac:dyDescent="0.2">
      <c r="Y787136" s="5"/>
      <c r="AB787136" s="5"/>
      <c r="AE787136" s="5"/>
      <c r="AH787136" s="5"/>
      <c r="AK787136" s="5"/>
    </row>
    <row r="787146" spans="25:37" x14ac:dyDescent="0.2">
      <c r="Y787146" s="251"/>
      <c r="AB787146" s="251"/>
      <c r="AE787146" s="251"/>
      <c r="AH787146" s="251"/>
      <c r="AK787146" s="251"/>
    </row>
    <row r="787261" spans="25:37" x14ac:dyDescent="0.2">
      <c r="Y787261" s="5"/>
      <c r="AB787261" s="5"/>
      <c r="AE787261" s="5"/>
      <c r="AH787261" s="5"/>
      <c r="AK787261" s="5"/>
    </row>
    <row r="787271" spans="25:37" x14ac:dyDescent="0.2">
      <c r="Y787271" s="251"/>
      <c r="AB787271" s="251"/>
      <c r="AE787271" s="251"/>
      <c r="AH787271" s="251"/>
      <c r="AK787271" s="251"/>
    </row>
    <row r="787386" spans="25:37" x14ac:dyDescent="0.2">
      <c r="Y787386" s="5"/>
      <c r="AB787386" s="5"/>
      <c r="AE787386" s="5"/>
      <c r="AH787386" s="5"/>
      <c r="AK787386" s="5"/>
    </row>
    <row r="787396" spans="25:37" x14ac:dyDescent="0.2">
      <c r="Y787396" s="251"/>
      <c r="AB787396" s="251"/>
      <c r="AE787396" s="251"/>
      <c r="AH787396" s="251"/>
      <c r="AK787396" s="251"/>
    </row>
    <row r="787511" spans="25:37" x14ac:dyDescent="0.2">
      <c r="Y787511" s="5"/>
      <c r="AB787511" s="5"/>
      <c r="AE787511" s="5"/>
      <c r="AH787511" s="5"/>
      <c r="AK787511" s="5"/>
    </row>
    <row r="787521" spans="25:37" x14ac:dyDescent="0.2">
      <c r="Y787521" s="251"/>
      <c r="AB787521" s="251"/>
      <c r="AE787521" s="251"/>
      <c r="AH787521" s="251"/>
      <c r="AK787521" s="251"/>
    </row>
    <row r="787636" spans="25:37" x14ac:dyDescent="0.2">
      <c r="Y787636" s="5"/>
      <c r="AB787636" s="5"/>
      <c r="AE787636" s="5"/>
      <c r="AH787636" s="5"/>
      <c r="AK787636" s="5"/>
    </row>
    <row r="787646" spans="25:37" x14ac:dyDescent="0.2">
      <c r="Y787646" s="251"/>
      <c r="AB787646" s="251"/>
      <c r="AE787646" s="251"/>
      <c r="AH787646" s="251"/>
      <c r="AK787646" s="251"/>
    </row>
    <row r="787761" spans="25:37" x14ac:dyDescent="0.2">
      <c r="Y787761" s="5"/>
      <c r="AB787761" s="5"/>
      <c r="AE787761" s="5"/>
      <c r="AH787761" s="5"/>
      <c r="AK787761" s="5"/>
    </row>
    <row r="787771" spans="25:37" x14ac:dyDescent="0.2">
      <c r="Y787771" s="251"/>
      <c r="AB787771" s="251"/>
      <c r="AE787771" s="251"/>
      <c r="AH787771" s="251"/>
      <c r="AK787771" s="251"/>
    </row>
    <row r="787886" spans="25:37" x14ac:dyDescent="0.2">
      <c r="Y787886" s="5"/>
      <c r="AB787886" s="5"/>
      <c r="AE787886" s="5"/>
      <c r="AH787886" s="5"/>
      <c r="AK787886" s="5"/>
    </row>
    <row r="787896" spans="25:37" x14ac:dyDescent="0.2">
      <c r="Y787896" s="251"/>
      <c r="AB787896" s="251"/>
      <c r="AE787896" s="251"/>
      <c r="AH787896" s="251"/>
      <c r="AK787896" s="251"/>
    </row>
    <row r="788011" spans="25:37" x14ac:dyDescent="0.2">
      <c r="Y788011" s="5"/>
      <c r="AB788011" s="5"/>
      <c r="AE788011" s="5"/>
      <c r="AH788011" s="5"/>
      <c r="AK788011" s="5"/>
    </row>
    <row r="788021" spans="25:37" x14ac:dyDescent="0.2">
      <c r="Y788021" s="251"/>
      <c r="AB788021" s="251"/>
      <c r="AE788021" s="251"/>
      <c r="AH788021" s="251"/>
      <c r="AK788021" s="251"/>
    </row>
    <row r="788136" spans="25:37" x14ac:dyDescent="0.2">
      <c r="Y788136" s="5"/>
      <c r="AB788136" s="5"/>
      <c r="AE788136" s="5"/>
      <c r="AH788136" s="5"/>
      <c r="AK788136" s="5"/>
    </row>
    <row r="788146" spans="25:37" x14ac:dyDescent="0.2">
      <c r="Y788146" s="251"/>
      <c r="AB788146" s="251"/>
      <c r="AE788146" s="251"/>
      <c r="AH788146" s="251"/>
      <c r="AK788146" s="251"/>
    </row>
    <row r="788261" spans="25:37" x14ac:dyDescent="0.2">
      <c r="Y788261" s="5"/>
      <c r="AB788261" s="5"/>
      <c r="AE788261" s="5"/>
      <c r="AH788261" s="5"/>
      <c r="AK788261" s="5"/>
    </row>
    <row r="788271" spans="25:37" x14ac:dyDescent="0.2">
      <c r="Y788271" s="251"/>
      <c r="AB788271" s="251"/>
      <c r="AE788271" s="251"/>
      <c r="AH788271" s="251"/>
      <c r="AK788271" s="251"/>
    </row>
    <row r="788386" spans="25:37" x14ac:dyDescent="0.2">
      <c r="Y788386" s="5"/>
      <c r="AB788386" s="5"/>
      <c r="AE788386" s="5"/>
      <c r="AH788386" s="5"/>
      <c r="AK788386" s="5"/>
    </row>
    <row r="788396" spans="25:37" x14ac:dyDescent="0.2">
      <c r="Y788396" s="251"/>
      <c r="AB788396" s="251"/>
      <c r="AE788396" s="251"/>
      <c r="AH788396" s="251"/>
      <c r="AK788396" s="251"/>
    </row>
    <row r="788511" spans="25:37" x14ac:dyDescent="0.2">
      <c r="Y788511" s="5"/>
      <c r="AB788511" s="5"/>
      <c r="AE788511" s="5"/>
      <c r="AH788511" s="5"/>
      <c r="AK788511" s="5"/>
    </row>
    <row r="788521" spans="25:37" x14ac:dyDescent="0.2">
      <c r="Y788521" s="251"/>
      <c r="AB788521" s="251"/>
      <c r="AE788521" s="251"/>
      <c r="AH788521" s="251"/>
      <c r="AK788521" s="251"/>
    </row>
    <row r="788636" spans="25:37" x14ac:dyDescent="0.2">
      <c r="Y788636" s="5"/>
      <c r="AB788636" s="5"/>
      <c r="AE788636" s="5"/>
      <c r="AH788636" s="5"/>
      <c r="AK788636" s="5"/>
    </row>
    <row r="788646" spans="25:37" x14ac:dyDescent="0.2">
      <c r="Y788646" s="251"/>
      <c r="AB788646" s="251"/>
      <c r="AE788646" s="251"/>
      <c r="AH788646" s="251"/>
      <c r="AK788646" s="251"/>
    </row>
    <row r="788761" spans="25:37" x14ac:dyDescent="0.2">
      <c r="Y788761" s="5"/>
      <c r="AB788761" s="5"/>
      <c r="AE788761" s="5"/>
      <c r="AH788761" s="5"/>
      <c r="AK788761" s="5"/>
    </row>
    <row r="788771" spans="25:37" x14ac:dyDescent="0.2">
      <c r="Y788771" s="251"/>
      <c r="AB788771" s="251"/>
      <c r="AE788771" s="251"/>
      <c r="AH788771" s="251"/>
      <c r="AK788771" s="251"/>
    </row>
    <row r="788886" spans="25:37" x14ac:dyDescent="0.2">
      <c r="Y788886" s="5"/>
      <c r="AB788886" s="5"/>
      <c r="AE788886" s="5"/>
      <c r="AH788886" s="5"/>
      <c r="AK788886" s="5"/>
    </row>
    <row r="788896" spans="25:37" x14ac:dyDescent="0.2">
      <c r="Y788896" s="251"/>
      <c r="AB788896" s="251"/>
      <c r="AE788896" s="251"/>
      <c r="AH788896" s="251"/>
      <c r="AK788896" s="251"/>
    </row>
    <row r="789011" spans="25:37" x14ac:dyDescent="0.2">
      <c r="Y789011" s="5"/>
      <c r="AB789011" s="5"/>
      <c r="AE789011" s="5"/>
      <c r="AH789011" s="5"/>
      <c r="AK789011" s="5"/>
    </row>
    <row r="789021" spans="25:37" x14ac:dyDescent="0.2">
      <c r="Y789021" s="251"/>
      <c r="AB789021" s="251"/>
      <c r="AE789021" s="251"/>
      <c r="AH789021" s="251"/>
      <c r="AK789021" s="251"/>
    </row>
    <row r="789136" spans="25:37" x14ac:dyDescent="0.2">
      <c r="Y789136" s="5"/>
      <c r="AB789136" s="5"/>
      <c r="AE789136" s="5"/>
      <c r="AH789136" s="5"/>
      <c r="AK789136" s="5"/>
    </row>
    <row r="789146" spans="25:37" x14ac:dyDescent="0.2">
      <c r="Y789146" s="251"/>
      <c r="AB789146" s="251"/>
      <c r="AE789146" s="251"/>
      <c r="AH789146" s="251"/>
      <c r="AK789146" s="251"/>
    </row>
    <row r="789261" spans="25:37" x14ac:dyDescent="0.2">
      <c r="Y789261" s="5"/>
      <c r="AB789261" s="5"/>
      <c r="AE789261" s="5"/>
      <c r="AH789261" s="5"/>
      <c r="AK789261" s="5"/>
    </row>
    <row r="789271" spans="25:37" x14ac:dyDescent="0.2">
      <c r="Y789271" s="251"/>
      <c r="AB789271" s="251"/>
      <c r="AE789271" s="251"/>
      <c r="AH789271" s="251"/>
      <c r="AK789271" s="251"/>
    </row>
    <row r="789386" spans="25:37" x14ac:dyDescent="0.2">
      <c r="Y789386" s="5"/>
      <c r="AB789386" s="5"/>
      <c r="AE789386" s="5"/>
      <c r="AH789386" s="5"/>
      <c r="AK789386" s="5"/>
    </row>
    <row r="789396" spans="25:37" x14ac:dyDescent="0.2">
      <c r="Y789396" s="251"/>
      <c r="AB789396" s="251"/>
      <c r="AE789396" s="251"/>
      <c r="AH789396" s="251"/>
      <c r="AK789396" s="251"/>
    </row>
    <row r="789511" spans="25:37" x14ac:dyDescent="0.2">
      <c r="Y789511" s="5"/>
      <c r="AB789511" s="5"/>
      <c r="AE789511" s="5"/>
      <c r="AH789511" s="5"/>
      <c r="AK789511" s="5"/>
    </row>
    <row r="789521" spans="25:37" x14ac:dyDescent="0.2">
      <c r="Y789521" s="251"/>
      <c r="AB789521" s="251"/>
      <c r="AE789521" s="251"/>
      <c r="AH789521" s="251"/>
      <c r="AK789521" s="251"/>
    </row>
    <row r="789636" spans="25:37" x14ac:dyDescent="0.2">
      <c r="Y789636" s="5"/>
      <c r="AB789636" s="5"/>
      <c r="AE789636" s="5"/>
      <c r="AH789636" s="5"/>
      <c r="AK789636" s="5"/>
    </row>
    <row r="789646" spans="25:37" x14ac:dyDescent="0.2">
      <c r="Y789646" s="251"/>
      <c r="AB789646" s="251"/>
      <c r="AE789646" s="251"/>
      <c r="AH789646" s="251"/>
      <c r="AK789646" s="251"/>
    </row>
    <row r="789761" spans="25:37" x14ac:dyDescent="0.2">
      <c r="Y789761" s="5"/>
      <c r="AB789761" s="5"/>
      <c r="AE789761" s="5"/>
      <c r="AH789761" s="5"/>
      <c r="AK789761" s="5"/>
    </row>
    <row r="789771" spans="25:37" x14ac:dyDescent="0.2">
      <c r="Y789771" s="251"/>
      <c r="AB789771" s="251"/>
      <c r="AE789771" s="251"/>
      <c r="AH789771" s="251"/>
      <c r="AK789771" s="251"/>
    </row>
    <row r="789886" spans="25:37" x14ac:dyDescent="0.2">
      <c r="Y789886" s="5"/>
      <c r="AB789886" s="5"/>
      <c r="AE789886" s="5"/>
      <c r="AH789886" s="5"/>
      <c r="AK789886" s="5"/>
    </row>
    <row r="789896" spans="25:37" x14ac:dyDescent="0.2">
      <c r="Y789896" s="251"/>
      <c r="AB789896" s="251"/>
      <c r="AE789896" s="251"/>
      <c r="AH789896" s="251"/>
      <c r="AK789896" s="251"/>
    </row>
    <row r="790011" spans="25:37" x14ac:dyDescent="0.2">
      <c r="Y790011" s="5"/>
      <c r="AB790011" s="5"/>
      <c r="AE790011" s="5"/>
      <c r="AH790011" s="5"/>
      <c r="AK790011" s="5"/>
    </row>
    <row r="790021" spans="25:37" x14ac:dyDescent="0.2">
      <c r="Y790021" s="251"/>
      <c r="AB790021" s="251"/>
      <c r="AE790021" s="251"/>
      <c r="AH790021" s="251"/>
      <c r="AK790021" s="251"/>
    </row>
    <row r="790136" spans="25:37" x14ac:dyDescent="0.2">
      <c r="Y790136" s="5"/>
      <c r="AB790136" s="5"/>
      <c r="AE790136" s="5"/>
      <c r="AH790136" s="5"/>
      <c r="AK790136" s="5"/>
    </row>
    <row r="790146" spans="25:37" x14ac:dyDescent="0.2">
      <c r="Y790146" s="251"/>
      <c r="AB790146" s="251"/>
      <c r="AE790146" s="251"/>
      <c r="AH790146" s="251"/>
      <c r="AK790146" s="251"/>
    </row>
    <row r="790261" spans="25:37" x14ac:dyDescent="0.2">
      <c r="Y790261" s="5"/>
      <c r="AB790261" s="5"/>
      <c r="AE790261" s="5"/>
      <c r="AH790261" s="5"/>
      <c r="AK790261" s="5"/>
    </row>
    <row r="790271" spans="25:37" x14ac:dyDescent="0.2">
      <c r="Y790271" s="251"/>
      <c r="AB790271" s="251"/>
      <c r="AE790271" s="251"/>
      <c r="AH790271" s="251"/>
      <c r="AK790271" s="251"/>
    </row>
    <row r="790386" spans="25:37" x14ac:dyDescent="0.2">
      <c r="Y790386" s="5"/>
      <c r="AB790386" s="5"/>
      <c r="AE790386" s="5"/>
      <c r="AH790386" s="5"/>
      <c r="AK790386" s="5"/>
    </row>
    <row r="790396" spans="25:37" x14ac:dyDescent="0.2">
      <c r="Y790396" s="251"/>
      <c r="AB790396" s="251"/>
      <c r="AE790396" s="251"/>
      <c r="AH790396" s="251"/>
      <c r="AK790396" s="251"/>
    </row>
    <row r="790511" spans="25:37" x14ac:dyDescent="0.2">
      <c r="Y790511" s="5"/>
      <c r="AB790511" s="5"/>
      <c r="AE790511" s="5"/>
      <c r="AH790511" s="5"/>
      <c r="AK790511" s="5"/>
    </row>
    <row r="790521" spans="25:37" x14ac:dyDescent="0.2">
      <c r="Y790521" s="251"/>
      <c r="AB790521" s="251"/>
      <c r="AE790521" s="251"/>
      <c r="AH790521" s="251"/>
      <c r="AK790521" s="251"/>
    </row>
    <row r="790636" spans="25:37" x14ac:dyDescent="0.2">
      <c r="Y790636" s="5"/>
      <c r="AB790636" s="5"/>
      <c r="AE790636" s="5"/>
      <c r="AH790636" s="5"/>
      <c r="AK790636" s="5"/>
    </row>
    <row r="790646" spans="25:37" x14ac:dyDescent="0.2">
      <c r="Y790646" s="251"/>
      <c r="AB790646" s="251"/>
      <c r="AE790646" s="251"/>
      <c r="AH790646" s="251"/>
      <c r="AK790646" s="251"/>
    </row>
    <row r="790761" spans="25:37" x14ac:dyDescent="0.2">
      <c r="Y790761" s="5"/>
      <c r="AB790761" s="5"/>
      <c r="AE790761" s="5"/>
      <c r="AH790761" s="5"/>
      <c r="AK790761" s="5"/>
    </row>
    <row r="790771" spans="25:37" x14ac:dyDescent="0.2">
      <c r="Y790771" s="251"/>
      <c r="AB790771" s="251"/>
      <c r="AE790771" s="251"/>
      <c r="AH790771" s="251"/>
      <c r="AK790771" s="251"/>
    </row>
    <row r="790886" spans="25:37" x14ac:dyDescent="0.2">
      <c r="Y790886" s="5"/>
      <c r="AB790886" s="5"/>
      <c r="AE790886" s="5"/>
      <c r="AH790886" s="5"/>
      <c r="AK790886" s="5"/>
    </row>
    <row r="790896" spans="25:37" x14ac:dyDescent="0.2">
      <c r="Y790896" s="251"/>
      <c r="AB790896" s="251"/>
      <c r="AE790896" s="251"/>
      <c r="AH790896" s="251"/>
      <c r="AK790896" s="251"/>
    </row>
    <row r="791011" spans="25:37" x14ac:dyDescent="0.2">
      <c r="Y791011" s="5"/>
      <c r="AB791011" s="5"/>
      <c r="AE791011" s="5"/>
      <c r="AH791011" s="5"/>
      <c r="AK791011" s="5"/>
    </row>
    <row r="791021" spans="25:37" x14ac:dyDescent="0.2">
      <c r="Y791021" s="251"/>
      <c r="AB791021" s="251"/>
      <c r="AE791021" s="251"/>
      <c r="AH791021" s="251"/>
      <c r="AK791021" s="251"/>
    </row>
    <row r="791136" spans="25:37" x14ac:dyDescent="0.2">
      <c r="Y791136" s="5"/>
      <c r="AB791136" s="5"/>
      <c r="AE791136" s="5"/>
      <c r="AH791136" s="5"/>
      <c r="AK791136" s="5"/>
    </row>
    <row r="791146" spans="25:37" x14ac:dyDescent="0.2">
      <c r="Y791146" s="251"/>
      <c r="AB791146" s="251"/>
      <c r="AE791146" s="251"/>
      <c r="AH791146" s="251"/>
      <c r="AK791146" s="251"/>
    </row>
    <row r="791261" spans="25:37" x14ac:dyDescent="0.2">
      <c r="Y791261" s="5"/>
      <c r="AB791261" s="5"/>
      <c r="AE791261" s="5"/>
      <c r="AH791261" s="5"/>
      <c r="AK791261" s="5"/>
    </row>
    <row r="791271" spans="25:37" x14ac:dyDescent="0.2">
      <c r="Y791271" s="251"/>
      <c r="AB791271" s="251"/>
      <c r="AE791271" s="251"/>
      <c r="AH791271" s="251"/>
      <c r="AK791271" s="251"/>
    </row>
    <row r="791386" spans="25:37" x14ac:dyDescent="0.2">
      <c r="Y791386" s="5"/>
      <c r="AB791386" s="5"/>
      <c r="AE791386" s="5"/>
      <c r="AH791386" s="5"/>
      <c r="AK791386" s="5"/>
    </row>
    <row r="791396" spans="25:37" x14ac:dyDescent="0.2">
      <c r="Y791396" s="251"/>
      <c r="AB791396" s="251"/>
      <c r="AE791396" s="251"/>
      <c r="AH791396" s="251"/>
      <c r="AK791396" s="251"/>
    </row>
    <row r="791511" spans="25:37" x14ac:dyDescent="0.2">
      <c r="Y791511" s="5"/>
      <c r="AB791511" s="5"/>
      <c r="AE791511" s="5"/>
      <c r="AH791511" s="5"/>
      <c r="AK791511" s="5"/>
    </row>
    <row r="791521" spans="25:37" x14ac:dyDescent="0.2">
      <c r="Y791521" s="251"/>
      <c r="AB791521" s="251"/>
      <c r="AE791521" s="251"/>
      <c r="AH791521" s="251"/>
      <c r="AK791521" s="251"/>
    </row>
    <row r="791636" spans="25:37" x14ac:dyDescent="0.2">
      <c r="Y791636" s="5"/>
      <c r="AB791636" s="5"/>
      <c r="AE791636" s="5"/>
      <c r="AH791636" s="5"/>
      <c r="AK791636" s="5"/>
    </row>
    <row r="791646" spans="25:37" x14ac:dyDescent="0.2">
      <c r="Y791646" s="251"/>
      <c r="AB791646" s="251"/>
      <c r="AE791646" s="251"/>
      <c r="AH791646" s="251"/>
      <c r="AK791646" s="251"/>
    </row>
    <row r="791761" spans="25:37" x14ac:dyDescent="0.2">
      <c r="Y791761" s="5"/>
      <c r="AB791761" s="5"/>
      <c r="AE791761" s="5"/>
      <c r="AH791761" s="5"/>
      <c r="AK791761" s="5"/>
    </row>
    <row r="791771" spans="25:37" x14ac:dyDescent="0.2">
      <c r="Y791771" s="251"/>
      <c r="AB791771" s="251"/>
      <c r="AE791771" s="251"/>
      <c r="AH791771" s="251"/>
      <c r="AK791771" s="251"/>
    </row>
    <row r="791886" spans="25:37" x14ac:dyDescent="0.2">
      <c r="Y791886" s="5"/>
      <c r="AB791886" s="5"/>
      <c r="AE791886" s="5"/>
      <c r="AH791886" s="5"/>
      <c r="AK791886" s="5"/>
    </row>
    <row r="791896" spans="25:37" x14ac:dyDescent="0.2">
      <c r="Y791896" s="251"/>
      <c r="AB791896" s="251"/>
      <c r="AE791896" s="251"/>
      <c r="AH791896" s="251"/>
      <c r="AK791896" s="251"/>
    </row>
    <row r="792011" spans="25:37" x14ac:dyDescent="0.2">
      <c r="Y792011" s="5"/>
      <c r="AB792011" s="5"/>
      <c r="AE792011" s="5"/>
      <c r="AH792011" s="5"/>
      <c r="AK792011" s="5"/>
    </row>
    <row r="792021" spans="25:37" x14ac:dyDescent="0.2">
      <c r="Y792021" s="251"/>
      <c r="AB792021" s="251"/>
      <c r="AE792021" s="251"/>
      <c r="AH792021" s="251"/>
      <c r="AK792021" s="251"/>
    </row>
    <row r="792136" spans="25:37" x14ac:dyDescent="0.2">
      <c r="Y792136" s="5"/>
      <c r="AB792136" s="5"/>
      <c r="AE792136" s="5"/>
      <c r="AH792136" s="5"/>
      <c r="AK792136" s="5"/>
    </row>
    <row r="792146" spans="25:37" x14ac:dyDescent="0.2">
      <c r="Y792146" s="251"/>
      <c r="AB792146" s="251"/>
      <c r="AE792146" s="251"/>
      <c r="AH792146" s="251"/>
      <c r="AK792146" s="251"/>
    </row>
    <row r="792261" spans="25:37" x14ac:dyDescent="0.2">
      <c r="Y792261" s="5"/>
      <c r="AB792261" s="5"/>
      <c r="AE792261" s="5"/>
      <c r="AH792261" s="5"/>
      <c r="AK792261" s="5"/>
    </row>
    <row r="792271" spans="25:37" x14ac:dyDescent="0.2">
      <c r="Y792271" s="251"/>
      <c r="AB792271" s="251"/>
      <c r="AE792271" s="251"/>
      <c r="AH792271" s="251"/>
      <c r="AK792271" s="251"/>
    </row>
    <row r="792386" spans="25:37" x14ac:dyDescent="0.2">
      <c r="Y792386" s="5"/>
      <c r="AB792386" s="5"/>
      <c r="AE792386" s="5"/>
      <c r="AH792386" s="5"/>
      <c r="AK792386" s="5"/>
    </row>
    <row r="792396" spans="25:37" x14ac:dyDescent="0.2">
      <c r="Y792396" s="251"/>
      <c r="AB792396" s="251"/>
      <c r="AE792396" s="251"/>
      <c r="AH792396" s="251"/>
      <c r="AK792396" s="251"/>
    </row>
    <row r="792511" spans="25:37" x14ac:dyDescent="0.2">
      <c r="Y792511" s="5"/>
      <c r="AB792511" s="5"/>
      <c r="AE792511" s="5"/>
      <c r="AH792511" s="5"/>
      <c r="AK792511" s="5"/>
    </row>
    <row r="792521" spans="25:37" x14ac:dyDescent="0.2">
      <c r="Y792521" s="251"/>
      <c r="AB792521" s="251"/>
      <c r="AE792521" s="251"/>
      <c r="AH792521" s="251"/>
      <c r="AK792521" s="251"/>
    </row>
    <row r="792636" spans="25:37" x14ac:dyDescent="0.2">
      <c r="Y792636" s="5"/>
      <c r="AB792636" s="5"/>
      <c r="AE792636" s="5"/>
      <c r="AH792636" s="5"/>
      <c r="AK792636" s="5"/>
    </row>
    <row r="792646" spans="25:37" x14ac:dyDescent="0.2">
      <c r="Y792646" s="251"/>
      <c r="AB792646" s="251"/>
      <c r="AE792646" s="251"/>
      <c r="AH792646" s="251"/>
      <c r="AK792646" s="251"/>
    </row>
    <row r="792761" spans="25:37" x14ac:dyDescent="0.2">
      <c r="Y792761" s="5"/>
      <c r="AB792761" s="5"/>
      <c r="AE792761" s="5"/>
      <c r="AH792761" s="5"/>
      <c r="AK792761" s="5"/>
    </row>
    <row r="792771" spans="25:37" x14ac:dyDescent="0.2">
      <c r="Y792771" s="251"/>
      <c r="AB792771" s="251"/>
      <c r="AE792771" s="251"/>
      <c r="AH792771" s="251"/>
      <c r="AK792771" s="251"/>
    </row>
    <row r="792886" spans="25:37" x14ac:dyDescent="0.2">
      <c r="Y792886" s="5"/>
      <c r="AB792886" s="5"/>
      <c r="AE792886" s="5"/>
      <c r="AH792886" s="5"/>
      <c r="AK792886" s="5"/>
    </row>
    <row r="792896" spans="25:37" x14ac:dyDescent="0.2">
      <c r="Y792896" s="251"/>
      <c r="AB792896" s="251"/>
      <c r="AE792896" s="251"/>
      <c r="AH792896" s="251"/>
      <c r="AK792896" s="251"/>
    </row>
    <row r="793011" spans="25:37" x14ac:dyDescent="0.2">
      <c r="Y793011" s="5"/>
      <c r="AB793011" s="5"/>
      <c r="AE793011" s="5"/>
      <c r="AH793011" s="5"/>
      <c r="AK793011" s="5"/>
    </row>
    <row r="793021" spans="25:37" x14ac:dyDescent="0.2">
      <c r="Y793021" s="251"/>
      <c r="AB793021" s="251"/>
      <c r="AE793021" s="251"/>
      <c r="AH793021" s="251"/>
      <c r="AK793021" s="251"/>
    </row>
    <row r="793136" spans="25:37" x14ac:dyDescent="0.2">
      <c r="Y793136" s="5"/>
      <c r="AB793136" s="5"/>
      <c r="AE793136" s="5"/>
      <c r="AH793136" s="5"/>
      <c r="AK793136" s="5"/>
    </row>
    <row r="793146" spans="25:37" x14ac:dyDescent="0.2">
      <c r="Y793146" s="251"/>
      <c r="AB793146" s="251"/>
      <c r="AE793146" s="251"/>
      <c r="AH793146" s="251"/>
      <c r="AK793146" s="251"/>
    </row>
    <row r="793261" spans="25:37" x14ac:dyDescent="0.2">
      <c r="Y793261" s="5"/>
      <c r="AB793261" s="5"/>
      <c r="AE793261" s="5"/>
      <c r="AH793261" s="5"/>
      <c r="AK793261" s="5"/>
    </row>
    <row r="793271" spans="25:37" x14ac:dyDescent="0.2">
      <c r="Y793271" s="251"/>
      <c r="AB793271" s="251"/>
      <c r="AE793271" s="251"/>
      <c r="AH793271" s="251"/>
      <c r="AK793271" s="251"/>
    </row>
    <row r="793386" spans="25:37" x14ac:dyDescent="0.2">
      <c r="Y793386" s="5"/>
      <c r="AB793386" s="5"/>
      <c r="AE793386" s="5"/>
      <c r="AH793386" s="5"/>
      <c r="AK793386" s="5"/>
    </row>
    <row r="793396" spans="25:37" x14ac:dyDescent="0.2">
      <c r="Y793396" s="251"/>
      <c r="AB793396" s="251"/>
      <c r="AE793396" s="251"/>
      <c r="AH793396" s="251"/>
      <c r="AK793396" s="251"/>
    </row>
    <row r="793511" spans="25:37" x14ac:dyDescent="0.2">
      <c r="Y793511" s="5"/>
      <c r="AB793511" s="5"/>
      <c r="AE793511" s="5"/>
      <c r="AH793511" s="5"/>
      <c r="AK793511" s="5"/>
    </row>
    <row r="793521" spans="25:37" x14ac:dyDescent="0.2">
      <c r="Y793521" s="251"/>
      <c r="AB793521" s="251"/>
      <c r="AE793521" s="251"/>
      <c r="AH793521" s="251"/>
      <c r="AK793521" s="251"/>
    </row>
    <row r="793636" spans="25:37" x14ac:dyDescent="0.2">
      <c r="Y793636" s="5"/>
      <c r="AB793636" s="5"/>
      <c r="AE793636" s="5"/>
      <c r="AH793636" s="5"/>
      <c r="AK793636" s="5"/>
    </row>
    <row r="793646" spans="25:37" x14ac:dyDescent="0.2">
      <c r="Y793646" s="251"/>
      <c r="AB793646" s="251"/>
      <c r="AE793646" s="251"/>
      <c r="AH793646" s="251"/>
      <c r="AK793646" s="251"/>
    </row>
    <row r="793761" spans="25:37" x14ac:dyDescent="0.2">
      <c r="Y793761" s="5"/>
      <c r="AB793761" s="5"/>
      <c r="AE793761" s="5"/>
      <c r="AH793761" s="5"/>
      <c r="AK793761" s="5"/>
    </row>
    <row r="793771" spans="25:37" x14ac:dyDescent="0.2">
      <c r="Y793771" s="251"/>
      <c r="AB793771" s="251"/>
      <c r="AE793771" s="251"/>
      <c r="AH793771" s="251"/>
      <c r="AK793771" s="251"/>
    </row>
    <row r="793886" spans="25:37" x14ac:dyDescent="0.2">
      <c r="Y793886" s="5"/>
      <c r="AB793886" s="5"/>
      <c r="AE793886" s="5"/>
      <c r="AH793886" s="5"/>
      <c r="AK793886" s="5"/>
    </row>
    <row r="793896" spans="25:37" x14ac:dyDescent="0.2">
      <c r="Y793896" s="251"/>
      <c r="AB793896" s="251"/>
      <c r="AE793896" s="251"/>
      <c r="AH793896" s="251"/>
      <c r="AK793896" s="251"/>
    </row>
    <row r="794011" spans="25:37" x14ac:dyDescent="0.2">
      <c r="Y794011" s="5"/>
      <c r="AB794011" s="5"/>
      <c r="AE794011" s="5"/>
      <c r="AH794011" s="5"/>
      <c r="AK794011" s="5"/>
    </row>
    <row r="794021" spans="25:37" x14ac:dyDescent="0.2">
      <c r="Y794021" s="251"/>
      <c r="AB794021" s="251"/>
      <c r="AE794021" s="251"/>
      <c r="AH794021" s="251"/>
      <c r="AK794021" s="251"/>
    </row>
    <row r="794136" spans="25:37" x14ac:dyDescent="0.2">
      <c r="Y794136" s="5"/>
      <c r="AB794136" s="5"/>
      <c r="AE794136" s="5"/>
      <c r="AH794136" s="5"/>
      <c r="AK794136" s="5"/>
    </row>
    <row r="794146" spans="25:37" x14ac:dyDescent="0.2">
      <c r="Y794146" s="251"/>
      <c r="AB794146" s="251"/>
      <c r="AE794146" s="251"/>
      <c r="AH794146" s="251"/>
      <c r="AK794146" s="251"/>
    </row>
    <row r="794261" spans="25:37" x14ac:dyDescent="0.2">
      <c r="Y794261" s="5"/>
      <c r="AB794261" s="5"/>
      <c r="AE794261" s="5"/>
      <c r="AH794261" s="5"/>
      <c r="AK794261" s="5"/>
    </row>
    <row r="794271" spans="25:37" x14ac:dyDescent="0.2">
      <c r="Y794271" s="251"/>
      <c r="AB794271" s="251"/>
      <c r="AE794271" s="251"/>
      <c r="AH794271" s="251"/>
      <c r="AK794271" s="251"/>
    </row>
    <row r="794386" spans="25:37" x14ac:dyDescent="0.2">
      <c r="Y794386" s="5"/>
      <c r="AB794386" s="5"/>
      <c r="AE794386" s="5"/>
      <c r="AH794386" s="5"/>
      <c r="AK794386" s="5"/>
    </row>
    <row r="794396" spans="25:37" x14ac:dyDescent="0.2">
      <c r="Y794396" s="251"/>
      <c r="AB794396" s="251"/>
      <c r="AE794396" s="251"/>
      <c r="AH794396" s="251"/>
      <c r="AK794396" s="251"/>
    </row>
    <row r="794511" spans="25:37" x14ac:dyDescent="0.2">
      <c r="Y794511" s="5"/>
      <c r="AB794511" s="5"/>
      <c r="AE794511" s="5"/>
      <c r="AH794511" s="5"/>
      <c r="AK794511" s="5"/>
    </row>
    <row r="794521" spans="25:37" x14ac:dyDescent="0.2">
      <c r="Y794521" s="251"/>
      <c r="AB794521" s="251"/>
      <c r="AE794521" s="251"/>
      <c r="AH794521" s="251"/>
      <c r="AK794521" s="251"/>
    </row>
    <row r="794636" spans="25:37" x14ac:dyDescent="0.2">
      <c r="Y794636" s="5"/>
      <c r="AB794636" s="5"/>
      <c r="AE794636" s="5"/>
      <c r="AH794636" s="5"/>
      <c r="AK794636" s="5"/>
    </row>
    <row r="794646" spans="25:37" x14ac:dyDescent="0.2">
      <c r="Y794646" s="251"/>
      <c r="AB794646" s="251"/>
      <c r="AE794646" s="251"/>
      <c r="AH794646" s="251"/>
      <c r="AK794646" s="251"/>
    </row>
    <row r="794761" spans="25:37" x14ac:dyDescent="0.2">
      <c r="Y794761" s="5"/>
      <c r="AB794761" s="5"/>
      <c r="AE794761" s="5"/>
      <c r="AH794761" s="5"/>
      <c r="AK794761" s="5"/>
    </row>
    <row r="794771" spans="25:37" x14ac:dyDescent="0.2">
      <c r="Y794771" s="251"/>
      <c r="AB794771" s="251"/>
      <c r="AE794771" s="251"/>
      <c r="AH794771" s="251"/>
      <c r="AK794771" s="251"/>
    </row>
    <row r="794886" spans="25:37" x14ac:dyDescent="0.2">
      <c r="Y794886" s="5"/>
      <c r="AB794886" s="5"/>
      <c r="AE794886" s="5"/>
      <c r="AH794886" s="5"/>
      <c r="AK794886" s="5"/>
    </row>
    <row r="794896" spans="25:37" x14ac:dyDescent="0.2">
      <c r="Y794896" s="251"/>
      <c r="AB794896" s="251"/>
      <c r="AE794896" s="251"/>
      <c r="AH794896" s="251"/>
      <c r="AK794896" s="251"/>
    </row>
    <row r="795011" spans="25:37" x14ac:dyDescent="0.2">
      <c r="Y795011" s="5"/>
      <c r="AB795011" s="5"/>
      <c r="AE795011" s="5"/>
      <c r="AH795011" s="5"/>
      <c r="AK795011" s="5"/>
    </row>
    <row r="795021" spans="25:37" x14ac:dyDescent="0.2">
      <c r="Y795021" s="251"/>
      <c r="AB795021" s="251"/>
      <c r="AE795021" s="251"/>
      <c r="AH795021" s="251"/>
      <c r="AK795021" s="251"/>
    </row>
    <row r="795136" spans="25:37" x14ac:dyDescent="0.2">
      <c r="Y795136" s="5"/>
      <c r="AB795136" s="5"/>
      <c r="AE795136" s="5"/>
      <c r="AH795136" s="5"/>
      <c r="AK795136" s="5"/>
    </row>
    <row r="795146" spans="25:37" x14ac:dyDescent="0.2">
      <c r="Y795146" s="251"/>
      <c r="AB795146" s="251"/>
      <c r="AE795146" s="251"/>
      <c r="AH795146" s="251"/>
      <c r="AK795146" s="251"/>
    </row>
    <row r="795261" spans="25:37" x14ac:dyDescent="0.2">
      <c r="Y795261" s="5"/>
      <c r="AB795261" s="5"/>
      <c r="AE795261" s="5"/>
      <c r="AH795261" s="5"/>
      <c r="AK795261" s="5"/>
    </row>
    <row r="795271" spans="25:37" x14ac:dyDescent="0.2">
      <c r="Y795271" s="251"/>
      <c r="AB795271" s="251"/>
      <c r="AE795271" s="251"/>
      <c r="AH795271" s="251"/>
      <c r="AK795271" s="251"/>
    </row>
    <row r="795386" spans="25:37" x14ac:dyDescent="0.2">
      <c r="Y795386" s="5"/>
      <c r="AB795386" s="5"/>
      <c r="AE795386" s="5"/>
      <c r="AH795386" s="5"/>
      <c r="AK795386" s="5"/>
    </row>
    <row r="795396" spans="25:37" x14ac:dyDescent="0.2">
      <c r="Y795396" s="251"/>
      <c r="AB795396" s="251"/>
      <c r="AE795396" s="251"/>
      <c r="AH795396" s="251"/>
      <c r="AK795396" s="251"/>
    </row>
    <row r="795511" spans="25:37" x14ac:dyDescent="0.2">
      <c r="Y795511" s="5"/>
      <c r="AB795511" s="5"/>
      <c r="AE795511" s="5"/>
      <c r="AH795511" s="5"/>
      <c r="AK795511" s="5"/>
    </row>
    <row r="795521" spans="25:37" x14ac:dyDescent="0.2">
      <c r="Y795521" s="251"/>
      <c r="AB795521" s="251"/>
      <c r="AE795521" s="251"/>
      <c r="AH795521" s="251"/>
      <c r="AK795521" s="251"/>
    </row>
    <row r="795636" spans="25:37" x14ac:dyDescent="0.2">
      <c r="Y795636" s="5"/>
      <c r="AB795636" s="5"/>
      <c r="AE795636" s="5"/>
      <c r="AH795636" s="5"/>
      <c r="AK795636" s="5"/>
    </row>
    <row r="795646" spans="25:37" x14ac:dyDescent="0.2">
      <c r="Y795646" s="251"/>
      <c r="AB795646" s="251"/>
      <c r="AE795646" s="251"/>
      <c r="AH795646" s="251"/>
      <c r="AK795646" s="251"/>
    </row>
    <row r="795761" spans="25:37" x14ac:dyDescent="0.2">
      <c r="Y795761" s="5"/>
      <c r="AB795761" s="5"/>
      <c r="AE795761" s="5"/>
      <c r="AH795761" s="5"/>
      <c r="AK795761" s="5"/>
    </row>
    <row r="795771" spans="25:37" x14ac:dyDescent="0.2">
      <c r="Y795771" s="251"/>
      <c r="AB795771" s="251"/>
      <c r="AE795771" s="251"/>
      <c r="AH795771" s="251"/>
      <c r="AK795771" s="251"/>
    </row>
    <row r="795886" spans="25:37" x14ac:dyDescent="0.2">
      <c r="Y795886" s="5"/>
      <c r="AB795886" s="5"/>
      <c r="AE795886" s="5"/>
      <c r="AH795886" s="5"/>
      <c r="AK795886" s="5"/>
    </row>
    <row r="795896" spans="25:37" x14ac:dyDescent="0.2">
      <c r="Y795896" s="251"/>
      <c r="AB795896" s="251"/>
      <c r="AE795896" s="251"/>
      <c r="AH795896" s="251"/>
      <c r="AK795896" s="251"/>
    </row>
    <row r="796011" spans="25:37" x14ac:dyDescent="0.2">
      <c r="Y796011" s="5"/>
      <c r="AB796011" s="5"/>
      <c r="AE796011" s="5"/>
      <c r="AH796011" s="5"/>
      <c r="AK796011" s="5"/>
    </row>
    <row r="796021" spans="25:37" x14ac:dyDescent="0.2">
      <c r="Y796021" s="251"/>
      <c r="AB796021" s="251"/>
      <c r="AE796021" s="251"/>
      <c r="AH796021" s="251"/>
      <c r="AK796021" s="251"/>
    </row>
    <row r="796136" spans="25:37" x14ac:dyDescent="0.2">
      <c r="Y796136" s="5"/>
      <c r="AB796136" s="5"/>
      <c r="AE796136" s="5"/>
      <c r="AH796136" s="5"/>
      <c r="AK796136" s="5"/>
    </row>
    <row r="796146" spans="25:37" x14ac:dyDescent="0.2">
      <c r="Y796146" s="251"/>
      <c r="AB796146" s="251"/>
      <c r="AE796146" s="251"/>
      <c r="AH796146" s="251"/>
      <c r="AK796146" s="251"/>
    </row>
    <row r="796261" spans="25:37" x14ac:dyDescent="0.2">
      <c r="Y796261" s="5"/>
      <c r="AB796261" s="5"/>
      <c r="AE796261" s="5"/>
      <c r="AH796261" s="5"/>
      <c r="AK796261" s="5"/>
    </row>
    <row r="796271" spans="25:37" x14ac:dyDescent="0.2">
      <c r="Y796271" s="251"/>
      <c r="AB796271" s="251"/>
      <c r="AE796271" s="251"/>
      <c r="AH796271" s="251"/>
      <c r="AK796271" s="251"/>
    </row>
    <row r="796386" spans="25:37" x14ac:dyDescent="0.2">
      <c r="Y796386" s="5"/>
      <c r="AB796386" s="5"/>
      <c r="AE796386" s="5"/>
      <c r="AH796386" s="5"/>
      <c r="AK796386" s="5"/>
    </row>
    <row r="796396" spans="25:37" x14ac:dyDescent="0.2">
      <c r="Y796396" s="251"/>
      <c r="AB796396" s="251"/>
      <c r="AE796396" s="251"/>
      <c r="AH796396" s="251"/>
      <c r="AK796396" s="251"/>
    </row>
    <row r="796511" spans="25:37" x14ac:dyDescent="0.2">
      <c r="Y796511" s="5"/>
      <c r="AB796511" s="5"/>
      <c r="AE796511" s="5"/>
      <c r="AH796511" s="5"/>
      <c r="AK796511" s="5"/>
    </row>
    <row r="796521" spans="25:37" x14ac:dyDescent="0.2">
      <c r="Y796521" s="251"/>
      <c r="AB796521" s="251"/>
      <c r="AE796521" s="251"/>
      <c r="AH796521" s="251"/>
      <c r="AK796521" s="251"/>
    </row>
    <row r="796636" spans="25:37" x14ac:dyDescent="0.2">
      <c r="Y796636" s="5"/>
      <c r="AB796636" s="5"/>
      <c r="AE796636" s="5"/>
      <c r="AH796636" s="5"/>
      <c r="AK796636" s="5"/>
    </row>
    <row r="796646" spans="25:37" x14ac:dyDescent="0.2">
      <c r="Y796646" s="251"/>
      <c r="AB796646" s="251"/>
      <c r="AE796646" s="251"/>
      <c r="AH796646" s="251"/>
      <c r="AK796646" s="251"/>
    </row>
    <row r="796761" spans="25:37" x14ac:dyDescent="0.2">
      <c r="Y796761" s="5"/>
      <c r="AB796761" s="5"/>
      <c r="AE796761" s="5"/>
      <c r="AH796761" s="5"/>
      <c r="AK796761" s="5"/>
    </row>
    <row r="796771" spans="25:37" x14ac:dyDescent="0.2">
      <c r="Y796771" s="251"/>
      <c r="AB796771" s="251"/>
      <c r="AE796771" s="251"/>
      <c r="AH796771" s="251"/>
      <c r="AK796771" s="251"/>
    </row>
    <row r="796886" spans="25:37" x14ac:dyDescent="0.2">
      <c r="Y796886" s="5"/>
      <c r="AB796886" s="5"/>
      <c r="AE796886" s="5"/>
      <c r="AH796886" s="5"/>
      <c r="AK796886" s="5"/>
    </row>
    <row r="796896" spans="25:37" x14ac:dyDescent="0.2">
      <c r="Y796896" s="251"/>
      <c r="AB796896" s="251"/>
      <c r="AE796896" s="251"/>
      <c r="AH796896" s="251"/>
      <c r="AK796896" s="251"/>
    </row>
    <row r="797011" spans="25:37" x14ac:dyDescent="0.2">
      <c r="Y797011" s="5"/>
      <c r="AB797011" s="5"/>
      <c r="AE797011" s="5"/>
      <c r="AH797011" s="5"/>
      <c r="AK797011" s="5"/>
    </row>
    <row r="797021" spans="25:37" x14ac:dyDescent="0.2">
      <c r="Y797021" s="251"/>
      <c r="AB797021" s="251"/>
      <c r="AE797021" s="251"/>
      <c r="AH797021" s="251"/>
      <c r="AK797021" s="251"/>
    </row>
    <row r="797136" spans="25:37" x14ac:dyDescent="0.2">
      <c r="Y797136" s="5"/>
      <c r="AB797136" s="5"/>
      <c r="AE797136" s="5"/>
      <c r="AH797136" s="5"/>
      <c r="AK797136" s="5"/>
    </row>
    <row r="797146" spans="25:37" x14ac:dyDescent="0.2">
      <c r="Y797146" s="251"/>
      <c r="AB797146" s="251"/>
      <c r="AE797146" s="251"/>
      <c r="AH797146" s="251"/>
      <c r="AK797146" s="251"/>
    </row>
    <row r="797261" spans="25:37" x14ac:dyDescent="0.2">
      <c r="Y797261" s="5"/>
      <c r="AB797261" s="5"/>
      <c r="AE797261" s="5"/>
      <c r="AH797261" s="5"/>
      <c r="AK797261" s="5"/>
    </row>
    <row r="797271" spans="25:37" x14ac:dyDescent="0.2">
      <c r="Y797271" s="251"/>
      <c r="AB797271" s="251"/>
      <c r="AE797271" s="251"/>
      <c r="AH797271" s="251"/>
      <c r="AK797271" s="251"/>
    </row>
    <row r="797386" spans="25:37" x14ac:dyDescent="0.2">
      <c r="Y797386" s="5"/>
      <c r="AB797386" s="5"/>
      <c r="AE797386" s="5"/>
      <c r="AH797386" s="5"/>
      <c r="AK797386" s="5"/>
    </row>
    <row r="797396" spans="25:37" x14ac:dyDescent="0.2">
      <c r="Y797396" s="251"/>
      <c r="AB797396" s="251"/>
      <c r="AE797396" s="251"/>
      <c r="AH797396" s="251"/>
      <c r="AK797396" s="251"/>
    </row>
    <row r="797511" spans="25:37" x14ac:dyDescent="0.2">
      <c r="Y797511" s="5"/>
      <c r="AB797511" s="5"/>
      <c r="AE797511" s="5"/>
      <c r="AH797511" s="5"/>
      <c r="AK797511" s="5"/>
    </row>
    <row r="797521" spans="25:37" x14ac:dyDescent="0.2">
      <c r="Y797521" s="251"/>
      <c r="AB797521" s="251"/>
      <c r="AE797521" s="251"/>
      <c r="AH797521" s="251"/>
      <c r="AK797521" s="251"/>
    </row>
    <row r="797636" spans="25:37" x14ac:dyDescent="0.2">
      <c r="Y797636" s="5"/>
      <c r="AB797636" s="5"/>
      <c r="AE797636" s="5"/>
      <c r="AH797636" s="5"/>
      <c r="AK797636" s="5"/>
    </row>
    <row r="797646" spans="25:37" x14ac:dyDescent="0.2">
      <c r="Y797646" s="251"/>
      <c r="AB797646" s="251"/>
      <c r="AE797646" s="251"/>
      <c r="AH797646" s="251"/>
      <c r="AK797646" s="251"/>
    </row>
    <row r="797761" spans="25:37" x14ac:dyDescent="0.2">
      <c r="Y797761" s="5"/>
      <c r="AB797761" s="5"/>
      <c r="AE797761" s="5"/>
      <c r="AH797761" s="5"/>
      <c r="AK797761" s="5"/>
    </row>
    <row r="797771" spans="25:37" x14ac:dyDescent="0.2">
      <c r="Y797771" s="251"/>
      <c r="AB797771" s="251"/>
      <c r="AE797771" s="251"/>
      <c r="AH797771" s="251"/>
      <c r="AK797771" s="251"/>
    </row>
    <row r="797886" spans="25:37" x14ac:dyDescent="0.2">
      <c r="Y797886" s="5"/>
      <c r="AB797886" s="5"/>
      <c r="AE797886" s="5"/>
      <c r="AH797886" s="5"/>
      <c r="AK797886" s="5"/>
    </row>
    <row r="797896" spans="25:37" x14ac:dyDescent="0.2">
      <c r="Y797896" s="251"/>
      <c r="AB797896" s="251"/>
      <c r="AE797896" s="251"/>
      <c r="AH797896" s="251"/>
      <c r="AK797896" s="251"/>
    </row>
    <row r="798011" spans="25:37" x14ac:dyDescent="0.2">
      <c r="Y798011" s="5"/>
      <c r="AB798011" s="5"/>
      <c r="AE798011" s="5"/>
      <c r="AH798011" s="5"/>
      <c r="AK798011" s="5"/>
    </row>
    <row r="798021" spans="25:37" x14ac:dyDescent="0.2">
      <c r="Y798021" s="251"/>
      <c r="AB798021" s="251"/>
      <c r="AE798021" s="251"/>
      <c r="AH798021" s="251"/>
      <c r="AK798021" s="251"/>
    </row>
    <row r="798136" spans="25:37" x14ac:dyDescent="0.2">
      <c r="Y798136" s="5"/>
      <c r="AB798136" s="5"/>
      <c r="AE798136" s="5"/>
      <c r="AH798136" s="5"/>
      <c r="AK798136" s="5"/>
    </row>
    <row r="798146" spans="25:37" x14ac:dyDescent="0.2">
      <c r="Y798146" s="251"/>
      <c r="AB798146" s="251"/>
      <c r="AE798146" s="251"/>
      <c r="AH798146" s="251"/>
      <c r="AK798146" s="251"/>
    </row>
    <row r="798261" spans="25:37" x14ac:dyDescent="0.2">
      <c r="Y798261" s="5"/>
      <c r="AB798261" s="5"/>
      <c r="AE798261" s="5"/>
      <c r="AH798261" s="5"/>
      <c r="AK798261" s="5"/>
    </row>
    <row r="798271" spans="25:37" x14ac:dyDescent="0.2">
      <c r="Y798271" s="251"/>
      <c r="AB798271" s="251"/>
      <c r="AE798271" s="251"/>
      <c r="AH798271" s="251"/>
      <c r="AK798271" s="251"/>
    </row>
    <row r="798386" spans="25:37" x14ac:dyDescent="0.2">
      <c r="Y798386" s="5"/>
      <c r="AB798386" s="5"/>
      <c r="AE798386" s="5"/>
      <c r="AH798386" s="5"/>
      <c r="AK798386" s="5"/>
    </row>
    <row r="798396" spans="25:37" x14ac:dyDescent="0.2">
      <c r="Y798396" s="251"/>
      <c r="AB798396" s="251"/>
      <c r="AE798396" s="251"/>
      <c r="AH798396" s="251"/>
      <c r="AK798396" s="251"/>
    </row>
    <row r="798511" spans="25:37" x14ac:dyDescent="0.2">
      <c r="Y798511" s="5"/>
      <c r="AB798511" s="5"/>
      <c r="AE798511" s="5"/>
      <c r="AH798511" s="5"/>
      <c r="AK798511" s="5"/>
    </row>
    <row r="798521" spans="25:37" x14ac:dyDescent="0.2">
      <c r="Y798521" s="251"/>
      <c r="AB798521" s="251"/>
      <c r="AE798521" s="251"/>
      <c r="AH798521" s="251"/>
      <c r="AK798521" s="251"/>
    </row>
    <row r="798636" spans="25:37" x14ac:dyDescent="0.2">
      <c r="Y798636" s="5"/>
      <c r="AB798636" s="5"/>
      <c r="AE798636" s="5"/>
      <c r="AH798636" s="5"/>
      <c r="AK798636" s="5"/>
    </row>
    <row r="798646" spans="25:37" x14ac:dyDescent="0.2">
      <c r="Y798646" s="251"/>
      <c r="AB798646" s="251"/>
      <c r="AE798646" s="251"/>
      <c r="AH798646" s="251"/>
      <c r="AK798646" s="251"/>
    </row>
    <row r="798761" spans="25:37" x14ac:dyDescent="0.2">
      <c r="Y798761" s="5"/>
      <c r="AB798761" s="5"/>
      <c r="AE798761" s="5"/>
      <c r="AH798761" s="5"/>
      <c r="AK798761" s="5"/>
    </row>
    <row r="798771" spans="25:37" x14ac:dyDescent="0.2">
      <c r="Y798771" s="251"/>
      <c r="AB798771" s="251"/>
      <c r="AE798771" s="251"/>
      <c r="AH798771" s="251"/>
      <c r="AK798771" s="251"/>
    </row>
    <row r="798886" spans="25:37" x14ac:dyDescent="0.2">
      <c r="Y798886" s="5"/>
      <c r="AB798886" s="5"/>
      <c r="AE798886" s="5"/>
      <c r="AH798886" s="5"/>
      <c r="AK798886" s="5"/>
    </row>
    <row r="798896" spans="25:37" x14ac:dyDescent="0.2">
      <c r="Y798896" s="251"/>
      <c r="AB798896" s="251"/>
      <c r="AE798896" s="251"/>
      <c r="AH798896" s="251"/>
      <c r="AK798896" s="251"/>
    </row>
    <row r="799011" spans="25:37" x14ac:dyDescent="0.2">
      <c r="Y799011" s="5"/>
      <c r="AB799011" s="5"/>
      <c r="AE799011" s="5"/>
      <c r="AH799011" s="5"/>
      <c r="AK799011" s="5"/>
    </row>
    <row r="799021" spans="25:37" x14ac:dyDescent="0.2">
      <c r="Y799021" s="251"/>
      <c r="AB799021" s="251"/>
      <c r="AE799021" s="251"/>
      <c r="AH799021" s="251"/>
      <c r="AK799021" s="251"/>
    </row>
    <row r="799136" spans="25:37" x14ac:dyDescent="0.2">
      <c r="Y799136" s="5"/>
      <c r="AB799136" s="5"/>
      <c r="AE799136" s="5"/>
      <c r="AH799136" s="5"/>
      <c r="AK799136" s="5"/>
    </row>
    <row r="799146" spans="25:37" x14ac:dyDescent="0.2">
      <c r="Y799146" s="251"/>
      <c r="AB799146" s="251"/>
      <c r="AE799146" s="251"/>
      <c r="AH799146" s="251"/>
      <c r="AK799146" s="251"/>
    </row>
    <row r="799261" spans="25:37" x14ac:dyDescent="0.2">
      <c r="Y799261" s="5"/>
      <c r="AB799261" s="5"/>
      <c r="AE799261" s="5"/>
      <c r="AH799261" s="5"/>
      <c r="AK799261" s="5"/>
    </row>
    <row r="799271" spans="25:37" x14ac:dyDescent="0.2">
      <c r="Y799271" s="251"/>
      <c r="AB799271" s="251"/>
      <c r="AE799271" s="251"/>
      <c r="AH799271" s="251"/>
      <c r="AK799271" s="251"/>
    </row>
    <row r="799386" spans="25:37" x14ac:dyDescent="0.2">
      <c r="Y799386" s="5"/>
      <c r="AB799386" s="5"/>
      <c r="AE799386" s="5"/>
      <c r="AH799386" s="5"/>
      <c r="AK799386" s="5"/>
    </row>
    <row r="799396" spans="25:37" x14ac:dyDescent="0.2">
      <c r="Y799396" s="251"/>
      <c r="AB799396" s="251"/>
      <c r="AE799396" s="251"/>
      <c r="AH799396" s="251"/>
      <c r="AK799396" s="251"/>
    </row>
    <row r="799511" spans="25:37" x14ac:dyDescent="0.2">
      <c r="Y799511" s="5"/>
      <c r="AB799511" s="5"/>
      <c r="AE799511" s="5"/>
      <c r="AH799511" s="5"/>
      <c r="AK799511" s="5"/>
    </row>
    <row r="799521" spans="25:37" x14ac:dyDescent="0.2">
      <c r="Y799521" s="251"/>
      <c r="AB799521" s="251"/>
      <c r="AE799521" s="251"/>
      <c r="AH799521" s="251"/>
      <c r="AK799521" s="251"/>
    </row>
    <row r="799636" spans="25:37" x14ac:dyDescent="0.2">
      <c r="Y799636" s="5"/>
      <c r="AB799636" s="5"/>
      <c r="AE799636" s="5"/>
      <c r="AH799636" s="5"/>
      <c r="AK799636" s="5"/>
    </row>
    <row r="799646" spans="25:37" x14ac:dyDescent="0.2">
      <c r="Y799646" s="251"/>
      <c r="AB799646" s="251"/>
      <c r="AE799646" s="251"/>
      <c r="AH799646" s="251"/>
      <c r="AK799646" s="251"/>
    </row>
    <row r="799761" spans="25:37" x14ac:dyDescent="0.2">
      <c r="Y799761" s="5"/>
      <c r="AB799761" s="5"/>
      <c r="AE799761" s="5"/>
      <c r="AH799761" s="5"/>
      <c r="AK799761" s="5"/>
    </row>
    <row r="799771" spans="25:37" x14ac:dyDescent="0.2">
      <c r="Y799771" s="251"/>
      <c r="AB799771" s="251"/>
      <c r="AE799771" s="251"/>
      <c r="AH799771" s="251"/>
      <c r="AK799771" s="251"/>
    </row>
    <row r="799886" spans="25:37" x14ac:dyDescent="0.2">
      <c r="Y799886" s="5"/>
      <c r="AB799886" s="5"/>
      <c r="AE799886" s="5"/>
      <c r="AH799886" s="5"/>
      <c r="AK799886" s="5"/>
    </row>
    <row r="799896" spans="25:37" x14ac:dyDescent="0.2">
      <c r="Y799896" s="251"/>
      <c r="AB799896" s="251"/>
      <c r="AE799896" s="251"/>
      <c r="AH799896" s="251"/>
      <c r="AK799896" s="251"/>
    </row>
    <row r="800011" spans="25:37" x14ac:dyDescent="0.2">
      <c r="Y800011" s="5"/>
      <c r="AB800011" s="5"/>
      <c r="AE800011" s="5"/>
      <c r="AH800011" s="5"/>
      <c r="AK800011" s="5"/>
    </row>
    <row r="800021" spans="25:37" x14ac:dyDescent="0.2">
      <c r="Y800021" s="251"/>
      <c r="AB800021" s="251"/>
      <c r="AE800021" s="251"/>
      <c r="AH800021" s="251"/>
      <c r="AK800021" s="251"/>
    </row>
    <row r="800136" spans="25:37" x14ac:dyDescent="0.2">
      <c r="Y800136" s="5"/>
      <c r="AB800136" s="5"/>
      <c r="AE800136" s="5"/>
      <c r="AH800136" s="5"/>
      <c r="AK800136" s="5"/>
    </row>
    <row r="800146" spans="25:37" x14ac:dyDescent="0.2">
      <c r="Y800146" s="251"/>
      <c r="AB800146" s="251"/>
      <c r="AE800146" s="251"/>
      <c r="AH800146" s="251"/>
      <c r="AK800146" s="251"/>
    </row>
    <row r="800261" spans="25:37" x14ac:dyDescent="0.2">
      <c r="Y800261" s="5"/>
      <c r="AB800261" s="5"/>
      <c r="AE800261" s="5"/>
      <c r="AH800261" s="5"/>
      <c r="AK800261" s="5"/>
    </row>
    <row r="800271" spans="25:37" x14ac:dyDescent="0.2">
      <c r="Y800271" s="251"/>
      <c r="AB800271" s="251"/>
      <c r="AE800271" s="251"/>
      <c r="AH800271" s="251"/>
      <c r="AK800271" s="251"/>
    </row>
    <row r="800386" spans="25:37" x14ac:dyDescent="0.2">
      <c r="Y800386" s="5"/>
      <c r="AB800386" s="5"/>
      <c r="AE800386" s="5"/>
      <c r="AH800386" s="5"/>
      <c r="AK800386" s="5"/>
    </row>
    <row r="800396" spans="25:37" x14ac:dyDescent="0.2">
      <c r="Y800396" s="251"/>
      <c r="AB800396" s="251"/>
      <c r="AE800396" s="251"/>
      <c r="AH800396" s="251"/>
      <c r="AK800396" s="251"/>
    </row>
    <row r="800511" spans="25:37" x14ac:dyDescent="0.2">
      <c r="Y800511" s="5"/>
      <c r="AB800511" s="5"/>
      <c r="AE800511" s="5"/>
      <c r="AH800511" s="5"/>
      <c r="AK800511" s="5"/>
    </row>
    <row r="800521" spans="25:37" x14ac:dyDescent="0.2">
      <c r="Y800521" s="251"/>
      <c r="AB800521" s="251"/>
      <c r="AE800521" s="251"/>
      <c r="AH800521" s="251"/>
      <c r="AK800521" s="251"/>
    </row>
    <row r="800636" spans="25:37" x14ac:dyDescent="0.2">
      <c r="Y800636" s="5"/>
      <c r="AB800636" s="5"/>
      <c r="AE800636" s="5"/>
      <c r="AH800636" s="5"/>
      <c r="AK800636" s="5"/>
    </row>
    <row r="800646" spans="25:37" x14ac:dyDescent="0.2">
      <c r="Y800646" s="251"/>
      <c r="AB800646" s="251"/>
      <c r="AE800646" s="251"/>
      <c r="AH800646" s="251"/>
      <c r="AK800646" s="251"/>
    </row>
    <row r="800761" spans="25:37" x14ac:dyDescent="0.2">
      <c r="Y800761" s="5"/>
      <c r="AB800761" s="5"/>
      <c r="AE800761" s="5"/>
      <c r="AH800761" s="5"/>
      <c r="AK800761" s="5"/>
    </row>
    <row r="800771" spans="25:37" x14ac:dyDescent="0.2">
      <c r="Y800771" s="251"/>
      <c r="AB800771" s="251"/>
      <c r="AE800771" s="251"/>
      <c r="AH800771" s="251"/>
      <c r="AK800771" s="251"/>
    </row>
    <row r="800886" spans="25:37" x14ac:dyDescent="0.2">
      <c r="Y800886" s="5"/>
      <c r="AB800886" s="5"/>
      <c r="AE800886" s="5"/>
      <c r="AH800886" s="5"/>
      <c r="AK800886" s="5"/>
    </row>
    <row r="800896" spans="25:37" x14ac:dyDescent="0.2">
      <c r="Y800896" s="251"/>
      <c r="AB800896" s="251"/>
      <c r="AE800896" s="251"/>
      <c r="AH800896" s="251"/>
      <c r="AK800896" s="251"/>
    </row>
    <row r="801011" spans="25:37" x14ac:dyDescent="0.2">
      <c r="Y801011" s="5"/>
      <c r="AB801011" s="5"/>
      <c r="AE801011" s="5"/>
      <c r="AH801011" s="5"/>
      <c r="AK801011" s="5"/>
    </row>
    <row r="801021" spans="25:37" x14ac:dyDescent="0.2">
      <c r="Y801021" s="251"/>
      <c r="AB801021" s="251"/>
      <c r="AE801021" s="251"/>
      <c r="AH801021" s="251"/>
      <c r="AK801021" s="251"/>
    </row>
    <row r="801136" spans="25:37" x14ac:dyDescent="0.2">
      <c r="Y801136" s="5"/>
      <c r="AB801136" s="5"/>
      <c r="AE801136" s="5"/>
      <c r="AH801136" s="5"/>
      <c r="AK801136" s="5"/>
    </row>
    <row r="801146" spans="25:37" x14ac:dyDescent="0.2">
      <c r="Y801146" s="251"/>
      <c r="AB801146" s="251"/>
      <c r="AE801146" s="251"/>
      <c r="AH801146" s="251"/>
      <c r="AK801146" s="251"/>
    </row>
    <row r="801261" spans="25:37" x14ac:dyDescent="0.2">
      <c r="Y801261" s="5"/>
      <c r="AB801261" s="5"/>
      <c r="AE801261" s="5"/>
      <c r="AH801261" s="5"/>
      <c r="AK801261" s="5"/>
    </row>
    <row r="801271" spans="25:37" x14ac:dyDescent="0.2">
      <c r="Y801271" s="251"/>
      <c r="AB801271" s="251"/>
      <c r="AE801271" s="251"/>
      <c r="AH801271" s="251"/>
      <c r="AK801271" s="251"/>
    </row>
    <row r="801386" spans="25:37" x14ac:dyDescent="0.2">
      <c r="Y801386" s="5"/>
      <c r="AB801386" s="5"/>
      <c r="AE801386" s="5"/>
      <c r="AH801386" s="5"/>
      <c r="AK801386" s="5"/>
    </row>
    <row r="801396" spans="25:37" x14ac:dyDescent="0.2">
      <c r="Y801396" s="251"/>
      <c r="AB801396" s="251"/>
      <c r="AE801396" s="251"/>
      <c r="AH801396" s="251"/>
      <c r="AK801396" s="251"/>
    </row>
    <row r="801511" spans="25:37" x14ac:dyDescent="0.2">
      <c r="Y801511" s="5"/>
      <c r="AB801511" s="5"/>
      <c r="AE801511" s="5"/>
      <c r="AH801511" s="5"/>
      <c r="AK801511" s="5"/>
    </row>
    <row r="801521" spans="25:37" x14ac:dyDescent="0.2">
      <c r="Y801521" s="251"/>
      <c r="AB801521" s="251"/>
      <c r="AE801521" s="251"/>
      <c r="AH801521" s="251"/>
      <c r="AK801521" s="251"/>
    </row>
    <row r="801636" spans="25:37" x14ac:dyDescent="0.2">
      <c r="Y801636" s="5"/>
      <c r="AB801636" s="5"/>
      <c r="AE801636" s="5"/>
      <c r="AH801636" s="5"/>
      <c r="AK801636" s="5"/>
    </row>
    <row r="801646" spans="25:37" x14ac:dyDescent="0.2">
      <c r="Y801646" s="251"/>
      <c r="AB801646" s="251"/>
      <c r="AE801646" s="251"/>
      <c r="AH801646" s="251"/>
      <c r="AK801646" s="251"/>
    </row>
    <row r="801761" spans="25:37" x14ac:dyDescent="0.2">
      <c r="Y801761" s="5"/>
      <c r="AB801761" s="5"/>
      <c r="AE801761" s="5"/>
      <c r="AH801761" s="5"/>
      <c r="AK801761" s="5"/>
    </row>
    <row r="801771" spans="25:37" x14ac:dyDescent="0.2">
      <c r="Y801771" s="251"/>
      <c r="AB801771" s="251"/>
      <c r="AE801771" s="251"/>
      <c r="AH801771" s="251"/>
      <c r="AK801771" s="251"/>
    </row>
    <row r="801886" spans="25:37" x14ac:dyDescent="0.2">
      <c r="Y801886" s="5"/>
      <c r="AB801886" s="5"/>
      <c r="AE801886" s="5"/>
      <c r="AH801886" s="5"/>
      <c r="AK801886" s="5"/>
    </row>
    <row r="801896" spans="25:37" x14ac:dyDescent="0.2">
      <c r="Y801896" s="251"/>
      <c r="AB801896" s="251"/>
      <c r="AE801896" s="251"/>
      <c r="AH801896" s="251"/>
      <c r="AK801896" s="251"/>
    </row>
    <row r="802011" spans="25:37" x14ac:dyDescent="0.2">
      <c r="Y802011" s="5"/>
      <c r="AB802011" s="5"/>
      <c r="AE802011" s="5"/>
      <c r="AH802011" s="5"/>
      <c r="AK802011" s="5"/>
    </row>
    <row r="802021" spans="25:37" x14ac:dyDescent="0.2">
      <c r="Y802021" s="251"/>
      <c r="AB802021" s="251"/>
      <c r="AE802021" s="251"/>
      <c r="AH802021" s="251"/>
      <c r="AK802021" s="251"/>
    </row>
    <row r="802136" spans="25:37" x14ac:dyDescent="0.2">
      <c r="Y802136" s="5"/>
      <c r="AB802136" s="5"/>
      <c r="AE802136" s="5"/>
      <c r="AH802136" s="5"/>
      <c r="AK802136" s="5"/>
    </row>
    <row r="802146" spans="25:37" x14ac:dyDescent="0.2">
      <c r="Y802146" s="251"/>
      <c r="AB802146" s="251"/>
      <c r="AE802146" s="251"/>
      <c r="AH802146" s="251"/>
      <c r="AK802146" s="251"/>
    </row>
    <row r="802261" spans="25:37" x14ac:dyDescent="0.2">
      <c r="Y802261" s="5"/>
      <c r="AB802261" s="5"/>
      <c r="AE802261" s="5"/>
      <c r="AH802261" s="5"/>
      <c r="AK802261" s="5"/>
    </row>
    <row r="802271" spans="25:37" x14ac:dyDescent="0.2">
      <c r="Y802271" s="251"/>
      <c r="AB802271" s="251"/>
      <c r="AE802271" s="251"/>
      <c r="AH802271" s="251"/>
      <c r="AK802271" s="251"/>
    </row>
    <row r="802386" spans="25:37" x14ac:dyDescent="0.2">
      <c r="Y802386" s="5"/>
      <c r="AB802386" s="5"/>
      <c r="AE802386" s="5"/>
      <c r="AH802386" s="5"/>
      <c r="AK802386" s="5"/>
    </row>
    <row r="802396" spans="25:37" x14ac:dyDescent="0.2">
      <c r="Y802396" s="251"/>
      <c r="AB802396" s="251"/>
      <c r="AE802396" s="251"/>
      <c r="AH802396" s="251"/>
      <c r="AK802396" s="251"/>
    </row>
    <row r="802511" spans="25:37" x14ac:dyDescent="0.2">
      <c r="Y802511" s="5"/>
      <c r="AB802511" s="5"/>
      <c r="AE802511" s="5"/>
      <c r="AH802511" s="5"/>
      <c r="AK802511" s="5"/>
    </row>
    <row r="802521" spans="25:37" x14ac:dyDescent="0.2">
      <c r="Y802521" s="251"/>
      <c r="AB802521" s="251"/>
      <c r="AE802521" s="251"/>
      <c r="AH802521" s="251"/>
      <c r="AK802521" s="251"/>
    </row>
    <row r="802636" spans="25:37" x14ac:dyDescent="0.2">
      <c r="Y802636" s="5"/>
      <c r="AB802636" s="5"/>
      <c r="AE802636" s="5"/>
      <c r="AH802636" s="5"/>
      <c r="AK802636" s="5"/>
    </row>
    <row r="802646" spans="25:37" x14ac:dyDescent="0.2">
      <c r="Y802646" s="251"/>
      <c r="AB802646" s="251"/>
      <c r="AE802646" s="251"/>
      <c r="AH802646" s="251"/>
      <c r="AK802646" s="251"/>
    </row>
    <row r="802761" spans="25:37" x14ac:dyDescent="0.2">
      <c r="Y802761" s="5"/>
      <c r="AB802761" s="5"/>
      <c r="AE802761" s="5"/>
      <c r="AH802761" s="5"/>
      <c r="AK802761" s="5"/>
    </row>
    <row r="802771" spans="25:37" x14ac:dyDescent="0.2">
      <c r="Y802771" s="251"/>
      <c r="AB802771" s="251"/>
      <c r="AE802771" s="251"/>
      <c r="AH802771" s="251"/>
      <c r="AK802771" s="251"/>
    </row>
    <row r="802886" spans="25:37" x14ac:dyDescent="0.2">
      <c r="Y802886" s="5"/>
      <c r="AB802886" s="5"/>
      <c r="AE802886" s="5"/>
      <c r="AH802886" s="5"/>
      <c r="AK802886" s="5"/>
    </row>
    <row r="802896" spans="25:37" x14ac:dyDescent="0.2">
      <c r="Y802896" s="251"/>
      <c r="AB802896" s="251"/>
      <c r="AE802896" s="251"/>
      <c r="AH802896" s="251"/>
      <c r="AK802896" s="251"/>
    </row>
    <row r="803011" spans="25:37" x14ac:dyDescent="0.2">
      <c r="Y803011" s="5"/>
      <c r="AB803011" s="5"/>
      <c r="AE803011" s="5"/>
      <c r="AH803011" s="5"/>
      <c r="AK803011" s="5"/>
    </row>
    <row r="803021" spans="25:37" x14ac:dyDescent="0.2">
      <c r="Y803021" s="251"/>
      <c r="AB803021" s="251"/>
      <c r="AE803021" s="251"/>
      <c r="AH803021" s="251"/>
      <c r="AK803021" s="251"/>
    </row>
    <row r="803136" spans="25:37" x14ac:dyDescent="0.2">
      <c r="Y803136" s="5"/>
      <c r="AB803136" s="5"/>
      <c r="AE803136" s="5"/>
      <c r="AH803136" s="5"/>
      <c r="AK803136" s="5"/>
    </row>
    <row r="803146" spans="25:37" x14ac:dyDescent="0.2">
      <c r="Y803146" s="251"/>
      <c r="AB803146" s="251"/>
      <c r="AE803146" s="251"/>
      <c r="AH803146" s="251"/>
      <c r="AK803146" s="251"/>
    </row>
    <row r="803261" spans="25:37" x14ac:dyDescent="0.2">
      <c r="Y803261" s="5"/>
      <c r="AB803261" s="5"/>
      <c r="AE803261" s="5"/>
      <c r="AH803261" s="5"/>
      <c r="AK803261" s="5"/>
    </row>
    <row r="803271" spans="25:37" x14ac:dyDescent="0.2">
      <c r="Y803271" s="251"/>
      <c r="AB803271" s="251"/>
      <c r="AE803271" s="251"/>
      <c r="AH803271" s="251"/>
      <c r="AK803271" s="251"/>
    </row>
    <row r="803386" spans="25:37" x14ac:dyDescent="0.2">
      <c r="Y803386" s="5"/>
      <c r="AB803386" s="5"/>
      <c r="AE803386" s="5"/>
      <c r="AH803386" s="5"/>
      <c r="AK803386" s="5"/>
    </row>
    <row r="803396" spans="25:37" x14ac:dyDescent="0.2">
      <c r="Y803396" s="251"/>
      <c r="AB803396" s="251"/>
      <c r="AE803396" s="251"/>
      <c r="AH803396" s="251"/>
      <c r="AK803396" s="251"/>
    </row>
    <row r="803511" spans="25:37" x14ac:dyDescent="0.2">
      <c r="Y803511" s="5"/>
      <c r="AB803511" s="5"/>
      <c r="AE803511" s="5"/>
      <c r="AH803511" s="5"/>
      <c r="AK803511" s="5"/>
    </row>
    <row r="803521" spans="25:37" x14ac:dyDescent="0.2">
      <c r="Y803521" s="251"/>
      <c r="AB803521" s="251"/>
      <c r="AE803521" s="251"/>
      <c r="AH803521" s="251"/>
      <c r="AK803521" s="251"/>
    </row>
    <row r="803636" spans="25:37" x14ac:dyDescent="0.2">
      <c r="Y803636" s="5"/>
      <c r="AB803636" s="5"/>
      <c r="AE803636" s="5"/>
      <c r="AH803636" s="5"/>
      <c r="AK803636" s="5"/>
    </row>
    <row r="803646" spans="25:37" x14ac:dyDescent="0.2">
      <c r="Y803646" s="251"/>
      <c r="AB803646" s="251"/>
      <c r="AE803646" s="251"/>
      <c r="AH803646" s="251"/>
      <c r="AK803646" s="251"/>
    </row>
    <row r="803761" spans="25:37" x14ac:dyDescent="0.2">
      <c r="Y803761" s="5"/>
      <c r="AB803761" s="5"/>
      <c r="AE803761" s="5"/>
      <c r="AH803761" s="5"/>
      <c r="AK803761" s="5"/>
    </row>
    <row r="803771" spans="25:37" x14ac:dyDescent="0.2">
      <c r="Y803771" s="251"/>
      <c r="AB803771" s="251"/>
      <c r="AE803771" s="251"/>
      <c r="AH803771" s="251"/>
      <c r="AK803771" s="251"/>
    </row>
    <row r="803886" spans="25:37" x14ac:dyDescent="0.2">
      <c r="Y803886" s="5"/>
      <c r="AB803886" s="5"/>
      <c r="AE803886" s="5"/>
      <c r="AH803886" s="5"/>
      <c r="AK803886" s="5"/>
    </row>
    <row r="803896" spans="25:37" x14ac:dyDescent="0.2">
      <c r="Y803896" s="251"/>
      <c r="AB803896" s="251"/>
      <c r="AE803896" s="251"/>
      <c r="AH803896" s="251"/>
      <c r="AK803896" s="251"/>
    </row>
    <row r="804011" spans="25:37" x14ac:dyDescent="0.2">
      <c r="Y804011" s="5"/>
      <c r="AB804011" s="5"/>
      <c r="AE804011" s="5"/>
      <c r="AH804011" s="5"/>
      <c r="AK804011" s="5"/>
    </row>
    <row r="804021" spans="25:37" x14ac:dyDescent="0.2">
      <c r="Y804021" s="251"/>
      <c r="AB804021" s="251"/>
      <c r="AE804021" s="251"/>
      <c r="AH804021" s="251"/>
      <c r="AK804021" s="251"/>
    </row>
    <row r="804136" spans="25:37" x14ac:dyDescent="0.2">
      <c r="Y804136" s="5"/>
      <c r="AB804136" s="5"/>
      <c r="AE804136" s="5"/>
      <c r="AH804136" s="5"/>
      <c r="AK804136" s="5"/>
    </row>
    <row r="804146" spans="25:37" x14ac:dyDescent="0.2">
      <c r="Y804146" s="251"/>
      <c r="AB804146" s="251"/>
      <c r="AE804146" s="251"/>
      <c r="AH804146" s="251"/>
      <c r="AK804146" s="251"/>
    </row>
    <row r="804261" spans="25:37" x14ac:dyDescent="0.2">
      <c r="Y804261" s="5"/>
      <c r="AB804261" s="5"/>
      <c r="AE804261" s="5"/>
      <c r="AH804261" s="5"/>
      <c r="AK804261" s="5"/>
    </row>
    <row r="804271" spans="25:37" x14ac:dyDescent="0.2">
      <c r="Y804271" s="251"/>
      <c r="AB804271" s="251"/>
      <c r="AE804271" s="251"/>
      <c r="AH804271" s="251"/>
      <c r="AK804271" s="251"/>
    </row>
    <row r="804386" spans="25:37" x14ac:dyDescent="0.2">
      <c r="Y804386" s="5"/>
      <c r="AB804386" s="5"/>
      <c r="AE804386" s="5"/>
      <c r="AH804386" s="5"/>
      <c r="AK804386" s="5"/>
    </row>
    <row r="804396" spans="25:37" x14ac:dyDescent="0.2">
      <c r="Y804396" s="251"/>
      <c r="AB804396" s="251"/>
      <c r="AE804396" s="251"/>
      <c r="AH804396" s="251"/>
      <c r="AK804396" s="251"/>
    </row>
    <row r="804511" spans="25:37" x14ac:dyDescent="0.2">
      <c r="Y804511" s="5"/>
      <c r="AB804511" s="5"/>
      <c r="AE804511" s="5"/>
      <c r="AH804511" s="5"/>
      <c r="AK804511" s="5"/>
    </row>
    <row r="804521" spans="25:37" x14ac:dyDescent="0.2">
      <c r="Y804521" s="251"/>
      <c r="AB804521" s="251"/>
      <c r="AE804521" s="251"/>
      <c r="AH804521" s="251"/>
      <c r="AK804521" s="251"/>
    </row>
    <row r="804636" spans="25:37" x14ac:dyDescent="0.2">
      <c r="Y804636" s="5"/>
      <c r="AB804636" s="5"/>
      <c r="AE804636" s="5"/>
      <c r="AH804636" s="5"/>
      <c r="AK804636" s="5"/>
    </row>
    <row r="804646" spans="25:37" x14ac:dyDescent="0.2">
      <c r="Y804646" s="251"/>
      <c r="AB804646" s="251"/>
      <c r="AE804646" s="251"/>
      <c r="AH804646" s="251"/>
      <c r="AK804646" s="251"/>
    </row>
    <row r="804761" spans="25:37" x14ac:dyDescent="0.2">
      <c r="Y804761" s="5"/>
      <c r="AB804761" s="5"/>
      <c r="AE804761" s="5"/>
      <c r="AH804761" s="5"/>
      <c r="AK804761" s="5"/>
    </row>
    <row r="804771" spans="25:37" x14ac:dyDescent="0.2">
      <c r="Y804771" s="251"/>
      <c r="AB804771" s="251"/>
      <c r="AE804771" s="251"/>
      <c r="AH804771" s="251"/>
      <c r="AK804771" s="251"/>
    </row>
    <row r="804886" spans="25:37" x14ac:dyDescent="0.2">
      <c r="Y804886" s="5"/>
      <c r="AB804886" s="5"/>
      <c r="AE804886" s="5"/>
      <c r="AH804886" s="5"/>
      <c r="AK804886" s="5"/>
    </row>
    <row r="804896" spans="25:37" x14ac:dyDescent="0.2">
      <c r="Y804896" s="251"/>
      <c r="AB804896" s="251"/>
      <c r="AE804896" s="251"/>
      <c r="AH804896" s="251"/>
      <c r="AK804896" s="251"/>
    </row>
    <row r="805011" spans="25:37" x14ac:dyDescent="0.2">
      <c r="Y805011" s="5"/>
      <c r="AB805011" s="5"/>
      <c r="AE805011" s="5"/>
      <c r="AH805011" s="5"/>
      <c r="AK805011" s="5"/>
    </row>
    <row r="805021" spans="25:37" x14ac:dyDescent="0.2">
      <c r="Y805021" s="251"/>
      <c r="AB805021" s="251"/>
      <c r="AE805021" s="251"/>
      <c r="AH805021" s="251"/>
      <c r="AK805021" s="251"/>
    </row>
    <row r="805136" spans="25:37" x14ac:dyDescent="0.2">
      <c r="Y805136" s="5"/>
      <c r="AB805136" s="5"/>
      <c r="AE805136" s="5"/>
      <c r="AH805136" s="5"/>
      <c r="AK805136" s="5"/>
    </row>
    <row r="805146" spans="25:37" x14ac:dyDescent="0.2">
      <c r="Y805146" s="251"/>
      <c r="AB805146" s="251"/>
      <c r="AE805146" s="251"/>
      <c r="AH805146" s="251"/>
      <c r="AK805146" s="251"/>
    </row>
    <row r="805261" spans="25:37" x14ac:dyDescent="0.2">
      <c r="Y805261" s="5"/>
      <c r="AB805261" s="5"/>
      <c r="AE805261" s="5"/>
      <c r="AH805261" s="5"/>
      <c r="AK805261" s="5"/>
    </row>
    <row r="805271" spans="25:37" x14ac:dyDescent="0.2">
      <c r="Y805271" s="251"/>
      <c r="AB805271" s="251"/>
      <c r="AE805271" s="251"/>
      <c r="AH805271" s="251"/>
      <c r="AK805271" s="251"/>
    </row>
    <row r="805386" spans="25:37" x14ac:dyDescent="0.2">
      <c r="Y805386" s="5"/>
      <c r="AB805386" s="5"/>
      <c r="AE805386" s="5"/>
      <c r="AH805386" s="5"/>
      <c r="AK805386" s="5"/>
    </row>
    <row r="805396" spans="25:37" x14ac:dyDescent="0.2">
      <c r="Y805396" s="251"/>
      <c r="AB805396" s="251"/>
      <c r="AE805396" s="251"/>
      <c r="AH805396" s="251"/>
      <c r="AK805396" s="251"/>
    </row>
    <row r="805511" spans="25:37" x14ac:dyDescent="0.2">
      <c r="Y805511" s="5"/>
      <c r="AB805511" s="5"/>
      <c r="AE805511" s="5"/>
      <c r="AH805511" s="5"/>
      <c r="AK805511" s="5"/>
    </row>
    <row r="805521" spans="25:37" x14ac:dyDescent="0.2">
      <c r="Y805521" s="251"/>
      <c r="AB805521" s="251"/>
      <c r="AE805521" s="251"/>
      <c r="AH805521" s="251"/>
      <c r="AK805521" s="251"/>
    </row>
    <row r="805636" spans="25:37" x14ac:dyDescent="0.2">
      <c r="Y805636" s="5"/>
      <c r="AB805636" s="5"/>
      <c r="AE805636" s="5"/>
      <c r="AH805636" s="5"/>
      <c r="AK805636" s="5"/>
    </row>
    <row r="805646" spans="25:37" x14ac:dyDescent="0.2">
      <c r="Y805646" s="251"/>
      <c r="AB805646" s="251"/>
      <c r="AE805646" s="251"/>
      <c r="AH805646" s="251"/>
      <c r="AK805646" s="251"/>
    </row>
    <row r="805761" spans="25:37" x14ac:dyDescent="0.2">
      <c r="Y805761" s="5"/>
      <c r="AB805761" s="5"/>
      <c r="AE805761" s="5"/>
      <c r="AH805761" s="5"/>
      <c r="AK805761" s="5"/>
    </row>
    <row r="805771" spans="25:37" x14ac:dyDescent="0.2">
      <c r="Y805771" s="251"/>
      <c r="AB805771" s="251"/>
      <c r="AE805771" s="251"/>
      <c r="AH805771" s="251"/>
      <c r="AK805771" s="251"/>
    </row>
    <row r="805886" spans="25:37" x14ac:dyDescent="0.2">
      <c r="Y805886" s="5"/>
      <c r="AB805886" s="5"/>
      <c r="AE805886" s="5"/>
      <c r="AH805886" s="5"/>
      <c r="AK805886" s="5"/>
    </row>
    <row r="805896" spans="25:37" x14ac:dyDescent="0.2">
      <c r="Y805896" s="251"/>
      <c r="AB805896" s="251"/>
      <c r="AE805896" s="251"/>
      <c r="AH805896" s="251"/>
      <c r="AK805896" s="251"/>
    </row>
    <row r="806011" spans="25:37" x14ac:dyDescent="0.2">
      <c r="Y806011" s="5"/>
      <c r="AB806011" s="5"/>
      <c r="AE806011" s="5"/>
      <c r="AH806011" s="5"/>
      <c r="AK806011" s="5"/>
    </row>
    <row r="806021" spans="25:37" x14ac:dyDescent="0.2">
      <c r="Y806021" s="251"/>
      <c r="AB806021" s="251"/>
      <c r="AE806021" s="251"/>
      <c r="AH806021" s="251"/>
      <c r="AK806021" s="251"/>
    </row>
    <row r="806136" spans="25:37" x14ac:dyDescent="0.2">
      <c r="Y806136" s="5"/>
      <c r="AB806136" s="5"/>
      <c r="AE806136" s="5"/>
      <c r="AH806136" s="5"/>
      <c r="AK806136" s="5"/>
    </row>
    <row r="806146" spans="25:37" x14ac:dyDescent="0.2">
      <c r="Y806146" s="251"/>
      <c r="AB806146" s="251"/>
      <c r="AE806146" s="251"/>
      <c r="AH806146" s="251"/>
      <c r="AK806146" s="251"/>
    </row>
    <row r="806261" spans="25:37" x14ac:dyDescent="0.2">
      <c r="Y806261" s="5"/>
      <c r="AB806261" s="5"/>
      <c r="AE806261" s="5"/>
      <c r="AH806261" s="5"/>
      <c r="AK806261" s="5"/>
    </row>
    <row r="806271" spans="25:37" x14ac:dyDescent="0.2">
      <c r="Y806271" s="251"/>
      <c r="AB806271" s="251"/>
      <c r="AE806271" s="251"/>
      <c r="AH806271" s="251"/>
      <c r="AK806271" s="251"/>
    </row>
    <row r="806386" spans="25:37" x14ac:dyDescent="0.2">
      <c r="Y806386" s="5"/>
      <c r="AB806386" s="5"/>
      <c r="AE806386" s="5"/>
      <c r="AH806386" s="5"/>
      <c r="AK806386" s="5"/>
    </row>
    <row r="806396" spans="25:37" x14ac:dyDescent="0.2">
      <c r="Y806396" s="251"/>
      <c r="AB806396" s="251"/>
      <c r="AE806396" s="251"/>
      <c r="AH806396" s="251"/>
      <c r="AK806396" s="251"/>
    </row>
    <row r="806511" spans="25:37" x14ac:dyDescent="0.2">
      <c r="Y806511" s="5"/>
      <c r="AB806511" s="5"/>
      <c r="AE806511" s="5"/>
      <c r="AH806511" s="5"/>
      <c r="AK806511" s="5"/>
    </row>
    <row r="806521" spans="25:37" x14ac:dyDescent="0.2">
      <c r="Y806521" s="251"/>
      <c r="AB806521" s="251"/>
      <c r="AE806521" s="251"/>
      <c r="AH806521" s="251"/>
      <c r="AK806521" s="251"/>
    </row>
    <row r="806636" spans="25:37" x14ac:dyDescent="0.2">
      <c r="Y806636" s="5"/>
      <c r="AB806636" s="5"/>
      <c r="AE806636" s="5"/>
      <c r="AH806636" s="5"/>
      <c r="AK806636" s="5"/>
    </row>
    <row r="806646" spans="25:37" x14ac:dyDescent="0.2">
      <c r="Y806646" s="251"/>
      <c r="AB806646" s="251"/>
      <c r="AE806646" s="251"/>
      <c r="AH806646" s="251"/>
      <c r="AK806646" s="251"/>
    </row>
    <row r="806761" spans="25:37" x14ac:dyDescent="0.2">
      <c r="Y806761" s="5"/>
      <c r="AB806761" s="5"/>
      <c r="AE806761" s="5"/>
      <c r="AH806761" s="5"/>
      <c r="AK806761" s="5"/>
    </row>
    <row r="806771" spans="25:37" x14ac:dyDescent="0.2">
      <c r="Y806771" s="251"/>
      <c r="AB806771" s="251"/>
      <c r="AE806771" s="251"/>
      <c r="AH806771" s="251"/>
      <c r="AK806771" s="251"/>
    </row>
    <row r="806886" spans="25:37" x14ac:dyDescent="0.2">
      <c r="Y806886" s="5"/>
      <c r="AB806886" s="5"/>
      <c r="AE806886" s="5"/>
      <c r="AH806886" s="5"/>
      <c r="AK806886" s="5"/>
    </row>
    <row r="806896" spans="25:37" x14ac:dyDescent="0.2">
      <c r="Y806896" s="251"/>
      <c r="AB806896" s="251"/>
      <c r="AE806896" s="251"/>
      <c r="AH806896" s="251"/>
      <c r="AK806896" s="251"/>
    </row>
    <row r="807011" spans="25:37" x14ac:dyDescent="0.2">
      <c r="Y807011" s="5"/>
      <c r="AB807011" s="5"/>
      <c r="AE807011" s="5"/>
      <c r="AH807011" s="5"/>
      <c r="AK807011" s="5"/>
    </row>
    <row r="807021" spans="25:37" x14ac:dyDescent="0.2">
      <c r="Y807021" s="251"/>
      <c r="AB807021" s="251"/>
      <c r="AE807021" s="251"/>
      <c r="AH807021" s="251"/>
      <c r="AK807021" s="251"/>
    </row>
    <row r="807136" spans="25:37" x14ac:dyDescent="0.2">
      <c r="Y807136" s="5"/>
      <c r="AB807136" s="5"/>
      <c r="AE807136" s="5"/>
      <c r="AH807136" s="5"/>
      <c r="AK807136" s="5"/>
    </row>
    <row r="807146" spans="25:37" x14ac:dyDescent="0.2">
      <c r="Y807146" s="251"/>
      <c r="AB807146" s="251"/>
      <c r="AE807146" s="251"/>
      <c r="AH807146" s="251"/>
      <c r="AK807146" s="251"/>
    </row>
    <row r="807261" spans="25:37" x14ac:dyDescent="0.2">
      <c r="Y807261" s="5"/>
      <c r="AB807261" s="5"/>
      <c r="AE807261" s="5"/>
      <c r="AH807261" s="5"/>
      <c r="AK807261" s="5"/>
    </row>
    <row r="807271" spans="25:37" x14ac:dyDescent="0.2">
      <c r="Y807271" s="251"/>
      <c r="AB807271" s="251"/>
      <c r="AE807271" s="251"/>
      <c r="AH807271" s="251"/>
      <c r="AK807271" s="251"/>
    </row>
    <row r="807386" spans="25:37" x14ac:dyDescent="0.2">
      <c r="Y807386" s="5"/>
      <c r="AB807386" s="5"/>
      <c r="AE807386" s="5"/>
      <c r="AH807386" s="5"/>
      <c r="AK807386" s="5"/>
    </row>
    <row r="807396" spans="25:37" x14ac:dyDescent="0.2">
      <c r="Y807396" s="251"/>
      <c r="AB807396" s="251"/>
      <c r="AE807396" s="251"/>
      <c r="AH807396" s="251"/>
      <c r="AK807396" s="251"/>
    </row>
    <row r="807511" spans="25:37" x14ac:dyDescent="0.2">
      <c r="Y807511" s="5"/>
      <c r="AB807511" s="5"/>
      <c r="AE807511" s="5"/>
      <c r="AH807511" s="5"/>
      <c r="AK807511" s="5"/>
    </row>
    <row r="807521" spans="25:37" x14ac:dyDescent="0.2">
      <c r="Y807521" s="251"/>
      <c r="AB807521" s="251"/>
      <c r="AE807521" s="251"/>
      <c r="AH807521" s="251"/>
      <c r="AK807521" s="251"/>
    </row>
    <row r="807636" spans="25:37" x14ac:dyDescent="0.2">
      <c r="Y807636" s="5"/>
      <c r="AB807636" s="5"/>
      <c r="AE807636" s="5"/>
      <c r="AH807636" s="5"/>
      <c r="AK807636" s="5"/>
    </row>
    <row r="807646" spans="25:37" x14ac:dyDescent="0.2">
      <c r="Y807646" s="251"/>
      <c r="AB807646" s="251"/>
      <c r="AE807646" s="251"/>
      <c r="AH807646" s="251"/>
      <c r="AK807646" s="251"/>
    </row>
    <row r="807761" spans="25:37" x14ac:dyDescent="0.2">
      <c r="Y807761" s="5"/>
      <c r="AB807761" s="5"/>
      <c r="AE807761" s="5"/>
      <c r="AH807761" s="5"/>
      <c r="AK807761" s="5"/>
    </row>
    <row r="807771" spans="25:37" x14ac:dyDescent="0.2">
      <c r="Y807771" s="251"/>
      <c r="AB807771" s="251"/>
      <c r="AE807771" s="251"/>
      <c r="AH807771" s="251"/>
      <c r="AK807771" s="251"/>
    </row>
    <row r="807886" spans="25:37" x14ac:dyDescent="0.2">
      <c r="Y807886" s="5"/>
      <c r="AB807886" s="5"/>
      <c r="AE807886" s="5"/>
      <c r="AH807886" s="5"/>
      <c r="AK807886" s="5"/>
    </row>
    <row r="807896" spans="25:37" x14ac:dyDescent="0.2">
      <c r="Y807896" s="251"/>
      <c r="AB807896" s="251"/>
      <c r="AE807896" s="251"/>
      <c r="AH807896" s="251"/>
      <c r="AK807896" s="251"/>
    </row>
    <row r="808011" spans="25:37" x14ac:dyDescent="0.2">
      <c r="Y808011" s="5"/>
      <c r="AB808011" s="5"/>
      <c r="AE808011" s="5"/>
      <c r="AH808011" s="5"/>
      <c r="AK808011" s="5"/>
    </row>
    <row r="808021" spans="25:37" x14ac:dyDescent="0.2">
      <c r="Y808021" s="251"/>
      <c r="AB808021" s="251"/>
      <c r="AE808021" s="251"/>
      <c r="AH808021" s="251"/>
      <c r="AK808021" s="251"/>
    </row>
    <row r="808136" spans="25:37" x14ac:dyDescent="0.2">
      <c r="Y808136" s="5"/>
      <c r="AB808136" s="5"/>
      <c r="AE808136" s="5"/>
      <c r="AH808136" s="5"/>
      <c r="AK808136" s="5"/>
    </row>
    <row r="808146" spans="25:37" x14ac:dyDescent="0.2">
      <c r="Y808146" s="251"/>
      <c r="AB808146" s="251"/>
      <c r="AE808146" s="251"/>
      <c r="AH808146" s="251"/>
      <c r="AK808146" s="251"/>
    </row>
    <row r="808261" spans="25:37" x14ac:dyDescent="0.2">
      <c r="Y808261" s="5"/>
      <c r="AB808261" s="5"/>
      <c r="AE808261" s="5"/>
      <c r="AH808261" s="5"/>
      <c r="AK808261" s="5"/>
    </row>
    <row r="808271" spans="25:37" x14ac:dyDescent="0.2">
      <c r="Y808271" s="251"/>
      <c r="AB808271" s="251"/>
      <c r="AE808271" s="251"/>
      <c r="AH808271" s="251"/>
      <c r="AK808271" s="251"/>
    </row>
    <row r="808386" spans="25:37" x14ac:dyDescent="0.2">
      <c r="Y808386" s="5"/>
      <c r="AB808386" s="5"/>
      <c r="AE808386" s="5"/>
      <c r="AH808386" s="5"/>
      <c r="AK808386" s="5"/>
    </row>
    <row r="808396" spans="25:37" x14ac:dyDescent="0.2">
      <c r="Y808396" s="251"/>
      <c r="AB808396" s="251"/>
      <c r="AE808396" s="251"/>
      <c r="AH808396" s="251"/>
      <c r="AK808396" s="251"/>
    </row>
    <row r="808511" spans="25:37" x14ac:dyDescent="0.2">
      <c r="Y808511" s="5"/>
      <c r="AB808511" s="5"/>
      <c r="AE808511" s="5"/>
      <c r="AH808511" s="5"/>
      <c r="AK808511" s="5"/>
    </row>
    <row r="808521" spans="25:37" x14ac:dyDescent="0.2">
      <c r="Y808521" s="251"/>
      <c r="AB808521" s="251"/>
      <c r="AE808521" s="251"/>
      <c r="AH808521" s="251"/>
      <c r="AK808521" s="251"/>
    </row>
    <row r="808636" spans="25:37" x14ac:dyDescent="0.2">
      <c r="Y808636" s="5"/>
      <c r="AB808636" s="5"/>
      <c r="AE808636" s="5"/>
      <c r="AH808636" s="5"/>
      <c r="AK808636" s="5"/>
    </row>
    <row r="808646" spans="25:37" x14ac:dyDescent="0.2">
      <c r="Y808646" s="251"/>
      <c r="AB808646" s="251"/>
      <c r="AE808646" s="251"/>
      <c r="AH808646" s="251"/>
      <c r="AK808646" s="251"/>
    </row>
    <row r="808761" spans="25:37" x14ac:dyDescent="0.2">
      <c r="Y808761" s="5"/>
      <c r="AB808761" s="5"/>
      <c r="AE808761" s="5"/>
      <c r="AH808761" s="5"/>
      <c r="AK808761" s="5"/>
    </row>
    <row r="808771" spans="25:37" x14ac:dyDescent="0.2">
      <c r="Y808771" s="251"/>
      <c r="AB808771" s="251"/>
      <c r="AE808771" s="251"/>
      <c r="AH808771" s="251"/>
      <c r="AK808771" s="251"/>
    </row>
    <row r="808886" spans="25:37" x14ac:dyDescent="0.2">
      <c r="Y808886" s="5"/>
      <c r="AB808886" s="5"/>
      <c r="AE808886" s="5"/>
      <c r="AH808886" s="5"/>
      <c r="AK808886" s="5"/>
    </row>
    <row r="808896" spans="25:37" x14ac:dyDescent="0.2">
      <c r="Y808896" s="251"/>
      <c r="AB808896" s="251"/>
      <c r="AE808896" s="251"/>
      <c r="AH808896" s="251"/>
      <c r="AK808896" s="251"/>
    </row>
    <row r="809011" spans="25:37" x14ac:dyDescent="0.2">
      <c r="Y809011" s="5"/>
      <c r="AB809011" s="5"/>
      <c r="AE809011" s="5"/>
      <c r="AH809011" s="5"/>
      <c r="AK809011" s="5"/>
    </row>
    <row r="809021" spans="25:37" x14ac:dyDescent="0.2">
      <c r="Y809021" s="251"/>
      <c r="AB809021" s="251"/>
      <c r="AE809021" s="251"/>
      <c r="AH809021" s="251"/>
      <c r="AK809021" s="251"/>
    </row>
    <row r="809136" spans="25:37" x14ac:dyDescent="0.2">
      <c r="Y809136" s="5"/>
      <c r="AB809136" s="5"/>
      <c r="AE809136" s="5"/>
      <c r="AH809136" s="5"/>
      <c r="AK809136" s="5"/>
    </row>
    <row r="809146" spans="25:37" x14ac:dyDescent="0.2">
      <c r="Y809146" s="251"/>
      <c r="AB809146" s="251"/>
      <c r="AE809146" s="251"/>
      <c r="AH809146" s="251"/>
      <c r="AK809146" s="251"/>
    </row>
    <row r="809261" spans="25:37" x14ac:dyDescent="0.2">
      <c r="Y809261" s="5"/>
      <c r="AB809261" s="5"/>
      <c r="AE809261" s="5"/>
      <c r="AH809261" s="5"/>
      <c r="AK809261" s="5"/>
    </row>
    <row r="809271" spans="25:37" x14ac:dyDescent="0.2">
      <c r="Y809271" s="251"/>
      <c r="AB809271" s="251"/>
      <c r="AE809271" s="251"/>
      <c r="AH809271" s="251"/>
      <c r="AK809271" s="251"/>
    </row>
    <row r="809386" spans="25:37" x14ac:dyDescent="0.2">
      <c r="Y809386" s="5"/>
      <c r="AB809386" s="5"/>
      <c r="AE809386" s="5"/>
      <c r="AH809386" s="5"/>
      <c r="AK809386" s="5"/>
    </row>
    <row r="809396" spans="25:37" x14ac:dyDescent="0.2">
      <c r="Y809396" s="251"/>
      <c r="AB809396" s="251"/>
      <c r="AE809396" s="251"/>
      <c r="AH809396" s="251"/>
      <c r="AK809396" s="251"/>
    </row>
    <row r="809511" spans="25:37" x14ac:dyDescent="0.2">
      <c r="Y809511" s="5"/>
      <c r="AB809511" s="5"/>
      <c r="AE809511" s="5"/>
      <c r="AH809511" s="5"/>
      <c r="AK809511" s="5"/>
    </row>
    <row r="809521" spans="25:37" x14ac:dyDescent="0.2">
      <c r="Y809521" s="251"/>
      <c r="AB809521" s="251"/>
      <c r="AE809521" s="251"/>
      <c r="AH809521" s="251"/>
      <c r="AK809521" s="251"/>
    </row>
    <row r="809636" spans="25:37" x14ac:dyDescent="0.2">
      <c r="Y809636" s="5"/>
      <c r="AB809636" s="5"/>
      <c r="AE809636" s="5"/>
      <c r="AH809636" s="5"/>
      <c r="AK809636" s="5"/>
    </row>
    <row r="809646" spans="25:37" x14ac:dyDescent="0.2">
      <c r="Y809646" s="251"/>
      <c r="AB809646" s="251"/>
      <c r="AE809646" s="251"/>
      <c r="AH809646" s="251"/>
      <c r="AK809646" s="251"/>
    </row>
    <row r="809761" spans="25:37" x14ac:dyDescent="0.2">
      <c r="Y809761" s="5"/>
      <c r="AB809761" s="5"/>
      <c r="AE809761" s="5"/>
      <c r="AH809761" s="5"/>
      <c r="AK809761" s="5"/>
    </row>
    <row r="809771" spans="25:37" x14ac:dyDescent="0.2">
      <c r="Y809771" s="251"/>
      <c r="AB809771" s="251"/>
      <c r="AE809771" s="251"/>
      <c r="AH809771" s="251"/>
      <c r="AK809771" s="251"/>
    </row>
    <row r="809886" spans="25:37" x14ac:dyDescent="0.2">
      <c r="Y809886" s="5"/>
      <c r="AB809886" s="5"/>
      <c r="AE809886" s="5"/>
      <c r="AH809886" s="5"/>
      <c r="AK809886" s="5"/>
    </row>
    <row r="809896" spans="25:37" x14ac:dyDescent="0.2">
      <c r="Y809896" s="251"/>
      <c r="AB809896" s="251"/>
      <c r="AE809896" s="251"/>
      <c r="AH809896" s="251"/>
      <c r="AK809896" s="251"/>
    </row>
    <row r="810011" spans="25:37" x14ac:dyDescent="0.2">
      <c r="Y810011" s="5"/>
      <c r="AB810011" s="5"/>
      <c r="AE810011" s="5"/>
      <c r="AH810011" s="5"/>
      <c r="AK810011" s="5"/>
    </row>
    <row r="810021" spans="25:37" x14ac:dyDescent="0.2">
      <c r="Y810021" s="251"/>
      <c r="AB810021" s="251"/>
      <c r="AE810021" s="251"/>
      <c r="AH810021" s="251"/>
      <c r="AK810021" s="251"/>
    </row>
    <row r="810136" spans="25:37" x14ac:dyDescent="0.2">
      <c r="Y810136" s="5"/>
      <c r="AB810136" s="5"/>
      <c r="AE810136" s="5"/>
      <c r="AH810136" s="5"/>
      <c r="AK810136" s="5"/>
    </row>
    <row r="810146" spans="25:37" x14ac:dyDescent="0.2">
      <c r="Y810146" s="251"/>
      <c r="AB810146" s="251"/>
      <c r="AE810146" s="251"/>
      <c r="AH810146" s="251"/>
      <c r="AK810146" s="251"/>
    </row>
    <row r="810261" spans="25:37" x14ac:dyDescent="0.2">
      <c r="Y810261" s="5"/>
      <c r="AB810261" s="5"/>
      <c r="AE810261" s="5"/>
      <c r="AH810261" s="5"/>
      <c r="AK810261" s="5"/>
    </row>
    <row r="810271" spans="25:37" x14ac:dyDescent="0.2">
      <c r="Y810271" s="251"/>
      <c r="AB810271" s="251"/>
      <c r="AE810271" s="251"/>
      <c r="AH810271" s="251"/>
      <c r="AK810271" s="251"/>
    </row>
    <row r="810386" spans="25:37" x14ac:dyDescent="0.2">
      <c r="Y810386" s="5"/>
      <c r="AB810386" s="5"/>
      <c r="AE810386" s="5"/>
      <c r="AH810386" s="5"/>
      <c r="AK810386" s="5"/>
    </row>
    <row r="810396" spans="25:37" x14ac:dyDescent="0.2">
      <c r="Y810396" s="251"/>
      <c r="AB810396" s="251"/>
      <c r="AE810396" s="251"/>
      <c r="AH810396" s="251"/>
      <c r="AK810396" s="251"/>
    </row>
    <row r="810511" spans="25:37" x14ac:dyDescent="0.2">
      <c r="Y810511" s="5"/>
      <c r="AB810511" s="5"/>
      <c r="AE810511" s="5"/>
      <c r="AH810511" s="5"/>
      <c r="AK810511" s="5"/>
    </row>
    <row r="810521" spans="25:37" x14ac:dyDescent="0.2">
      <c r="Y810521" s="251"/>
      <c r="AB810521" s="251"/>
      <c r="AE810521" s="251"/>
      <c r="AH810521" s="251"/>
      <c r="AK810521" s="251"/>
    </row>
    <row r="810636" spans="25:37" x14ac:dyDescent="0.2">
      <c r="Y810636" s="5"/>
      <c r="AB810636" s="5"/>
      <c r="AE810636" s="5"/>
      <c r="AH810636" s="5"/>
      <c r="AK810636" s="5"/>
    </row>
    <row r="810646" spans="25:37" x14ac:dyDescent="0.2">
      <c r="Y810646" s="251"/>
      <c r="AB810646" s="251"/>
      <c r="AE810646" s="251"/>
      <c r="AH810646" s="251"/>
      <c r="AK810646" s="251"/>
    </row>
    <row r="810761" spans="25:37" x14ac:dyDescent="0.2">
      <c r="Y810761" s="5"/>
      <c r="AB810761" s="5"/>
      <c r="AE810761" s="5"/>
      <c r="AH810761" s="5"/>
      <c r="AK810761" s="5"/>
    </row>
    <row r="810771" spans="25:37" x14ac:dyDescent="0.2">
      <c r="Y810771" s="251"/>
      <c r="AB810771" s="251"/>
      <c r="AE810771" s="251"/>
      <c r="AH810771" s="251"/>
      <c r="AK810771" s="251"/>
    </row>
    <row r="810886" spans="25:37" x14ac:dyDescent="0.2">
      <c r="Y810886" s="5"/>
      <c r="AB810886" s="5"/>
      <c r="AE810886" s="5"/>
      <c r="AH810886" s="5"/>
      <c r="AK810886" s="5"/>
    </row>
    <row r="810896" spans="25:37" x14ac:dyDescent="0.2">
      <c r="Y810896" s="251"/>
      <c r="AB810896" s="251"/>
      <c r="AE810896" s="251"/>
      <c r="AH810896" s="251"/>
      <c r="AK810896" s="251"/>
    </row>
    <row r="811011" spans="25:37" x14ac:dyDescent="0.2">
      <c r="Y811011" s="5"/>
      <c r="AB811011" s="5"/>
      <c r="AE811011" s="5"/>
      <c r="AH811011" s="5"/>
      <c r="AK811011" s="5"/>
    </row>
    <row r="811021" spans="25:37" x14ac:dyDescent="0.2">
      <c r="Y811021" s="251"/>
      <c r="AB811021" s="251"/>
      <c r="AE811021" s="251"/>
      <c r="AH811021" s="251"/>
      <c r="AK811021" s="251"/>
    </row>
    <row r="811136" spans="25:37" x14ac:dyDescent="0.2">
      <c r="Y811136" s="5"/>
      <c r="AB811136" s="5"/>
      <c r="AE811136" s="5"/>
      <c r="AH811136" s="5"/>
      <c r="AK811136" s="5"/>
    </row>
    <row r="811146" spans="25:37" x14ac:dyDescent="0.2">
      <c r="Y811146" s="251"/>
      <c r="AB811146" s="251"/>
      <c r="AE811146" s="251"/>
      <c r="AH811146" s="251"/>
      <c r="AK811146" s="251"/>
    </row>
    <row r="811261" spans="25:37" x14ac:dyDescent="0.2">
      <c r="Y811261" s="5"/>
      <c r="AB811261" s="5"/>
      <c r="AE811261" s="5"/>
      <c r="AH811261" s="5"/>
      <c r="AK811261" s="5"/>
    </row>
    <row r="811271" spans="25:37" x14ac:dyDescent="0.2">
      <c r="Y811271" s="251"/>
      <c r="AB811271" s="251"/>
      <c r="AE811271" s="251"/>
      <c r="AH811271" s="251"/>
      <c r="AK811271" s="251"/>
    </row>
    <row r="811386" spans="25:37" x14ac:dyDescent="0.2">
      <c r="Y811386" s="5"/>
      <c r="AB811386" s="5"/>
      <c r="AE811386" s="5"/>
      <c r="AH811386" s="5"/>
      <c r="AK811386" s="5"/>
    </row>
    <row r="811396" spans="25:37" x14ac:dyDescent="0.2">
      <c r="Y811396" s="251"/>
      <c r="AB811396" s="251"/>
      <c r="AE811396" s="251"/>
      <c r="AH811396" s="251"/>
      <c r="AK811396" s="251"/>
    </row>
    <row r="811511" spans="25:37" x14ac:dyDescent="0.2">
      <c r="Y811511" s="5"/>
      <c r="AB811511" s="5"/>
      <c r="AE811511" s="5"/>
      <c r="AH811511" s="5"/>
      <c r="AK811511" s="5"/>
    </row>
    <row r="811521" spans="25:37" x14ac:dyDescent="0.2">
      <c r="Y811521" s="251"/>
      <c r="AB811521" s="251"/>
      <c r="AE811521" s="251"/>
      <c r="AH811521" s="251"/>
      <c r="AK811521" s="251"/>
    </row>
    <row r="811636" spans="25:37" x14ac:dyDescent="0.2">
      <c r="Y811636" s="5"/>
      <c r="AB811636" s="5"/>
      <c r="AE811636" s="5"/>
      <c r="AH811636" s="5"/>
      <c r="AK811636" s="5"/>
    </row>
    <row r="811646" spans="25:37" x14ac:dyDescent="0.2">
      <c r="Y811646" s="251"/>
      <c r="AB811646" s="251"/>
      <c r="AE811646" s="251"/>
      <c r="AH811646" s="251"/>
      <c r="AK811646" s="251"/>
    </row>
    <row r="811761" spans="25:37" x14ac:dyDescent="0.2">
      <c r="Y811761" s="5"/>
      <c r="AB811761" s="5"/>
      <c r="AE811761" s="5"/>
      <c r="AH811761" s="5"/>
      <c r="AK811761" s="5"/>
    </row>
    <row r="811771" spans="25:37" x14ac:dyDescent="0.2">
      <c r="Y811771" s="251"/>
      <c r="AB811771" s="251"/>
      <c r="AE811771" s="251"/>
      <c r="AH811771" s="251"/>
      <c r="AK811771" s="251"/>
    </row>
    <row r="811886" spans="25:37" x14ac:dyDescent="0.2">
      <c r="Y811886" s="5"/>
      <c r="AB811886" s="5"/>
      <c r="AE811886" s="5"/>
      <c r="AH811886" s="5"/>
      <c r="AK811886" s="5"/>
    </row>
    <row r="811896" spans="25:37" x14ac:dyDescent="0.2">
      <c r="Y811896" s="251"/>
      <c r="AB811896" s="251"/>
      <c r="AE811896" s="251"/>
      <c r="AH811896" s="251"/>
      <c r="AK811896" s="251"/>
    </row>
    <row r="812011" spans="25:37" x14ac:dyDescent="0.2">
      <c r="Y812011" s="5"/>
      <c r="AB812011" s="5"/>
      <c r="AE812011" s="5"/>
      <c r="AH812011" s="5"/>
      <c r="AK812011" s="5"/>
    </row>
    <row r="812021" spans="25:37" x14ac:dyDescent="0.2">
      <c r="Y812021" s="251"/>
      <c r="AB812021" s="251"/>
      <c r="AE812021" s="251"/>
      <c r="AH812021" s="251"/>
      <c r="AK812021" s="251"/>
    </row>
    <row r="812136" spans="25:37" x14ac:dyDescent="0.2">
      <c r="Y812136" s="5"/>
      <c r="AB812136" s="5"/>
      <c r="AE812136" s="5"/>
      <c r="AH812136" s="5"/>
      <c r="AK812136" s="5"/>
    </row>
    <row r="812146" spans="25:37" x14ac:dyDescent="0.2">
      <c r="Y812146" s="251"/>
      <c r="AB812146" s="251"/>
      <c r="AE812146" s="251"/>
      <c r="AH812146" s="251"/>
      <c r="AK812146" s="251"/>
    </row>
    <row r="812261" spans="25:37" x14ac:dyDescent="0.2">
      <c r="Y812261" s="5"/>
      <c r="AB812261" s="5"/>
      <c r="AE812261" s="5"/>
      <c r="AH812261" s="5"/>
      <c r="AK812261" s="5"/>
    </row>
    <row r="812271" spans="25:37" x14ac:dyDescent="0.2">
      <c r="Y812271" s="251"/>
      <c r="AB812271" s="251"/>
      <c r="AE812271" s="251"/>
      <c r="AH812271" s="251"/>
      <c r="AK812271" s="251"/>
    </row>
    <row r="812386" spans="25:37" x14ac:dyDescent="0.2">
      <c r="Y812386" s="5"/>
      <c r="AB812386" s="5"/>
      <c r="AE812386" s="5"/>
      <c r="AH812386" s="5"/>
      <c r="AK812386" s="5"/>
    </row>
    <row r="812396" spans="25:37" x14ac:dyDescent="0.2">
      <c r="Y812396" s="251"/>
      <c r="AB812396" s="251"/>
      <c r="AE812396" s="251"/>
      <c r="AH812396" s="251"/>
      <c r="AK812396" s="251"/>
    </row>
    <row r="812511" spans="25:37" x14ac:dyDescent="0.2">
      <c r="Y812511" s="5"/>
      <c r="AB812511" s="5"/>
      <c r="AE812511" s="5"/>
      <c r="AH812511" s="5"/>
      <c r="AK812511" s="5"/>
    </row>
    <row r="812521" spans="25:37" x14ac:dyDescent="0.2">
      <c r="Y812521" s="251"/>
      <c r="AB812521" s="251"/>
      <c r="AE812521" s="251"/>
      <c r="AH812521" s="251"/>
      <c r="AK812521" s="251"/>
    </row>
    <row r="812636" spans="25:37" x14ac:dyDescent="0.2">
      <c r="Y812636" s="5"/>
      <c r="AB812636" s="5"/>
      <c r="AE812636" s="5"/>
      <c r="AH812636" s="5"/>
      <c r="AK812636" s="5"/>
    </row>
    <row r="812646" spans="25:37" x14ac:dyDescent="0.2">
      <c r="Y812646" s="251"/>
      <c r="AB812646" s="251"/>
      <c r="AE812646" s="251"/>
      <c r="AH812646" s="251"/>
      <c r="AK812646" s="251"/>
    </row>
    <row r="812761" spans="25:37" x14ac:dyDescent="0.2">
      <c r="Y812761" s="5"/>
      <c r="AB812761" s="5"/>
      <c r="AE812761" s="5"/>
      <c r="AH812761" s="5"/>
      <c r="AK812761" s="5"/>
    </row>
    <row r="812771" spans="25:37" x14ac:dyDescent="0.2">
      <c r="Y812771" s="251"/>
      <c r="AB812771" s="251"/>
      <c r="AE812771" s="251"/>
      <c r="AH812771" s="251"/>
      <c r="AK812771" s="251"/>
    </row>
    <row r="812886" spans="25:37" x14ac:dyDescent="0.2">
      <c r="Y812886" s="5"/>
      <c r="AB812886" s="5"/>
      <c r="AE812886" s="5"/>
      <c r="AH812886" s="5"/>
      <c r="AK812886" s="5"/>
    </row>
    <row r="812896" spans="25:37" x14ac:dyDescent="0.2">
      <c r="Y812896" s="251"/>
      <c r="AB812896" s="251"/>
      <c r="AE812896" s="251"/>
      <c r="AH812896" s="251"/>
      <c r="AK812896" s="251"/>
    </row>
    <row r="813011" spans="25:37" x14ac:dyDescent="0.2">
      <c r="Y813011" s="5"/>
      <c r="AB813011" s="5"/>
      <c r="AE813011" s="5"/>
      <c r="AH813011" s="5"/>
      <c r="AK813011" s="5"/>
    </row>
    <row r="813021" spans="25:37" x14ac:dyDescent="0.2">
      <c r="Y813021" s="251"/>
      <c r="AB813021" s="251"/>
      <c r="AE813021" s="251"/>
      <c r="AH813021" s="251"/>
      <c r="AK813021" s="251"/>
    </row>
    <row r="813136" spans="25:37" x14ac:dyDescent="0.2">
      <c r="Y813136" s="5"/>
      <c r="AB813136" s="5"/>
      <c r="AE813136" s="5"/>
      <c r="AH813136" s="5"/>
      <c r="AK813136" s="5"/>
    </row>
    <row r="813146" spans="25:37" x14ac:dyDescent="0.2">
      <c r="Y813146" s="251"/>
      <c r="AB813146" s="251"/>
      <c r="AE813146" s="251"/>
      <c r="AH813146" s="251"/>
      <c r="AK813146" s="251"/>
    </row>
    <row r="813261" spans="25:37" x14ac:dyDescent="0.2">
      <c r="Y813261" s="5"/>
      <c r="AB813261" s="5"/>
      <c r="AE813261" s="5"/>
      <c r="AH813261" s="5"/>
      <c r="AK813261" s="5"/>
    </row>
    <row r="813271" spans="25:37" x14ac:dyDescent="0.2">
      <c r="Y813271" s="251"/>
      <c r="AB813271" s="251"/>
      <c r="AE813271" s="251"/>
      <c r="AH813271" s="251"/>
      <c r="AK813271" s="251"/>
    </row>
    <row r="813386" spans="25:37" x14ac:dyDescent="0.2">
      <c r="Y813386" s="5"/>
      <c r="AB813386" s="5"/>
      <c r="AE813386" s="5"/>
      <c r="AH813386" s="5"/>
      <c r="AK813386" s="5"/>
    </row>
    <row r="813396" spans="25:37" x14ac:dyDescent="0.2">
      <c r="Y813396" s="251"/>
      <c r="AB813396" s="251"/>
      <c r="AE813396" s="251"/>
      <c r="AH813396" s="251"/>
      <c r="AK813396" s="251"/>
    </row>
    <row r="813511" spans="25:37" x14ac:dyDescent="0.2">
      <c r="Y813511" s="5"/>
      <c r="AB813511" s="5"/>
      <c r="AE813511" s="5"/>
      <c r="AH813511" s="5"/>
      <c r="AK813511" s="5"/>
    </row>
    <row r="813521" spans="25:37" x14ac:dyDescent="0.2">
      <c r="Y813521" s="251"/>
      <c r="AB813521" s="251"/>
      <c r="AE813521" s="251"/>
      <c r="AH813521" s="251"/>
      <c r="AK813521" s="251"/>
    </row>
    <row r="813636" spans="25:37" x14ac:dyDescent="0.2">
      <c r="Y813636" s="5"/>
      <c r="AB813636" s="5"/>
      <c r="AE813636" s="5"/>
      <c r="AH813636" s="5"/>
      <c r="AK813636" s="5"/>
    </row>
    <row r="813646" spans="25:37" x14ac:dyDescent="0.2">
      <c r="Y813646" s="251"/>
      <c r="AB813646" s="251"/>
      <c r="AE813646" s="251"/>
      <c r="AH813646" s="251"/>
      <c r="AK813646" s="251"/>
    </row>
    <row r="813761" spans="25:37" x14ac:dyDescent="0.2">
      <c r="Y813761" s="5"/>
      <c r="AB813761" s="5"/>
      <c r="AE813761" s="5"/>
      <c r="AH813761" s="5"/>
      <c r="AK813761" s="5"/>
    </row>
    <row r="813771" spans="25:37" x14ac:dyDescent="0.2">
      <c r="Y813771" s="251"/>
      <c r="AB813771" s="251"/>
      <c r="AE813771" s="251"/>
      <c r="AH813771" s="251"/>
      <c r="AK813771" s="251"/>
    </row>
    <row r="813886" spans="25:37" x14ac:dyDescent="0.2">
      <c r="Y813886" s="5"/>
      <c r="AB813886" s="5"/>
      <c r="AE813886" s="5"/>
      <c r="AH813886" s="5"/>
      <c r="AK813886" s="5"/>
    </row>
    <row r="813896" spans="25:37" x14ac:dyDescent="0.2">
      <c r="Y813896" s="251"/>
      <c r="AB813896" s="251"/>
      <c r="AE813896" s="251"/>
      <c r="AH813896" s="251"/>
      <c r="AK813896" s="251"/>
    </row>
    <row r="814011" spans="25:37" x14ac:dyDescent="0.2">
      <c r="Y814011" s="5"/>
      <c r="AB814011" s="5"/>
      <c r="AE814011" s="5"/>
      <c r="AH814011" s="5"/>
      <c r="AK814011" s="5"/>
    </row>
    <row r="814021" spans="25:37" x14ac:dyDescent="0.2">
      <c r="Y814021" s="251"/>
      <c r="AB814021" s="251"/>
      <c r="AE814021" s="251"/>
      <c r="AH814021" s="251"/>
      <c r="AK814021" s="251"/>
    </row>
    <row r="814136" spans="25:37" x14ac:dyDescent="0.2">
      <c r="Y814136" s="5"/>
      <c r="AB814136" s="5"/>
      <c r="AE814136" s="5"/>
      <c r="AH814136" s="5"/>
      <c r="AK814136" s="5"/>
    </row>
    <row r="814146" spans="25:37" x14ac:dyDescent="0.2">
      <c r="Y814146" s="251"/>
      <c r="AB814146" s="251"/>
      <c r="AE814146" s="251"/>
      <c r="AH814146" s="251"/>
      <c r="AK814146" s="251"/>
    </row>
    <row r="814261" spans="25:37" x14ac:dyDescent="0.2">
      <c r="Y814261" s="5"/>
      <c r="AB814261" s="5"/>
      <c r="AE814261" s="5"/>
      <c r="AH814261" s="5"/>
      <c r="AK814261" s="5"/>
    </row>
    <row r="814271" spans="25:37" x14ac:dyDescent="0.2">
      <c r="Y814271" s="251"/>
      <c r="AB814271" s="251"/>
      <c r="AE814271" s="251"/>
      <c r="AH814271" s="251"/>
      <c r="AK814271" s="251"/>
    </row>
    <row r="814386" spans="25:37" x14ac:dyDescent="0.2">
      <c r="Y814386" s="5"/>
      <c r="AB814386" s="5"/>
      <c r="AE814386" s="5"/>
      <c r="AH814386" s="5"/>
      <c r="AK814386" s="5"/>
    </row>
    <row r="814396" spans="25:37" x14ac:dyDescent="0.2">
      <c r="Y814396" s="251"/>
      <c r="AB814396" s="251"/>
      <c r="AE814396" s="251"/>
      <c r="AH814396" s="251"/>
      <c r="AK814396" s="251"/>
    </row>
    <row r="814511" spans="25:37" x14ac:dyDescent="0.2">
      <c r="Y814511" s="5"/>
      <c r="AB814511" s="5"/>
      <c r="AE814511" s="5"/>
      <c r="AH814511" s="5"/>
      <c r="AK814511" s="5"/>
    </row>
    <row r="814521" spans="25:37" x14ac:dyDescent="0.2">
      <c r="Y814521" s="251"/>
      <c r="AB814521" s="251"/>
      <c r="AE814521" s="251"/>
      <c r="AH814521" s="251"/>
      <c r="AK814521" s="251"/>
    </row>
    <row r="814636" spans="25:37" x14ac:dyDescent="0.2">
      <c r="Y814636" s="5"/>
      <c r="AB814636" s="5"/>
      <c r="AE814636" s="5"/>
      <c r="AH814636" s="5"/>
      <c r="AK814636" s="5"/>
    </row>
    <row r="814646" spans="25:37" x14ac:dyDescent="0.2">
      <c r="Y814646" s="251"/>
      <c r="AB814646" s="251"/>
      <c r="AE814646" s="251"/>
      <c r="AH814646" s="251"/>
      <c r="AK814646" s="251"/>
    </row>
    <row r="814761" spans="25:37" x14ac:dyDescent="0.2">
      <c r="Y814761" s="5"/>
      <c r="AB814761" s="5"/>
      <c r="AE814761" s="5"/>
      <c r="AH814761" s="5"/>
      <c r="AK814761" s="5"/>
    </row>
    <row r="814771" spans="25:37" x14ac:dyDescent="0.2">
      <c r="Y814771" s="251"/>
      <c r="AB814771" s="251"/>
      <c r="AE814771" s="251"/>
      <c r="AH814771" s="251"/>
      <c r="AK814771" s="251"/>
    </row>
    <row r="814886" spans="25:37" x14ac:dyDescent="0.2">
      <c r="Y814886" s="5"/>
      <c r="AB814886" s="5"/>
      <c r="AE814886" s="5"/>
      <c r="AH814886" s="5"/>
      <c r="AK814886" s="5"/>
    </row>
    <row r="814896" spans="25:37" x14ac:dyDescent="0.2">
      <c r="Y814896" s="251"/>
      <c r="AB814896" s="251"/>
      <c r="AE814896" s="251"/>
      <c r="AH814896" s="251"/>
      <c r="AK814896" s="251"/>
    </row>
    <row r="815011" spans="25:37" x14ac:dyDescent="0.2">
      <c r="Y815011" s="5"/>
      <c r="AB815011" s="5"/>
      <c r="AE815011" s="5"/>
      <c r="AH815011" s="5"/>
      <c r="AK815011" s="5"/>
    </row>
    <row r="815021" spans="25:37" x14ac:dyDescent="0.2">
      <c r="Y815021" s="251"/>
      <c r="AB815021" s="251"/>
      <c r="AE815021" s="251"/>
      <c r="AH815021" s="251"/>
      <c r="AK815021" s="251"/>
    </row>
    <row r="815136" spans="25:37" x14ac:dyDescent="0.2">
      <c r="Y815136" s="5"/>
      <c r="AB815136" s="5"/>
      <c r="AE815136" s="5"/>
      <c r="AH815136" s="5"/>
      <c r="AK815136" s="5"/>
    </row>
    <row r="815146" spans="25:37" x14ac:dyDescent="0.2">
      <c r="Y815146" s="251"/>
      <c r="AB815146" s="251"/>
      <c r="AE815146" s="251"/>
      <c r="AH815146" s="251"/>
      <c r="AK815146" s="251"/>
    </row>
    <row r="815261" spans="25:37" x14ac:dyDescent="0.2">
      <c r="Y815261" s="5"/>
      <c r="AB815261" s="5"/>
      <c r="AE815261" s="5"/>
      <c r="AH815261" s="5"/>
      <c r="AK815261" s="5"/>
    </row>
    <row r="815271" spans="25:37" x14ac:dyDescent="0.2">
      <c r="Y815271" s="251"/>
      <c r="AB815271" s="251"/>
      <c r="AE815271" s="251"/>
      <c r="AH815271" s="251"/>
      <c r="AK815271" s="251"/>
    </row>
    <row r="815386" spans="25:37" x14ac:dyDescent="0.2">
      <c r="Y815386" s="5"/>
      <c r="AB815386" s="5"/>
      <c r="AE815386" s="5"/>
      <c r="AH815386" s="5"/>
      <c r="AK815386" s="5"/>
    </row>
    <row r="815396" spans="25:37" x14ac:dyDescent="0.2">
      <c r="Y815396" s="251"/>
      <c r="AB815396" s="251"/>
      <c r="AE815396" s="251"/>
      <c r="AH815396" s="251"/>
      <c r="AK815396" s="251"/>
    </row>
    <row r="815511" spans="25:37" x14ac:dyDescent="0.2">
      <c r="Y815511" s="5"/>
      <c r="AB815511" s="5"/>
      <c r="AE815511" s="5"/>
      <c r="AH815511" s="5"/>
      <c r="AK815511" s="5"/>
    </row>
    <row r="815521" spans="25:37" x14ac:dyDescent="0.2">
      <c r="Y815521" s="251"/>
      <c r="AB815521" s="251"/>
      <c r="AE815521" s="251"/>
      <c r="AH815521" s="251"/>
      <c r="AK815521" s="251"/>
    </row>
    <row r="815636" spans="25:37" x14ac:dyDescent="0.2">
      <c r="Y815636" s="5"/>
      <c r="AB815636" s="5"/>
      <c r="AE815636" s="5"/>
      <c r="AH815636" s="5"/>
      <c r="AK815636" s="5"/>
    </row>
    <row r="815646" spans="25:37" x14ac:dyDescent="0.2">
      <c r="Y815646" s="251"/>
      <c r="AB815646" s="251"/>
      <c r="AE815646" s="251"/>
      <c r="AH815646" s="251"/>
      <c r="AK815646" s="251"/>
    </row>
    <row r="815761" spans="25:37" x14ac:dyDescent="0.2">
      <c r="Y815761" s="5"/>
      <c r="AB815761" s="5"/>
      <c r="AE815761" s="5"/>
      <c r="AH815761" s="5"/>
      <c r="AK815761" s="5"/>
    </row>
    <row r="815771" spans="25:37" x14ac:dyDescent="0.2">
      <c r="Y815771" s="251"/>
      <c r="AB815771" s="251"/>
      <c r="AE815771" s="251"/>
      <c r="AH815771" s="251"/>
      <c r="AK815771" s="251"/>
    </row>
    <row r="815886" spans="25:37" x14ac:dyDescent="0.2">
      <c r="Y815886" s="5"/>
      <c r="AB815886" s="5"/>
      <c r="AE815886" s="5"/>
      <c r="AH815886" s="5"/>
      <c r="AK815886" s="5"/>
    </row>
    <row r="815896" spans="25:37" x14ac:dyDescent="0.2">
      <c r="Y815896" s="251"/>
      <c r="AB815896" s="251"/>
      <c r="AE815896" s="251"/>
      <c r="AH815896" s="251"/>
      <c r="AK815896" s="251"/>
    </row>
    <row r="816011" spans="25:37" x14ac:dyDescent="0.2">
      <c r="Y816011" s="5"/>
      <c r="AB816011" s="5"/>
      <c r="AE816011" s="5"/>
      <c r="AH816011" s="5"/>
      <c r="AK816011" s="5"/>
    </row>
    <row r="816021" spans="25:37" x14ac:dyDescent="0.2">
      <c r="Y816021" s="251"/>
      <c r="AB816021" s="251"/>
      <c r="AE816021" s="251"/>
      <c r="AH816021" s="251"/>
      <c r="AK816021" s="251"/>
    </row>
    <row r="816136" spans="25:37" x14ac:dyDescent="0.2">
      <c r="Y816136" s="5"/>
      <c r="AB816136" s="5"/>
      <c r="AE816136" s="5"/>
      <c r="AH816136" s="5"/>
      <c r="AK816136" s="5"/>
    </row>
    <row r="816146" spans="25:37" x14ac:dyDescent="0.2">
      <c r="Y816146" s="251"/>
      <c r="AB816146" s="251"/>
      <c r="AE816146" s="251"/>
      <c r="AH816146" s="251"/>
      <c r="AK816146" s="251"/>
    </row>
    <row r="816261" spans="25:37" x14ac:dyDescent="0.2">
      <c r="Y816261" s="5"/>
      <c r="AB816261" s="5"/>
      <c r="AE816261" s="5"/>
      <c r="AH816261" s="5"/>
      <c r="AK816261" s="5"/>
    </row>
    <row r="816271" spans="25:37" x14ac:dyDescent="0.2">
      <c r="Y816271" s="251"/>
      <c r="AB816271" s="251"/>
      <c r="AE816271" s="251"/>
      <c r="AH816271" s="251"/>
      <c r="AK816271" s="251"/>
    </row>
    <row r="816386" spans="25:37" x14ac:dyDescent="0.2">
      <c r="Y816386" s="5"/>
      <c r="AB816386" s="5"/>
      <c r="AE816386" s="5"/>
      <c r="AH816386" s="5"/>
      <c r="AK816386" s="5"/>
    </row>
    <row r="816396" spans="25:37" x14ac:dyDescent="0.2">
      <c r="Y816396" s="251"/>
      <c r="AB816396" s="251"/>
      <c r="AE816396" s="251"/>
      <c r="AH816396" s="251"/>
      <c r="AK816396" s="251"/>
    </row>
    <row r="816511" spans="25:37" x14ac:dyDescent="0.2">
      <c r="Y816511" s="5"/>
      <c r="AB816511" s="5"/>
      <c r="AE816511" s="5"/>
      <c r="AH816511" s="5"/>
      <c r="AK816511" s="5"/>
    </row>
    <row r="816521" spans="25:37" x14ac:dyDescent="0.2">
      <c r="Y816521" s="251"/>
      <c r="AB816521" s="251"/>
      <c r="AE816521" s="251"/>
      <c r="AH816521" s="251"/>
      <c r="AK816521" s="251"/>
    </row>
    <row r="816636" spans="25:37" x14ac:dyDescent="0.2">
      <c r="Y816636" s="5"/>
      <c r="AB816636" s="5"/>
      <c r="AE816636" s="5"/>
      <c r="AH816636" s="5"/>
      <c r="AK816636" s="5"/>
    </row>
    <row r="816646" spans="25:37" x14ac:dyDescent="0.2">
      <c r="Y816646" s="251"/>
      <c r="AB816646" s="251"/>
      <c r="AE816646" s="251"/>
      <c r="AH816646" s="251"/>
      <c r="AK816646" s="251"/>
    </row>
    <row r="816761" spans="25:37" x14ac:dyDescent="0.2">
      <c r="Y816761" s="5"/>
      <c r="AB816761" s="5"/>
      <c r="AE816761" s="5"/>
      <c r="AH816761" s="5"/>
      <c r="AK816761" s="5"/>
    </row>
    <row r="816771" spans="25:37" x14ac:dyDescent="0.2">
      <c r="Y816771" s="251"/>
      <c r="AB816771" s="251"/>
      <c r="AE816771" s="251"/>
      <c r="AH816771" s="251"/>
      <c r="AK816771" s="251"/>
    </row>
    <row r="816886" spans="25:37" x14ac:dyDescent="0.2">
      <c r="Y816886" s="5"/>
      <c r="AB816886" s="5"/>
      <c r="AE816886" s="5"/>
      <c r="AH816886" s="5"/>
      <c r="AK816886" s="5"/>
    </row>
    <row r="816896" spans="25:37" x14ac:dyDescent="0.2">
      <c r="Y816896" s="251"/>
      <c r="AB816896" s="251"/>
      <c r="AE816896" s="251"/>
      <c r="AH816896" s="251"/>
      <c r="AK816896" s="251"/>
    </row>
    <row r="817011" spans="25:37" x14ac:dyDescent="0.2">
      <c r="Y817011" s="5"/>
      <c r="AB817011" s="5"/>
      <c r="AE817011" s="5"/>
      <c r="AH817011" s="5"/>
      <c r="AK817011" s="5"/>
    </row>
    <row r="817021" spans="25:37" x14ac:dyDescent="0.2">
      <c r="Y817021" s="251"/>
      <c r="AB817021" s="251"/>
      <c r="AE817021" s="251"/>
      <c r="AH817021" s="251"/>
      <c r="AK817021" s="251"/>
    </row>
    <row r="817136" spans="25:37" x14ac:dyDescent="0.2">
      <c r="Y817136" s="5"/>
      <c r="AB817136" s="5"/>
      <c r="AE817136" s="5"/>
      <c r="AH817136" s="5"/>
      <c r="AK817136" s="5"/>
    </row>
    <row r="817146" spans="25:37" x14ac:dyDescent="0.2">
      <c r="Y817146" s="251"/>
      <c r="AB817146" s="251"/>
      <c r="AE817146" s="251"/>
      <c r="AH817146" s="251"/>
      <c r="AK817146" s="251"/>
    </row>
    <row r="817261" spans="25:37" x14ac:dyDescent="0.2">
      <c r="Y817261" s="5"/>
      <c r="AB817261" s="5"/>
      <c r="AE817261" s="5"/>
      <c r="AH817261" s="5"/>
      <c r="AK817261" s="5"/>
    </row>
    <row r="817271" spans="25:37" x14ac:dyDescent="0.2">
      <c r="Y817271" s="251"/>
      <c r="AB817271" s="251"/>
      <c r="AE817271" s="251"/>
      <c r="AH817271" s="251"/>
      <c r="AK817271" s="251"/>
    </row>
    <row r="817386" spans="25:37" x14ac:dyDescent="0.2">
      <c r="Y817386" s="5"/>
      <c r="AB817386" s="5"/>
      <c r="AE817386" s="5"/>
      <c r="AH817386" s="5"/>
      <c r="AK817386" s="5"/>
    </row>
    <row r="817396" spans="25:37" x14ac:dyDescent="0.2">
      <c r="Y817396" s="251"/>
      <c r="AB817396" s="251"/>
      <c r="AE817396" s="251"/>
      <c r="AH817396" s="251"/>
      <c r="AK817396" s="251"/>
    </row>
    <row r="817511" spans="25:37" x14ac:dyDescent="0.2">
      <c r="Y817511" s="5"/>
      <c r="AB817511" s="5"/>
      <c r="AE817511" s="5"/>
      <c r="AH817511" s="5"/>
      <c r="AK817511" s="5"/>
    </row>
    <row r="817521" spans="25:37" x14ac:dyDescent="0.2">
      <c r="Y817521" s="251"/>
      <c r="AB817521" s="251"/>
      <c r="AE817521" s="251"/>
      <c r="AH817521" s="251"/>
      <c r="AK817521" s="251"/>
    </row>
    <row r="817636" spans="25:37" x14ac:dyDescent="0.2">
      <c r="Y817636" s="5"/>
      <c r="AB817636" s="5"/>
      <c r="AE817636" s="5"/>
      <c r="AH817636" s="5"/>
      <c r="AK817636" s="5"/>
    </row>
    <row r="817646" spans="25:37" x14ac:dyDescent="0.2">
      <c r="Y817646" s="251"/>
      <c r="AB817646" s="251"/>
      <c r="AE817646" s="251"/>
      <c r="AH817646" s="251"/>
      <c r="AK817646" s="251"/>
    </row>
    <row r="817761" spans="25:37" x14ac:dyDescent="0.2">
      <c r="Y817761" s="5"/>
      <c r="AB817761" s="5"/>
      <c r="AE817761" s="5"/>
      <c r="AH817761" s="5"/>
      <c r="AK817761" s="5"/>
    </row>
    <row r="817771" spans="25:37" x14ac:dyDescent="0.2">
      <c r="Y817771" s="251"/>
      <c r="AB817771" s="251"/>
      <c r="AE817771" s="251"/>
      <c r="AH817771" s="251"/>
      <c r="AK817771" s="251"/>
    </row>
    <row r="817886" spans="25:37" x14ac:dyDescent="0.2">
      <c r="Y817886" s="5"/>
      <c r="AB817886" s="5"/>
      <c r="AE817886" s="5"/>
      <c r="AH817886" s="5"/>
      <c r="AK817886" s="5"/>
    </row>
    <row r="817896" spans="25:37" x14ac:dyDescent="0.2">
      <c r="Y817896" s="251"/>
      <c r="AB817896" s="251"/>
      <c r="AE817896" s="251"/>
      <c r="AH817896" s="251"/>
      <c r="AK817896" s="251"/>
    </row>
    <row r="818011" spans="25:37" x14ac:dyDescent="0.2">
      <c r="Y818011" s="5"/>
      <c r="AB818011" s="5"/>
      <c r="AE818011" s="5"/>
      <c r="AH818011" s="5"/>
      <c r="AK818011" s="5"/>
    </row>
    <row r="818021" spans="25:37" x14ac:dyDescent="0.2">
      <c r="Y818021" s="251"/>
      <c r="AB818021" s="251"/>
      <c r="AE818021" s="251"/>
      <c r="AH818021" s="251"/>
      <c r="AK818021" s="251"/>
    </row>
    <row r="818136" spans="25:37" x14ac:dyDescent="0.2">
      <c r="Y818136" s="5"/>
      <c r="AB818136" s="5"/>
      <c r="AE818136" s="5"/>
      <c r="AH818136" s="5"/>
      <c r="AK818136" s="5"/>
    </row>
    <row r="818146" spans="25:37" x14ac:dyDescent="0.2">
      <c r="Y818146" s="251"/>
      <c r="AB818146" s="251"/>
      <c r="AE818146" s="251"/>
      <c r="AH818146" s="251"/>
      <c r="AK818146" s="251"/>
    </row>
    <row r="818261" spans="25:37" x14ac:dyDescent="0.2">
      <c r="Y818261" s="5"/>
      <c r="AB818261" s="5"/>
      <c r="AE818261" s="5"/>
      <c r="AH818261" s="5"/>
      <c r="AK818261" s="5"/>
    </row>
    <row r="818271" spans="25:37" x14ac:dyDescent="0.2">
      <c r="Y818271" s="251"/>
      <c r="AB818271" s="251"/>
      <c r="AE818271" s="251"/>
      <c r="AH818271" s="251"/>
      <c r="AK818271" s="251"/>
    </row>
    <row r="818386" spans="25:37" x14ac:dyDescent="0.2">
      <c r="Y818386" s="5"/>
      <c r="AB818386" s="5"/>
      <c r="AE818386" s="5"/>
      <c r="AH818386" s="5"/>
      <c r="AK818386" s="5"/>
    </row>
    <row r="818396" spans="25:37" x14ac:dyDescent="0.2">
      <c r="Y818396" s="251"/>
      <c r="AB818396" s="251"/>
      <c r="AE818396" s="251"/>
      <c r="AH818396" s="251"/>
      <c r="AK818396" s="251"/>
    </row>
    <row r="818511" spans="25:37" x14ac:dyDescent="0.2">
      <c r="Y818511" s="5"/>
      <c r="AB818511" s="5"/>
      <c r="AE818511" s="5"/>
      <c r="AH818511" s="5"/>
      <c r="AK818511" s="5"/>
    </row>
    <row r="818521" spans="25:37" x14ac:dyDescent="0.2">
      <c r="Y818521" s="251"/>
      <c r="AB818521" s="251"/>
      <c r="AE818521" s="251"/>
      <c r="AH818521" s="251"/>
      <c r="AK818521" s="251"/>
    </row>
    <row r="818636" spans="25:37" x14ac:dyDescent="0.2">
      <c r="Y818636" s="5"/>
      <c r="AB818636" s="5"/>
      <c r="AE818636" s="5"/>
      <c r="AH818636" s="5"/>
      <c r="AK818636" s="5"/>
    </row>
    <row r="818646" spans="25:37" x14ac:dyDescent="0.2">
      <c r="Y818646" s="251"/>
      <c r="AB818646" s="251"/>
      <c r="AE818646" s="251"/>
      <c r="AH818646" s="251"/>
      <c r="AK818646" s="251"/>
    </row>
    <row r="818761" spans="25:37" x14ac:dyDescent="0.2">
      <c r="Y818761" s="5"/>
      <c r="AB818761" s="5"/>
      <c r="AE818761" s="5"/>
      <c r="AH818761" s="5"/>
      <c r="AK818761" s="5"/>
    </row>
    <row r="818771" spans="25:37" x14ac:dyDescent="0.2">
      <c r="Y818771" s="251"/>
      <c r="AB818771" s="251"/>
      <c r="AE818771" s="251"/>
      <c r="AH818771" s="251"/>
      <c r="AK818771" s="251"/>
    </row>
    <row r="818886" spans="25:37" x14ac:dyDescent="0.2">
      <c r="Y818886" s="5"/>
      <c r="AB818886" s="5"/>
      <c r="AE818886" s="5"/>
      <c r="AH818886" s="5"/>
      <c r="AK818886" s="5"/>
    </row>
    <row r="818896" spans="25:37" x14ac:dyDescent="0.2">
      <c r="Y818896" s="251"/>
      <c r="AB818896" s="251"/>
      <c r="AE818896" s="251"/>
      <c r="AH818896" s="251"/>
      <c r="AK818896" s="251"/>
    </row>
    <row r="819011" spans="25:37" x14ac:dyDescent="0.2">
      <c r="Y819011" s="5"/>
      <c r="AB819011" s="5"/>
      <c r="AE819011" s="5"/>
      <c r="AH819011" s="5"/>
      <c r="AK819011" s="5"/>
    </row>
    <row r="819021" spans="25:37" x14ac:dyDescent="0.2">
      <c r="Y819021" s="251"/>
      <c r="AB819021" s="251"/>
      <c r="AE819021" s="251"/>
      <c r="AH819021" s="251"/>
      <c r="AK819021" s="251"/>
    </row>
    <row r="819136" spans="25:37" x14ac:dyDescent="0.2">
      <c r="Y819136" s="5"/>
      <c r="AB819136" s="5"/>
      <c r="AE819136" s="5"/>
      <c r="AH819136" s="5"/>
      <c r="AK819136" s="5"/>
    </row>
    <row r="819146" spans="25:37" x14ac:dyDescent="0.2">
      <c r="Y819146" s="251"/>
      <c r="AB819146" s="251"/>
      <c r="AE819146" s="251"/>
      <c r="AH819146" s="251"/>
      <c r="AK819146" s="251"/>
    </row>
    <row r="819261" spans="25:37" x14ac:dyDescent="0.2">
      <c r="Y819261" s="5"/>
      <c r="AB819261" s="5"/>
      <c r="AE819261" s="5"/>
      <c r="AH819261" s="5"/>
      <c r="AK819261" s="5"/>
    </row>
    <row r="819271" spans="25:37" x14ac:dyDescent="0.2">
      <c r="Y819271" s="251"/>
      <c r="AB819271" s="251"/>
      <c r="AE819271" s="251"/>
      <c r="AH819271" s="251"/>
      <c r="AK819271" s="251"/>
    </row>
    <row r="819386" spans="25:37" x14ac:dyDescent="0.2">
      <c r="Y819386" s="5"/>
      <c r="AB819386" s="5"/>
      <c r="AE819386" s="5"/>
      <c r="AH819386" s="5"/>
      <c r="AK819386" s="5"/>
    </row>
    <row r="819396" spans="25:37" x14ac:dyDescent="0.2">
      <c r="Y819396" s="251"/>
      <c r="AB819396" s="251"/>
      <c r="AE819396" s="251"/>
      <c r="AH819396" s="251"/>
      <c r="AK819396" s="251"/>
    </row>
    <row r="819511" spans="25:37" x14ac:dyDescent="0.2">
      <c r="Y819511" s="5"/>
      <c r="AB819511" s="5"/>
      <c r="AE819511" s="5"/>
      <c r="AH819511" s="5"/>
      <c r="AK819511" s="5"/>
    </row>
    <row r="819521" spans="25:37" x14ac:dyDescent="0.2">
      <c r="Y819521" s="251"/>
      <c r="AB819521" s="251"/>
      <c r="AE819521" s="251"/>
      <c r="AH819521" s="251"/>
      <c r="AK819521" s="251"/>
    </row>
    <row r="819636" spans="25:37" x14ac:dyDescent="0.2">
      <c r="Y819636" s="5"/>
      <c r="AB819636" s="5"/>
      <c r="AE819636" s="5"/>
      <c r="AH819636" s="5"/>
      <c r="AK819636" s="5"/>
    </row>
    <row r="819646" spans="25:37" x14ac:dyDescent="0.2">
      <c r="Y819646" s="251"/>
      <c r="AB819646" s="251"/>
      <c r="AE819646" s="251"/>
      <c r="AH819646" s="251"/>
      <c r="AK819646" s="251"/>
    </row>
    <row r="819761" spans="25:37" x14ac:dyDescent="0.2">
      <c r="Y819761" s="5"/>
      <c r="AB819761" s="5"/>
      <c r="AE819761" s="5"/>
      <c r="AH819761" s="5"/>
      <c r="AK819761" s="5"/>
    </row>
    <row r="819771" spans="25:37" x14ac:dyDescent="0.2">
      <c r="Y819771" s="251"/>
      <c r="AB819771" s="251"/>
      <c r="AE819771" s="251"/>
      <c r="AH819771" s="251"/>
      <c r="AK819771" s="251"/>
    </row>
    <row r="819886" spans="25:37" x14ac:dyDescent="0.2">
      <c r="Y819886" s="5"/>
      <c r="AB819886" s="5"/>
      <c r="AE819886" s="5"/>
      <c r="AH819886" s="5"/>
      <c r="AK819886" s="5"/>
    </row>
    <row r="819896" spans="25:37" x14ac:dyDescent="0.2">
      <c r="Y819896" s="251"/>
      <c r="AB819896" s="251"/>
      <c r="AE819896" s="251"/>
      <c r="AH819896" s="251"/>
      <c r="AK819896" s="251"/>
    </row>
    <row r="820011" spans="25:37" x14ac:dyDescent="0.2">
      <c r="Y820011" s="5"/>
      <c r="AB820011" s="5"/>
      <c r="AE820011" s="5"/>
      <c r="AH820011" s="5"/>
      <c r="AK820011" s="5"/>
    </row>
    <row r="820021" spans="25:37" x14ac:dyDescent="0.2">
      <c r="Y820021" s="251"/>
      <c r="AB820021" s="251"/>
      <c r="AE820021" s="251"/>
      <c r="AH820021" s="251"/>
      <c r="AK820021" s="251"/>
    </row>
    <row r="820136" spans="25:37" x14ac:dyDescent="0.2">
      <c r="Y820136" s="5"/>
      <c r="AB820136" s="5"/>
      <c r="AE820136" s="5"/>
      <c r="AH820136" s="5"/>
      <c r="AK820136" s="5"/>
    </row>
    <row r="820146" spans="25:37" x14ac:dyDescent="0.2">
      <c r="Y820146" s="251"/>
      <c r="AB820146" s="251"/>
      <c r="AE820146" s="251"/>
      <c r="AH820146" s="251"/>
      <c r="AK820146" s="251"/>
    </row>
    <row r="820261" spans="25:37" x14ac:dyDescent="0.2">
      <c r="Y820261" s="5"/>
      <c r="AB820261" s="5"/>
      <c r="AE820261" s="5"/>
      <c r="AH820261" s="5"/>
      <c r="AK820261" s="5"/>
    </row>
    <row r="820271" spans="25:37" x14ac:dyDescent="0.2">
      <c r="Y820271" s="251"/>
      <c r="AB820271" s="251"/>
      <c r="AE820271" s="251"/>
      <c r="AH820271" s="251"/>
      <c r="AK820271" s="251"/>
    </row>
    <row r="820386" spans="25:37" x14ac:dyDescent="0.2">
      <c r="Y820386" s="5"/>
      <c r="AB820386" s="5"/>
      <c r="AE820386" s="5"/>
      <c r="AH820386" s="5"/>
      <c r="AK820386" s="5"/>
    </row>
    <row r="820396" spans="25:37" x14ac:dyDescent="0.2">
      <c r="Y820396" s="251"/>
      <c r="AB820396" s="251"/>
      <c r="AE820396" s="251"/>
      <c r="AH820396" s="251"/>
      <c r="AK820396" s="251"/>
    </row>
    <row r="820511" spans="25:37" x14ac:dyDescent="0.2">
      <c r="Y820511" s="5"/>
      <c r="AB820511" s="5"/>
      <c r="AE820511" s="5"/>
      <c r="AH820511" s="5"/>
      <c r="AK820511" s="5"/>
    </row>
    <row r="820521" spans="25:37" x14ac:dyDescent="0.2">
      <c r="Y820521" s="251"/>
      <c r="AB820521" s="251"/>
      <c r="AE820521" s="251"/>
      <c r="AH820521" s="251"/>
      <c r="AK820521" s="251"/>
    </row>
    <row r="820636" spans="25:37" x14ac:dyDescent="0.2">
      <c r="Y820636" s="5"/>
      <c r="AB820636" s="5"/>
      <c r="AE820636" s="5"/>
      <c r="AH820636" s="5"/>
      <c r="AK820636" s="5"/>
    </row>
    <row r="820646" spans="25:37" x14ac:dyDescent="0.2">
      <c r="Y820646" s="251"/>
      <c r="AB820646" s="251"/>
      <c r="AE820646" s="251"/>
      <c r="AH820646" s="251"/>
      <c r="AK820646" s="251"/>
    </row>
    <row r="820761" spans="25:37" x14ac:dyDescent="0.2">
      <c r="Y820761" s="5"/>
      <c r="AB820761" s="5"/>
      <c r="AE820761" s="5"/>
      <c r="AH820761" s="5"/>
      <c r="AK820761" s="5"/>
    </row>
    <row r="820771" spans="25:37" x14ac:dyDescent="0.2">
      <c r="Y820771" s="251"/>
      <c r="AB820771" s="251"/>
      <c r="AE820771" s="251"/>
      <c r="AH820771" s="251"/>
      <c r="AK820771" s="251"/>
    </row>
    <row r="820886" spans="25:37" x14ac:dyDescent="0.2">
      <c r="Y820886" s="5"/>
      <c r="AB820886" s="5"/>
      <c r="AE820886" s="5"/>
      <c r="AH820886" s="5"/>
      <c r="AK820886" s="5"/>
    </row>
    <row r="820896" spans="25:37" x14ac:dyDescent="0.2">
      <c r="Y820896" s="251"/>
      <c r="AB820896" s="251"/>
      <c r="AE820896" s="251"/>
      <c r="AH820896" s="251"/>
      <c r="AK820896" s="251"/>
    </row>
    <row r="821011" spans="25:37" x14ac:dyDescent="0.2">
      <c r="Y821011" s="5"/>
      <c r="AB821011" s="5"/>
      <c r="AE821011" s="5"/>
      <c r="AH821011" s="5"/>
      <c r="AK821011" s="5"/>
    </row>
    <row r="821021" spans="25:37" x14ac:dyDescent="0.2">
      <c r="Y821021" s="251"/>
      <c r="AB821021" s="251"/>
      <c r="AE821021" s="251"/>
      <c r="AH821021" s="251"/>
      <c r="AK821021" s="251"/>
    </row>
    <row r="821136" spans="25:37" x14ac:dyDescent="0.2">
      <c r="Y821136" s="5"/>
      <c r="AB821136" s="5"/>
      <c r="AE821136" s="5"/>
      <c r="AH821136" s="5"/>
      <c r="AK821136" s="5"/>
    </row>
    <row r="821146" spans="25:37" x14ac:dyDescent="0.2">
      <c r="Y821146" s="251"/>
      <c r="AB821146" s="251"/>
      <c r="AE821146" s="251"/>
      <c r="AH821146" s="251"/>
      <c r="AK821146" s="251"/>
    </row>
    <row r="821261" spans="25:37" x14ac:dyDescent="0.2">
      <c r="Y821261" s="5"/>
      <c r="AB821261" s="5"/>
      <c r="AE821261" s="5"/>
      <c r="AH821261" s="5"/>
      <c r="AK821261" s="5"/>
    </row>
    <row r="821271" spans="25:37" x14ac:dyDescent="0.2">
      <c r="Y821271" s="251"/>
      <c r="AB821271" s="251"/>
      <c r="AE821271" s="251"/>
      <c r="AH821271" s="251"/>
      <c r="AK821271" s="251"/>
    </row>
    <row r="821386" spans="25:37" x14ac:dyDescent="0.2">
      <c r="Y821386" s="5"/>
      <c r="AB821386" s="5"/>
      <c r="AE821386" s="5"/>
      <c r="AH821386" s="5"/>
      <c r="AK821386" s="5"/>
    </row>
    <row r="821396" spans="25:37" x14ac:dyDescent="0.2">
      <c r="Y821396" s="251"/>
      <c r="AB821396" s="251"/>
      <c r="AE821396" s="251"/>
      <c r="AH821396" s="251"/>
      <c r="AK821396" s="251"/>
    </row>
    <row r="821511" spans="25:37" x14ac:dyDescent="0.2">
      <c r="Y821511" s="5"/>
      <c r="AB821511" s="5"/>
      <c r="AE821511" s="5"/>
      <c r="AH821511" s="5"/>
      <c r="AK821511" s="5"/>
    </row>
    <row r="821521" spans="25:37" x14ac:dyDescent="0.2">
      <c r="Y821521" s="251"/>
      <c r="AB821521" s="251"/>
      <c r="AE821521" s="251"/>
      <c r="AH821521" s="251"/>
      <c r="AK821521" s="251"/>
    </row>
    <row r="821636" spans="25:37" x14ac:dyDescent="0.2">
      <c r="Y821636" s="5"/>
      <c r="AB821636" s="5"/>
      <c r="AE821636" s="5"/>
      <c r="AH821636" s="5"/>
      <c r="AK821636" s="5"/>
    </row>
    <row r="821646" spans="25:37" x14ac:dyDescent="0.2">
      <c r="Y821646" s="251"/>
      <c r="AB821646" s="251"/>
      <c r="AE821646" s="251"/>
      <c r="AH821646" s="251"/>
      <c r="AK821646" s="251"/>
    </row>
    <row r="821761" spans="25:37" x14ac:dyDescent="0.2">
      <c r="Y821761" s="5"/>
      <c r="AB821761" s="5"/>
      <c r="AE821761" s="5"/>
      <c r="AH821761" s="5"/>
      <c r="AK821761" s="5"/>
    </row>
    <row r="821771" spans="25:37" x14ac:dyDescent="0.2">
      <c r="Y821771" s="251"/>
      <c r="AB821771" s="251"/>
      <c r="AE821771" s="251"/>
      <c r="AH821771" s="251"/>
      <c r="AK821771" s="251"/>
    </row>
    <row r="821886" spans="25:37" x14ac:dyDescent="0.2">
      <c r="Y821886" s="5"/>
      <c r="AB821886" s="5"/>
      <c r="AE821886" s="5"/>
      <c r="AH821886" s="5"/>
      <c r="AK821886" s="5"/>
    </row>
    <row r="821896" spans="25:37" x14ac:dyDescent="0.2">
      <c r="Y821896" s="251"/>
      <c r="AB821896" s="251"/>
      <c r="AE821896" s="251"/>
      <c r="AH821896" s="251"/>
      <c r="AK821896" s="251"/>
    </row>
    <row r="822011" spans="25:37" x14ac:dyDescent="0.2">
      <c r="Y822011" s="5"/>
      <c r="AB822011" s="5"/>
      <c r="AE822011" s="5"/>
      <c r="AH822011" s="5"/>
      <c r="AK822011" s="5"/>
    </row>
    <row r="822021" spans="25:37" x14ac:dyDescent="0.2">
      <c r="Y822021" s="251"/>
      <c r="AB822021" s="251"/>
      <c r="AE822021" s="251"/>
      <c r="AH822021" s="251"/>
      <c r="AK822021" s="251"/>
    </row>
    <row r="822136" spans="25:37" x14ac:dyDescent="0.2">
      <c r="Y822136" s="5"/>
      <c r="AB822136" s="5"/>
      <c r="AE822136" s="5"/>
      <c r="AH822136" s="5"/>
      <c r="AK822136" s="5"/>
    </row>
    <row r="822146" spans="25:37" x14ac:dyDescent="0.2">
      <c r="Y822146" s="251"/>
      <c r="AB822146" s="251"/>
      <c r="AE822146" s="251"/>
      <c r="AH822146" s="251"/>
      <c r="AK822146" s="251"/>
    </row>
    <row r="822261" spans="25:37" x14ac:dyDescent="0.2">
      <c r="Y822261" s="5"/>
      <c r="AB822261" s="5"/>
      <c r="AE822261" s="5"/>
      <c r="AH822261" s="5"/>
      <c r="AK822261" s="5"/>
    </row>
    <row r="822271" spans="25:37" x14ac:dyDescent="0.2">
      <c r="Y822271" s="251"/>
      <c r="AB822271" s="251"/>
      <c r="AE822271" s="251"/>
      <c r="AH822271" s="251"/>
      <c r="AK822271" s="251"/>
    </row>
    <row r="822386" spans="25:37" x14ac:dyDescent="0.2">
      <c r="Y822386" s="5"/>
      <c r="AB822386" s="5"/>
      <c r="AE822386" s="5"/>
      <c r="AH822386" s="5"/>
      <c r="AK822386" s="5"/>
    </row>
    <row r="822396" spans="25:37" x14ac:dyDescent="0.2">
      <c r="Y822396" s="251"/>
      <c r="AB822396" s="251"/>
      <c r="AE822396" s="251"/>
      <c r="AH822396" s="251"/>
      <c r="AK822396" s="251"/>
    </row>
    <row r="822511" spans="25:37" x14ac:dyDescent="0.2">
      <c r="Y822511" s="5"/>
      <c r="AB822511" s="5"/>
      <c r="AE822511" s="5"/>
      <c r="AH822511" s="5"/>
      <c r="AK822511" s="5"/>
    </row>
    <row r="822521" spans="25:37" x14ac:dyDescent="0.2">
      <c r="Y822521" s="251"/>
      <c r="AB822521" s="251"/>
      <c r="AE822521" s="251"/>
      <c r="AH822521" s="251"/>
      <c r="AK822521" s="251"/>
    </row>
    <row r="822636" spans="25:37" x14ac:dyDescent="0.2">
      <c r="Y822636" s="5"/>
      <c r="AB822636" s="5"/>
      <c r="AE822636" s="5"/>
      <c r="AH822636" s="5"/>
      <c r="AK822636" s="5"/>
    </row>
    <row r="822646" spans="25:37" x14ac:dyDescent="0.2">
      <c r="Y822646" s="251"/>
      <c r="AB822646" s="251"/>
      <c r="AE822646" s="251"/>
      <c r="AH822646" s="251"/>
      <c r="AK822646" s="251"/>
    </row>
    <row r="822761" spans="25:37" x14ac:dyDescent="0.2">
      <c r="Y822761" s="5"/>
      <c r="AB822761" s="5"/>
      <c r="AE822761" s="5"/>
      <c r="AH822761" s="5"/>
      <c r="AK822761" s="5"/>
    </row>
    <row r="822771" spans="25:37" x14ac:dyDescent="0.2">
      <c r="Y822771" s="251"/>
      <c r="AB822771" s="251"/>
      <c r="AE822771" s="251"/>
      <c r="AH822771" s="251"/>
      <c r="AK822771" s="251"/>
    </row>
    <row r="822886" spans="25:37" x14ac:dyDescent="0.2">
      <c r="Y822886" s="5"/>
      <c r="AB822886" s="5"/>
      <c r="AE822886" s="5"/>
      <c r="AH822886" s="5"/>
      <c r="AK822886" s="5"/>
    </row>
    <row r="822896" spans="25:37" x14ac:dyDescent="0.2">
      <c r="Y822896" s="251"/>
      <c r="AB822896" s="251"/>
      <c r="AE822896" s="251"/>
      <c r="AH822896" s="251"/>
      <c r="AK822896" s="251"/>
    </row>
    <row r="823011" spans="25:37" x14ac:dyDescent="0.2">
      <c r="Y823011" s="5"/>
      <c r="AB823011" s="5"/>
      <c r="AE823011" s="5"/>
      <c r="AH823011" s="5"/>
      <c r="AK823011" s="5"/>
    </row>
    <row r="823021" spans="25:37" x14ac:dyDescent="0.2">
      <c r="Y823021" s="251"/>
      <c r="AB823021" s="251"/>
      <c r="AE823021" s="251"/>
      <c r="AH823021" s="251"/>
      <c r="AK823021" s="251"/>
    </row>
    <row r="823136" spans="25:37" x14ac:dyDescent="0.2">
      <c r="Y823136" s="5"/>
      <c r="AB823136" s="5"/>
      <c r="AE823136" s="5"/>
      <c r="AH823136" s="5"/>
      <c r="AK823136" s="5"/>
    </row>
    <row r="823146" spans="25:37" x14ac:dyDescent="0.2">
      <c r="Y823146" s="251"/>
      <c r="AB823146" s="251"/>
      <c r="AE823146" s="251"/>
      <c r="AH823146" s="251"/>
      <c r="AK823146" s="251"/>
    </row>
    <row r="823261" spans="25:37" x14ac:dyDescent="0.2">
      <c r="Y823261" s="5"/>
      <c r="AB823261" s="5"/>
      <c r="AE823261" s="5"/>
      <c r="AH823261" s="5"/>
      <c r="AK823261" s="5"/>
    </row>
    <row r="823271" spans="25:37" x14ac:dyDescent="0.2">
      <c r="Y823271" s="251"/>
      <c r="AB823271" s="251"/>
      <c r="AE823271" s="251"/>
      <c r="AH823271" s="251"/>
      <c r="AK823271" s="251"/>
    </row>
    <row r="823386" spans="25:37" x14ac:dyDescent="0.2">
      <c r="Y823386" s="5"/>
      <c r="AB823386" s="5"/>
      <c r="AE823386" s="5"/>
      <c r="AH823386" s="5"/>
      <c r="AK823386" s="5"/>
    </row>
    <row r="823396" spans="25:37" x14ac:dyDescent="0.2">
      <c r="Y823396" s="251"/>
      <c r="AB823396" s="251"/>
      <c r="AE823396" s="251"/>
      <c r="AH823396" s="251"/>
      <c r="AK823396" s="251"/>
    </row>
    <row r="823511" spans="25:37" x14ac:dyDescent="0.2">
      <c r="Y823511" s="5"/>
      <c r="AB823511" s="5"/>
      <c r="AE823511" s="5"/>
      <c r="AH823511" s="5"/>
      <c r="AK823511" s="5"/>
    </row>
    <row r="823521" spans="25:37" x14ac:dyDescent="0.2">
      <c r="Y823521" s="251"/>
      <c r="AB823521" s="251"/>
      <c r="AE823521" s="251"/>
      <c r="AH823521" s="251"/>
      <c r="AK823521" s="251"/>
    </row>
    <row r="823636" spans="25:37" x14ac:dyDescent="0.2">
      <c r="Y823636" s="5"/>
      <c r="AB823636" s="5"/>
      <c r="AE823636" s="5"/>
      <c r="AH823636" s="5"/>
      <c r="AK823636" s="5"/>
    </row>
    <row r="823646" spans="25:37" x14ac:dyDescent="0.2">
      <c r="Y823646" s="251"/>
      <c r="AB823646" s="251"/>
      <c r="AE823646" s="251"/>
      <c r="AH823646" s="251"/>
      <c r="AK823646" s="251"/>
    </row>
    <row r="823761" spans="25:37" x14ac:dyDescent="0.2">
      <c r="Y823761" s="5"/>
      <c r="AB823761" s="5"/>
      <c r="AE823761" s="5"/>
      <c r="AH823761" s="5"/>
      <c r="AK823761" s="5"/>
    </row>
    <row r="823771" spans="25:37" x14ac:dyDescent="0.2">
      <c r="Y823771" s="251"/>
      <c r="AB823771" s="251"/>
      <c r="AE823771" s="251"/>
      <c r="AH823771" s="251"/>
      <c r="AK823771" s="251"/>
    </row>
    <row r="823886" spans="25:37" x14ac:dyDescent="0.2">
      <c r="Y823886" s="5"/>
      <c r="AB823886" s="5"/>
      <c r="AE823886" s="5"/>
      <c r="AH823886" s="5"/>
      <c r="AK823886" s="5"/>
    </row>
    <row r="823896" spans="25:37" x14ac:dyDescent="0.2">
      <c r="Y823896" s="251"/>
      <c r="AB823896" s="251"/>
      <c r="AE823896" s="251"/>
      <c r="AH823896" s="251"/>
      <c r="AK823896" s="251"/>
    </row>
    <row r="824011" spans="25:37" x14ac:dyDescent="0.2">
      <c r="Y824011" s="5"/>
      <c r="AB824011" s="5"/>
      <c r="AE824011" s="5"/>
      <c r="AH824011" s="5"/>
      <c r="AK824011" s="5"/>
    </row>
    <row r="824021" spans="25:37" x14ac:dyDescent="0.2">
      <c r="Y824021" s="251"/>
      <c r="AB824021" s="251"/>
      <c r="AE824021" s="251"/>
      <c r="AH824021" s="251"/>
      <c r="AK824021" s="251"/>
    </row>
    <row r="824136" spans="25:37" x14ac:dyDescent="0.2">
      <c r="Y824136" s="5"/>
      <c r="AB824136" s="5"/>
      <c r="AE824136" s="5"/>
      <c r="AH824136" s="5"/>
      <c r="AK824136" s="5"/>
    </row>
    <row r="824146" spans="25:37" x14ac:dyDescent="0.2">
      <c r="Y824146" s="251"/>
      <c r="AB824146" s="251"/>
      <c r="AE824146" s="251"/>
      <c r="AH824146" s="251"/>
      <c r="AK824146" s="251"/>
    </row>
    <row r="824261" spans="25:37" x14ac:dyDescent="0.2">
      <c r="Y824261" s="5"/>
      <c r="AB824261" s="5"/>
      <c r="AE824261" s="5"/>
      <c r="AH824261" s="5"/>
      <c r="AK824261" s="5"/>
    </row>
    <row r="824271" spans="25:37" x14ac:dyDescent="0.2">
      <c r="Y824271" s="251"/>
      <c r="AB824271" s="251"/>
      <c r="AE824271" s="251"/>
      <c r="AH824271" s="251"/>
      <c r="AK824271" s="251"/>
    </row>
    <row r="824386" spans="25:37" x14ac:dyDescent="0.2">
      <c r="Y824386" s="5"/>
      <c r="AB824386" s="5"/>
      <c r="AE824386" s="5"/>
      <c r="AH824386" s="5"/>
      <c r="AK824386" s="5"/>
    </row>
    <row r="824396" spans="25:37" x14ac:dyDescent="0.2">
      <c r="Y824396" s="251"/>
      <c r="AB824396" s="251"/>
      <c r="AE824396" s="251"/>
      <c r="AH824396" s="251"/>
      <c r="AK824396" s="251"/>
    </row>
    <row r="824511" spans="25:37" x14ac:dyDescent="0.2">
      <c r="Y824511" s="5"/>
      <c r="AB824511" s="5"/>
      <c r="AE824511" s="5"/>
      <c r="AH824511" s="5"/>
      <c r="AK824511" s="5"/>
    </row>
    <row r="824521" spans="25:37" x14ac:dyDescent="0.2">
      <c r="Y824521" s="251"/>
      <c r="AB824521" s="251"/>
      <c r="AE824521" s="251"/>
      <c r="AH824521" s="251"/>
      <c r="AK824521" s="251"/>
    </row>
    <row r="824636" spans="25:37" x14ac:dyDescent="0.2">
      <c r="Y824636" s="5"/>
      <c r="AB824636" s="5"/>
      <c r="AE824636" s="5"/>
      <c r="AH824636" s="5"/>
      <c r="AK824636" s="5"/>
    </row>
    <row r="824646" spans="25:37" x14ac:dyDescent="0.2">
      <c r="Y824646" s="251"/>
      <c r="AB824646" s="251"/>
      <c r="AE824646" s="251"/>
      <c r="AH824646" s="251"/>
      <c r="AK824646" s="251"/>
    </row>
    <row r="824761" spans="25:37" x14ac:dyDescent="0.2">
      <c r="Y824761" s="5"/>
      <c r="AB824761" s="5"/>
      <c r="AE824761" s="5"/>
      <c r="AH824761" s="5"/>
      <c r="AK824761" s="5"/>
    </row>
    <row r="824771" spans="25:37" x14ac:dyDescent="0.2">
      <c r="Y824771" s="251"/>
      <c r="AB824771" s="251"/>
      <c r="AE824771" s="251"/>
      <c r="AH824771" s="251"/>
      <c r="AK824771" s="251"/>
    </row>
    <row r="824886" spans="25:37" x14ac:dyDescent="0.2">
      <c r="Y824886" s="5"/>
      <c r="AB824886" s="5"/>
      <c r="AE824886" s="5"/>
      <c r="AH824886" s="5"/>
      <c r="AK824886" s="5"/>
    </row>
    <row r="824896" spans="25:37" x14ac:dyDescent="0.2">
      <c r="Y824896" s="251"/>
      <c r="AB824896" s="251"/>
      <c r="AE824896" s="251"/>
      <c r="AH824896" s="251"/>
      <c r="AK824896" s="251"/>
    </row>
    <row r="825011" spans="25:37" x14ac:dyDescent="0.2">
      <c r="Y825011" s="5"/>
      <c r="AB825011" s="5"/>
      <c r="AE825011" s="5"/>
      <c r="AH825011" s="5"/>
      <c r="AK825011" s="5"/>
    </row>
    <row r="825021" spans="25:37" x14ac:dyDescent="0.2">
      <c r="Y825021" s="251"/>
      <c r="AB825021" s="251"/>
      <c r="AE825021" s="251"/>
      <c r="AH825021" s="251"/>
      <c r="AK825021" s="251"/>
    </row>
    <row r="825136" spans="25:37" x14ac:dyDescent="0.2">
      <c r="Y825136" s="5"/>
      <c r="AB825136" s="5"/>
      <c r="AE825136" s="5"/>
      <c r="AH825136" s="5"/>
      <c r="AK825136" s="5"/>
    </row>
    <row r="825146" spans="25:37" x14ac:dyDescent="0.2">
      <c r="Y825146" s="251"/>
      <c r="AB825146" s="251"/>
      <c r="AE825146" s="251"/>
      <c r="AH825146" s="251"/>
      <c r="AK825146" s="251"/>
    </row>
    <row r="825261" spans="25:37" x14ac:dyDescent="0.2">
      <c r="Y825261" s="5"/>
      <c r="AB825261" s="5"/>
      <c r="AE825261" s="5"/>
      <c r="AH825261" s="5"/>
      <c r="AK825261" s="5"/>
    </row>
    <row r="825271" spans="25:37" x14ac:dyDescent="0.2">
      <c r="Y825271" s="251"/>
      <c r="AB825271" s="251"/>
      <c r="AE825271" s="251"/>
      <c r="AH825271" s="251"/>
      <c r="AK825271" s="251"/>
    </row>
    <row r="825386" spans="25:37" x14ac:dyDescent="0.2">
      <c r="Y825386" s="5"/>
      <c r="AB825386" s="5"/>
      <c r="AE825386" s="5"/>
      <c r="AH825386" s="5"/>
      <c r="AK825386" s="5"/>
    </row>
    <row r="825396" spans="25:37" x14ac:dyDescent="0.2">
      <c r="Y825396" s="251"/>
      <c r="AB825396" s="251"/>
      <c r="AE825396" s="251"/>
      <c r="AH825396" s="251"/>
      <c r="AK825396" s="251"/>
    </row>
    <row r="825511" spans="25:37" x14ac:dyDescent="0.2">
      <c r="Y825511" s="5"/>
      <c r="AB825511" s="5"/>
      <c r="AE825511" s="5"/>
      <c r="AH825511" s="5"/>
      <c r="AK825511" s="5"/>
    </row>
    <row r="825521" spans="25:37" x14ac:dyDescent="0.2">
      <c r="Y825521" s="251"/>
      <c r="AB825521" s="251"/>
      <c r="AE825521" s="251"/>
      <c r="AH825521" s="251"/>
      <c r="AK825521" s="251"/>
    </row>
    <row r="825636" spans="25:37" x14ac:dyDescent="0.2">
      <c r="Y825636" s="5"/>
      <c r="AB825636" s="5"/>
      <c r="AE825636" s="5"/>
      <c r="AH825636" s="5"/>
      <c r="AK825636" s="5"/>
    </row>
    <row r="825646" spans="25:37" x14ac:dyDescent="0.2">
      <c r="Y825646" s="251"/>
      <c r="AB825646" s="251"/>
      <c r="AE825646" s="251"/>
      <c r="AH825646" s="251"/>
      <c r="AK825646" s="251"/>
    </row>
    <row r="825761" spans="25:37" x14ac:dyDescent="0.2">
      <c r="Y825761" s="5"/>
      <c r="AB825761" s="5"/>
      <c r="AE825761" s="5"/>
      <c r="AH825761" s="5"/>
      <c r="AK825761" s="5"/>
    </row>
    <row r="825771" spans="25:37" x14ac:dyDescent="0.2">
      <c r="Y825771" s="251"/>
      <c r="AB825771" s="251"/>
      <c r="AE825771" s="251"/>
      <c r="AH825771" s="251"/>
      <c r="AK825771" s="251"/>
    </row>
    <row r="825886" spans="25:37" x14ac:dyDescent="0.2">
      <c r="Y825886" s="5"/>
      <c r="AB825886" s="5"/>
      <c r="AE825886" s="5"/>
      <c r="AH825886" s="5"/>
      <c r="AK825886" s="5"/>
    </row>
    <row r="825896" spans="25:37" x14ac:dyDescent="0.2">
      <c r="Y825896" s="251"/>
      <c r="AB825896" s="251"/>
      <c r="AE825896" s="251"/>
      <c r="AH825896" s="251"/>
      <c r="AK825896" s="251"/>
    </row>
    <row r="826011" spans="25:37" x14ac:dyDescent="0.2">
      <c r="Y826011" s="5"/>
      <c r="AB826011" s="5"/>
      <c r="AE826011" s="5"/>
      <c r="AH826011" s="5"/>
      <c r="AK826011" s="5"/>
    </row>
    <row r="826021" spans="25:37" x14ac:dyDescent="0.2">
      <c r="Y826021" s="251"/>
      <c r="AB826021" s="251"/>
      <c r="AE826021" s="251"/>
      <c r="AH826021" s="251"/>
      <c r="AK826021" s="251"/>
    </row>
    <row r="826136" spans="25:37" x14ac:dyDescent="0.2">
      <c r="Y826136" s="5"/>
      <c r="AB826136" s="5"/>
      <c r="AE826136" s="5"/>
      <c r="AH826136" s="5"/>
      <c r="AK826136" s="5"/>
    </row>
    <row r="826146" spans="25:37" x14ac:dyDescent="0.2">
      <c r="Y826146" s="251"/>
      <c r="AB826146" s="251"/>
      <c r="AE826146" s="251"/>
      <c r="AH826146" s="251"/>
      <c r="AK826146" s="251"/>
    </row>
    <row r="826261" spans="25:37" x14ac:dyDescent="0.2">
      <c r="Y826261" s="5"/>
      <c r="AB826261" s="5"/>
      <c r="AE826261" s="5"/>
      <c r="AH826261" s="5"/>
      <c r="AK826261" s="5"/>
    </row>
    <row r="826271" spans="25:37" x14ac:dyDescent="0.2">
      <c r="Y826271" s="251"/>
      <c r="AB826271" s="251"/>
      <c r="AE826271" s="251"/>
      <c r="AH826271" s="251"/>
      <c r="AK826271" s="251"/>
    </row>
    <row r="826386" spans="25:37" x14ac:dyDescent="0.2">
      <c r="Y826386" s="5"/>
      <c r="AB826386" s="5"/>
      <c r="AE826386" s="5"/>
      <c r="AH826386" s="5"/>
      <c r="AK826386" s="5"/>
    </row>
    <row r="826396" spans="25:37" x14ac:dyDescent="0.2">
      <c r="Y826396" s="251"/>
      <c r="AB826396" s="251"/>
      <c r="AE826396" s="251"/>
      <c r="AH826396" s="251"/>
      <c r="AK826396" s="251"/>
    </row>
    <row r="826511" spans="25:37" x14ac:dyDescent="0.2">
      <c r="Y826511" s="5"/>
      <c r="AB826511" s="5"/>
      <c r="AE826511" s="5"/>
      <c r="AH826511" s="5"/>
      <c r="AK826511" s="5"/>
    </row>
    <row r="826521" spans="25:37" x14ac:dyDescent="0.2">
      <c r="Y826521" s="251"/>
      <c r="AB826521" s="251"/>
      <c r="AE826521" s="251"/>
      <c r="AH826521" s="251"/>
      <c r="AK826521" s="251"/>
    </row>
    <row r="826636" spans="25:37" x14ac:dyDescent="0.2">
      <c r="Y826636" s="5"/>
      <c r="AB826636" s="5"/>
      <c r="AE826636" s="5"/>
      <c r="AH826636" s="5"/>
      <c r="AK826636" s="5"/>
    </row>
    <row r="826646" spans="25:37" x14ac:dyDescent="0.2">
      <c r="Y826646" s="251"/>
      <c r="AB826646" s="251"/>
      <c r="AE826646" s="251"/>
      <c r="AH826646" s="251"/>
      <c r="AK826646" s="251"/>
    </row>
    <row r="826761" spans="25:37" x14ac:dyDescent="0.2">
      <c r="Y826761" s="5"/>
      <c r="AB826761" s="5"/>
      <c r="AE826761" s="5"/>
      <c r="AH826761" s="5"/>
      <c r="AK826761" s="5"/>
    </row>
    <row r="826771" spans="25:37" x14ac:dyDescent="0.2">
      <c r="Y826771" s="251"/>
      <c r="AB826771" s="251"/>
      <c r="AE826771" s="251"/>
      <c r="AH826771" s="251"/>
      <c r="AK826771" s="251"/>
    </row>
    <row r="826886" spans="25:37" x14ac:dyDescent="0.2">
      <c r="Y826886" s="5"/>
      <c r="AB826886" s="5"/>
      <c r="AE826886" s="5"/>
      <c r="AH826886" s="5"/>
      <c r="AK826886" s="5"/>
    </row>
    <row r="826896" spans="25:37" x14ac:dyDescent="0.2">
      <c r="Y826896" s="251"/>
      <c r="AB826896" s="251"/>
      <c r="AE826896" s="251"/>
      <c r="AH826896" s="251"/>
      <c r="AK826896" s="251"/>
    </row>
    <row r="827011" spans="25:37" x14ac:dyDescent="0.2">
      <c r="Y827011" s="5"/>
      <c r="AB827011" s="5"/>
      <c r="AE827011" s="5"/>
      <c r="AH827011" s="5"/>
      <c r="AK827011" s="5"/>
    </row>
    <row r="827021" spans="25:37" x14ac:dyDescent="0.2">
      <c r="Y827021" s="251"/>
      <c r="AB827021" s="251"/>
      <c r="AE827021" s="251"/>
      <c r="AH827021" s="251"/>
      <c r="AK827021" s="251"/>
    </row>
    <row r="827136" spans="25:37" x14ac:dyDescent="0.2">
      <c r="Y827136" s="5"/>
      <c r="AB827136" s="5"/>
      <c r="AE827136" s="5"/>
      <c r="AH827136" s="5"/>
      <c r="AK827136" s="5"/>
    </row>
    <row r="827146" spans="25:37" x14ac:dyDescent="0.2">
      <c r="Y827146" s="251"/>
      <c r="AB827146" s="251"/>
      <c r="AE827146" s="251"/>
      <c r="AH827146" s="251"/>
      <c r="AK827146" s="251"/>
    </row>
    <row r="827261" spans="25:37" x14ac:dyDescent="0.2">
      <c r="Y827261" s="5"/>
      <c r="AB827261" s="5"/>
      <c r="AE827261" s="5"/>
      <c r="AH827261" s="5"/>
      <c r="AK827261" s="5"/>
    </row>
    <row r="827271" spans="25:37" x14ac:dyDescent="0.2">
      <c r="Y827271" s="251"/>
      <c r="AB827271" s="251"/>
      <c r="AE827271" s="251"/>
      <c r="AH827271" s="251"/>
      <c r="AK827271" s="251"/>
    </row>
    <row r="827386" spans="25:37" x14ac:dyDescent="0.2">
      <c r="Y827386" s="5"/>
      <c r="AB827386" s="5"/>
      <c r="AE827386" s="5"/>
      <c r="AH827386" s="5"/>
      <c r="AK827386" s="5"/>
    </row>
    <row r="827396" spans="25:37" x14ac:dyDescent="0.2">
      <c r="Y827396" s="251"/>
      <c r="AB827396" s="251"/>
      <c r="AE827396" s="251"/>
      <c r="AH827396" s="251"/>
      <c r="AK827396" s="251"/>
    </row>
    <row r="827511" spans="25:37" x14ac:dyDescent="0.2">
      <c r="Y827511" s="5"/>
      <c r="AB827511" s="5"/>
      <c r="AE827511" s="5"/>
      <c r="AH827511" s="5"/>
      <c r="AK827511" s="5"/>
    </row>
    <row r="827521" spans="25:37" x14ac:dyDescent="0.2">
      <c r="Y827521" s="251"/>
      <c r="AB827521" s="251"/>
      <c r="AE827521" s="251"/>
      <c r="AH827521" s="251"/>
      <c r="AK827521" s="251"/>
    </row>
    <row r="827636" spans="25:37" x14ac:dyDescent="0.2">
      <c r="Y827636" s="5"/>
      <c r="AB827636" s="5"/>
      <c r="AE827636" s="5"/>
      <c r="AH827636" s="5"/>
      <c r="AK827636" s="5"/>
    </row>
    <row r="827646" spans="25:37" x14ac:dyDescent="0.2">
      <c r="Y827646" s="251"/>
      <c r="AB827646" s="251"/>
      <c r="AE827646" s="251"/>
      <c r="AH827646" s="251"/>
      <c r="AK827646" s="251"/>
    </row>
    <row r="827761" spans="25:37" x14ac:dyDescent="0.2">
      <c r="Y827761" s="5"/>
      <c r="AB827761" s="5"/>
      <c r="AE827761" s="5"/>
      <c r="AH827761" s="5"/>
      <c r="AK827761" s="5"/>
    </row>
    <row r="827771" spans="25:37" x14ac:dyDescent="0.2">
      <c r="Y827771" s="251"/>
      <c r="AB827771" s="251"/>
      <c r="AE827771" s="251"/>
      <c r="AH827771" s="251"/>
      <c r="AK827771" s="251"/>
    </row>
    <row r="827886" spans="25:37" x14ac:dyDescent="0.2">
      <c r="Y827886" s="5"/>
      <c r="AB827886" s="5"/>
      <c r="AE827886" s="5"/>
      <c r="AH827886" s="5"/>
      <c r="AK827886" s="5"/>
    </row>
    <row r="827896" spans="25:37" x14ac:dyDescent="0.2">
      <c r="Y827896" s="251"/>
      <c r="AB827896" s="251"/>
      <c r="AE827896" s="251"/>
      <c r="AH827896" s="251"/>
      <c r="AK827896" s="251"/>
    </row>
    <row r="828011" spans="25:37" x14ac:dyDescent="0.2">
      <c r="Y828011" s="5"/>
      <c r="AB828011" s="5"/>
      <c r="AE828011" s="5"/>
      <c r="AH828011" s="5"/>
      <c r="AK828011" s="5"/>
    </row>
    <row r="828021" spans="25:37" x14ac:dyDescent="0.2">
      <c r="Y828021" s="251"/>
      <c r="AB828021" s="251"/>
      <c r="AE828021" s="251"/>
      <c r="AH828021" s="251"/>
      <c r="AK828021" s="251"/>
    </row>
    <row r="828136" spans="25:37" x14ac:dyDescent="0.2">
      <c r="Y828136" s="5"/>
      <c r="AB828136" s="5"/>
      <c r="AE828136" s="5"/>
      <c r="AH828136" s="5"/>
      <c r="AK828136" s="5"/>
    </row>
    <row r="828146" spans="25:37" x14ac:dyDescent="0.2">
      <c r="Y828146" s="251"/>
      <c r="AB828146" s="251"/>
      <c r="AE828146" s="251"/>
      <c r="AH828146" s="251"/>
      <c r="AK828146" s="251"/>
    </row>
    <row r="828261" spans="25:37" x14ac:dyDescent="0.2">
      <c r="Y828261" s="5"/>
      <c r="AB828261" s="5"/>
      <c r="AE828261" s="5"/>
      <c r="AH828261" s="5"/>
      <c r="AK828261" s="5"/>
    </row>
    <row r="828271" spans="25:37" x14ac:dyDescent="0.2">
      <c r="Y828271" s="251"/>
      <c r="AB828271" s="251"/>
      <c r="AE828271" s="251"/>
      <c r="AH828271" s="251"/>
      <c r="AK828271" s="251"/>
    </row>
    <row r="828386" spans="25:37" x14ac:dyDescent="0.2">
      <c r="Y828386" s="5"/>
      <c r="AB828386" s="5"/>
      <c r="AE828386" s="5"/>
      <c r="AH828386" s="5"/>
      <c r="AK828386" s="5"/>
    </row>
    <row r="828396" spans="25:37" x14ac:dyDescent="0.2">
      <c r="Y828396" s="251"/>
      <c r="AB828396" s="251"/>
      <c r="AE828396" s="251"/>
      <c r="AH828396" s="251"/>
      <c r="AK828396" s="251"/>
    </row>
    <row r="828511" spans="25:37" x14ac:dyDescent="0.2">
      <c r="Y828511" s="5"/>
      <c r="AB828511" s="5"/>
      <c r="AE828511" s="5"/>
      <c r="AH828511" s="5"/>
      <c r="AK828511" s="5"/>
    </row>
    <row r="828521" spans="25:37" x14ac:dyDescent="0.2">
      <c r="Y828521" s="251"/>
      <c r="AB828521" s="251"/>
      <c r="AE828521" s="251"/>
      <c r="AH828521" s="251"/>
      <c r="AK828521" s="251"/>
    </row>
    <row r="828636" spans="25:37" x14ac:dyDescent="0.2">
      <c r="Y828636" s="5"/>
      <c r="AB828636" s="5"/>
      <c r="AE828636" s="5"/>
      <c r="AH828636" s="5"/>
      <c r="AK828636" s="5"/>
    </row>
    <row r="828646" spans="25:37" x14ac:dyDescent="0.2">
      <c r="Y828646" s="251"/>
      <c r="AB828646" s="251"/>
      <c r="AE828646" s="251"/>
      <c r="AH828646" s="251"/>
      <c r="AK828646" s="251"/>
    </row>
    <row r="828761" spans="25:37" x14ac:dyDescent="0.2">
      <c r="Y828761" s="5"/>
      <c r="AB828761" s="5"/>
      <c r="AE828761" s="5"/>
      <c r="AH828761" s="5"/>
      <c r="AK828761" s="5"/>
    </row>
    <row r="828771" spans="25:37" x14ac:dyDescent="0.2">
      <c r="Y828771" s="251"/>
      <c r="AB828771" s="251"/>
      <c r="AE828771" s="251"/>
      <c r="AH828771" s="251"/>
      <c r="AK828771" s="251"/>
    </row>
    <row r="828886" spans="25:37" x14ac:dyDescent="0.2">
      <c r="Y828886" s="5"/>
      <c r="AB828886" s="5"/>
      <c r="AE828886" s="5"/>
      <c r="AH828886" s="5"/>
      <c r="AK828886" s="5"/>
    </row>
    <row r="828896" spans="25:37" x14ac:dyDescent="0.2">
      <c r="Y828896" s="251"/>
      <c r="AB828896" s="251"/>
      <c r="AE828896" s="251"/>
      <c r="AH828896" s="251"/>
      <c r="AK828896" s="251"/>
    </row>
    <row r="829011" spans="25:37" x14ac:dyDescent="0.2">
      <c r="Y829011" s="5"/>
      <c r="AB829011" s="5"/>
      <c r="AE829011" s="5"/>
      <c r="AH829011" s="5"/>
      <c r="AK829011" s="5"/>
    </row>
    <row r="829021" spans="25:37" x14ac:dyDescent="0.2">
      <c r="Y829021" s="251"/>
      <c r="AB829021" s="251"/>
      <c r="AE829021" s="251"/>
      <c r="AH829021" s="251"/>
      <c r="AK829021" s="251"/>
    </row>
    <row r="829136" spans="25:37" x14ac:dyDescent="0.2">
      <c r="Y829136" s="5"/>
      <c r="AB829136" s="5"/>
      <c r="AE829136" s="5"/>
      <c r="AH829136" s="5"/>
      <c r="AK829136" s="5"/>
    </row>
    <row r="829146" spans="25:37" x14ac:dyDescent="0.2">
      <c r="Y829146" s="251"/>
      <c r="AB829146" s="251"/>
      <c r="AE829146" s="251"/>
      <c r="AH829146" s="251"/>
      <c r="AK829146" s="251"/>
    </row>
    <row r="829261" spans="25:37" x14ac:dyDescent="0.2">
      <c r="Y829261" s="5"/>
      <c r="AB829261" s="5"/>
      <c r="AE829261" s="5"/>
      <c r="AH829261" s="5"/>
      <c r="AK829261" s="5"/>
    </row>
    <row r="829271" spans="25:37" x14ac:dyDescent="0.2">
      <c r="Y829271" s="251"/>
      <c r="AB829271" s="251"/>
      <c r="AE829271" s="251"/>
      <c r="AH829271" s="251"/>
      <c r="AK829271" s="251"/>
    </row>
    <row r="829386" spans="25:37" x14ac:dyDescent="0.2">
      <c r="Y829386" s="5"/>
      <c r="AB829386" s="5"/>
      <c r="AE829386" s="5"/>
      <c r="AH829386" s="5"/>
      <c r="AK829386" s="5"/>
    </row>
    <row r="829396" spans="25:37" x14ac:dyDescent="0.2">
      <c r="Y829396" s="251"/>
      <c r="AB829396" s="251"/>
      <c r="AE829396" s="251"/>
      <c r="AH829396" s="251"/>
      <c r="AK829396" s="251"/>
    </row>
    <row r="829511" spans="25:37" x14ac:dyDescent="0.2">
      <c r="Y829511" s="5"/>
      <c r="AB829511" s="5"/>
      <c r="AE829511" s="5"/>
      <c r="AH829511" s="5"/>
      <c r="AK829511" s="5"/>
    </row>
    <row r="829521" spans="25:37" x14ac:dyDescent="0.2">
      <c r="Y829521" s="251"/>
      <c r="AB829521" s="251"/>
      <c r="AE829521" s="251"/>
      <c r="AH829521" s="251"/>
      <c r="AK829521" s="251"/>
    </row>
    <row r="829636" spans="25:37" x14ac:dyDescent="0.2">
      <c r="Y829636" s="5"/>
      <c r="AB829636" s="5"/>
      <c r="AE829636" s="5"/>
      <c r="AH829636" s="5"/>
      <c r="AK829636" s="5"/>
    </row>
    <row r="829646" spans="25:37" x14ac:dyDescent="0.2">
      <c r="Y829646" s="251"/>
      <c r="AB829646" s="251"/>
      <c r="AE829646" s="251"/>
      <c r="AH829646" s="251"/>
      <c r="AK829646" s="251"/>
    </row>
    <row r="829761" spans="25:37" x14ac:dyDescent="0.2">
      <c r="Y829761" s="5"/>
      <c r="AB829761" s="5"/>
      <c r="AE829761" s="5"/>
      <c r="AH829761" s="5"/>
      <c r="AK829761" s="5"/>
    </row>
    <row r="829771" spans="25:37" x14ac:dyDescent="0.2">
      <c r="Y829771" s="251"/>
      <c r="AB829771" s="251"/>
      <c r="AE829771" s="251"/>
      <c r="AH829771" s="251"/>
      <c r="AK829771" s="251"/>
    </row>
    <row r="829886" spans="25:37" x14ac:dyDescent="0.2">
      <c r="Y829886" s="5"/>
      <c r="AB829886" s="5"/>
      <c r="AE829886" s="5"/>
      <c r="AH829886" s="5"/>
      <c r="AK829886" s="5"/>
    </row>
    <row r="829896" spans="25:37" x14ac:dyDescent="0.2">
      <c r="Y829896" s="251"/>
      <c r="AB829896" s="251"/>
      <c r="AE829896" s="251"/>
      <c r="AH829896" s="251"/>
      <c r="AK829896" s="251"/>
    </row>
    <row r="830011" spans="25:37" x14ac:dyDescent="0.2">
      <c r="Y830011" s="5"/>
      <c r="AB830011" s="5"/>
      <c r="AE830011" s="5"/>
      <c r="AH830011" s="5"/>
      <c r="AK830011" s="5"/>
    </row>
    <row r="830021" spans="25:37" x14ac:dyDescent="0.2">
      <c r="Y830021" s="251"/>
      <c r="AB830021" s="251"/>
      <c r="AE830021" s="251"/>
      <c r="AH830021" s="251"/>
      <c r="AK830021" s="251"/>
    </row>
    <row r="830136" spans="25:37" x14ac:dyDescent="0.2">
      <c r="Y830136" s="5"/>
      <c r="AB830136" s="5"/>
      <c r="AE830136" s="5"/>
      <c r="AH830136" s="5"/>
      <c r="AK830136" s="5"/>
    </row>
    <row r="830146" spans="25:37" x14ac:dyDescent="0.2">
      <c r="Y830146" s="251"/>
      <c r="AB830146" s="251"/>
      <c r="AE830146" s="251"/>
      <c r="AH830146" s="251"/>
      <c r="AK830146" s="251"/>
    </row>
    <row r="830261" spans="25:37" x14ac:dyDescent="0.2">
      <c r="Y830261" s="5"/>
      <c r="AB830261" s="5"/>
      <c r="AE830261" s="5"/>
      <c r="AH830261" s="5"/>
      <c r="AK830261" s="5"/>
    </row>
    <row r="830271" spans="25:37" x14ac:dyDescent="0.2">
      <c r="Y830271" s="251"/>
      <c r="AB830271" s="251"/>
      <c r="AE830271" s="251"/>
      <c r="AH830271" s="251"/>
      <c r="AK830271" s="251"/>
    </row>
    <row r="830386" spans="25:37" x14ac:dyDescent="0.2">
      <c r="Y830386" s="5"/>
      <c r="AB830386" s="5"/>
      <c r="AE830386" s="5"/>
      <c r="AH830386" s="5"/>
      <c r="AK830386" s="5"/>
    </row>
    <row r="830396" spans="25:37" x14ac:dyDescent="0.2">
      <c r="Y830396" s="251"/>
      <c r="AB830396" s="251"/>
      <c r="AE830396" s="251"/>
      <c r="AH830396" s="251"/>
      <c r="AK830396" s="251"/>
    </row>
    <row r="830511" spans="25:37" x14ac:dyDescent="0.2">
      <c r="Y830511" s="5"/>
      <c r="AB830511" s="5"/>
      <c r="AE830511" s="5"/>
      <c r="AH830511" s="5"/>
      <c r="AK830511" s="5"/>
    </row>
    <row r="830521" spans="25:37" x14ac:dyDescent="0.2">
      <c r="Y830521" s="251"/>
      <c r="AB830521" s="251"/>
      <c r="AE830521" s="251"/>
      <c r="AH830521" s="251"/>
      <c r="AK830521" s="251"/>
    </row>
    <row r="830636" spans="25:37" x14ac:dyDescent="0.2">
      <c r="Y830636" s="5"/>
      <c r="AB830636" s="5"/>
      <c r="AE830636" s="5"/>
      <c r="AH830636" s="5"/>
      <c r="AK830636" s="5"/>
    </row>
    <row r="830646" spans="25:37" x14ac:dyDescent="0.2">
      <c r="Y830646" s="251"/>
      <c r="AB830646" s="251"/>
      <c r="AE830646" s="251"/>
      <c r="AH830646" s="251"/>
      <c r="AK830646" s="251"/>
    </row>
    <row r="830761" spans="25:37" x14ac:dyDescent="0.2">
      <c r="Y830761" s="5"/>
      <c r="AB830761" s="5"/>
      <c r="AE830761" s="5"/>
      <c r="AH830761" s="5"/>
      <c r="AK830761" s="5"/>
    </row>
    <row r="830771" spans="25:37" x14ac:dyDescent="0.2">
      <c r="Y830771" s="251"/>
      <c r="AB830771" s="251"/>
      <c r="AE830771" s="251"/>
      <c r="AH830771" s="251"/>
      <c r="AK830771" s="251"/>
    </row>
    <row r="830886" spans="25:37" x14ac:dyDescent="0.2">
      <c r="Y830886" s="5"/>
      <c r="AB830886" s="5"/>
      <c r="AE830886" s="5"/>
      <c r="AH830886" s="5"/>
      <c r="AK830886" s="5"/>
    </row>
    <row r="830896" spans="25:37" x14ac:dyDescent="0.2">
      <c r="Y830896" s="251"/>
      <c r="AB830896" s="251"/>
      <c r="AE830896" s="251"/>
      <c r="AH830896" s="251"/>
      <c r="AK830896" s="251"/>
    </row>
    <row r="831011" spans="25:37" x14ac:dyDescent="0.2">
      <c r="Y831011" s="5"/>
      <c r="AB831011" s="5"/>
      <c r="AE831011" s="5"/>
      <c r="AH831011" s="5"/>
      <c r="AK831011" s="5"/>
    </row>
    <row r="831021" spans="25:37" x14ac:dyDescent="0.2">
      <c r="Y831021" s="251"/>
      <c r="AB831021" s="251"/>
      <c r="AE831021" s="251"/>
      <c r="AH831021" s="251"/>
      <c r="AK831021" s="251"/>
    </row>
    <row r="831136" spans="25:37" x14ac:dyDescent="0.2">
      <c r="Y831136" s="5"/>
      <c r="AB831136" s="5"/>
      <c r="AE831136" s="5"/>
      <c r="AH831136" s="5"/>
      <c r="AK831136" s="5"/>
    </row>
    <row r="831146" spans="25:37" x14ac:dyDescent="0.2">
      <c r="Y831146" s="251"/>
      <c r="AB831146" s="251"/>
      <c r="AE831146" s="251"/>
      <c r="AH831146" s="251"/>
      <c r="AK831146" s="251"/>
    </row>
    <row r="831261" spans="25:37" x14ac:dyDescent="0.2">
      <c r="Y831261" s="5"/>
      <c r="AB831261" s="5"/>
      <c r="AE831261" s="5"/>
      <c r="AH831261" s="5"/>
      <c r="AK831261" s="5"/>
    </row>
    <row r="831271" spans="25:37" x14ac:dyDescent="0.2">
      <c r="Y831271" s="251"/>
      <c r="AB831271" s="251"/>
      <c r="AE831271" s="251"/>
      <c r="AH831271" s="251"/>
      <c r="AK831271" s="251"/>
    </row>
    <row r="831386" spans="25:37" x14ac:dyDescent="0.2">
      <c r="Y831386" s="5"/>
      <c r="AB831386" s="5"/>
      <c r="AE831386" s="5"/>
      <c r="AH831386" s="5"/>
      <c r="AK831386" s="5"/>
    </row>
    <row r="831396" spans="25:37" x14ac:dyDescent="0.2">
      <c r="Y831396" s="251"/>
      <c r="AB831396" s="251"/>
      <c r="AE831396" s="251"/>
      <c r="AH831396" s="251"/>
      <c r="AK831396" s="251"/>
    </row>
    <row r="831511" spans="25:37" x14ac:dyDescent="0.2">
      <c r="Y831511" s="5"/>
      <c r="AB831511" s="5"/>
      <c r="AE831511" s="5"/>
      <c r="AH831511" s="5"/>
      <c r="AK831511" s="5"/>
    </row>
    <row r="831521" spans="25:37" x14ac:dyDescent="0.2">
      <c r="Y831521" s="251"/>
      <c r="AB831521" s="251"/>
      <c r="AE831521" s="251"/>
      <c r="AH831521" s="251"/>
      <c r="AK831521" s="251"/>
    </row>
    <row r="831636" spans="25:37" x14ac:dyDescent="0.2">
      <c r="Y831636" s="5"/>
      <c r="AB831636" s="5"/>
      <c r="AE831636" s="5"/>
      <c r="AH831636" s="5"/>
      <c r="AK831636" s="5"/>
    </row>
    <row r="831646" spans="25:37" x14ac:dyDescent="0.2">
      <c r="Y831646" s="251"/>
      <c r="AB831646" s="251"/>
      <c r="AE831646" s="251"/>
      <c r="AH831646" s="251"/>
      <c r="AK831646" s="251"/>
    </row>
    <row r="831761" spans="25:37" x14ac:dyDescent="0.2">
      <c r="Y831761" s="5"/>
      <c r="AB831761" s="5"/>
      <c r="AE831761" s="5"/>
      <c r="AH831761" s="5"/>
      <c r="AK831761" s="5"/>
    </row>
    <row r="831771" spans="25:37" x14ac:dyDescent="0.2">
      <c r="Y831771" s="251"/>
      <c r="AB831771" s="251"/>
      <c r="AE831771" s="251"/>
      <c r="AH831771" s="251"/>
      <c r="AK831771" s="251"/>
    </row>
    <row r="831886" spans="25:37" x14ac:dyDescent="0.2">
      <c r="Y831886" s="5"/>
      <c r="AB831886" s="5"/>
      <c r="AE831886" s="5"/>
      <c r="AH831886" s="5"/>
      <c r="AK831886" s="5"/>
    </row>
    <row r="831896" spans="25:37" x14ac:dyDescent="0.2">
      <c r="Y831896" s="251"/>
      <c r="AB831896" s="251"/>
      <c r="AE831896" s="251"/>
      <c r="AH831896" s="251"/>
      <c r="AK831896" s="251"/>
    </row>
    <row r="832011" spans="25:37" x14ac:dyDescent="0.2">
      <c r="Y832011" s="5"/>
      <c r="AB832011" s="5"/>
      <c r="AE832011" s="5"/>
      <c r="AH832011" s="5"/>
      <c r="AK832011" s="5"/>
    </row>
    <row r="832021" spans="25:37" x14ac:dyDescent="0.2">
      <c r="Y832021" s="251"/>
      <c r="AB832021" s="251"/>
      <c r="AE832021" s="251"/>
      <c r="AH832021" s="251"/>
      <c r="AK832021" s="251"/>
    </row>
    <row r="832136" spans="25:37" x14ac:dyDescent="0.2">
      <c r="Y832136" s="5"/>
      <c r="AB832136" s="5"/>
      <c r="AE832136" s="5"/>
      <c r="AH832136" s="5"/>
      <c r="AK832136" s="5"/>
    </row>
    <row r="832146" spans="25:37" x14ac:dyDescent="0.2">
      <c r="Y832146" s="251"/>
      <c r="AB832146" s="251"/>
      <c r="AE832146" s="251"/>
      <c r="AH832146" s="251"/>
      <c r="AK832146" s="251"/>
    </row>
    <row r="832261" spans="25:37" x14ac:dyDescent="0.2">
      <c r="Y832261" s="5"/>
      <c r="AB832261" s="5"/>
      <c r="AE832261" s="5"/>
      <c r="AH832261" s="5"/>
      <c r="AK832261" s="5"/>
    </row>
    <row r="832271" spans="25:37" x14ac:dyDescent="0.2">
      <c r="Y832271" s="251"/>
      <c r="AB832271" s="251"/>
      <c r="AE832271" s="251"/>
      <c r="AH832271" s="251"/>
      <c r="AK832271" s="251"/>
    </row>
    <row r="832386" spans="25:37" x14ac:dyDescent="0.2">
      <c r="Y832386" s="5"/>
      <c r="AB832386" s="5"/>
      <c r="AE832386" s="5"/>
      <c r="AH832386" s="5"/>
      <c r="AK832386" s="5"/>
    </row>
    <row r="832396" spans="25:37" x14ac:dyDescent="0.2">
      <c r="Y832396" s="251"/>
      <c r="AB832396" s="251"/>
      <c r="AE832396" s="251"/>
      <c r="AH832396" s="251"/>
      <c r="AK832396" s="251"/>
    </row>
    <row r="832511" spans="25:37" x14ac:dyDescent="0.2">
      <c r="Y832511" s="5"/>
      <c r="AB832511" s="5"/>
      <c r="AE832511" s="5"/>
      <c r="AH832511" s="5"/>
      <c r="AK832511" s="5"/>
    </row>
    <row r="832521" spans="25:37" x14ac:dyDescent="0.2">
      <c r="Y832521" s="251"/>
      <c r="AB832521" s="251"/>
      <c r="AE832521" s="251"/>
      <c r="AH832521" s="251"/>
      <c r="AK832521" s="251"/>
    </row>
    <row r="832636" spans="25:37" x14ac:dyDescent="0.2">
      <c r="Y832636" s="5"/>
      <c r="AB832636" s="5"/>
      <c r="AE832636" s="5"/>
      <c r="AH832636" s="5"/>
      <c r="AK832636" s="5"/>
    </row>
    <row r="832646" spans="25:37" x14ac:dyDescent="0.2">
      <c r="Y832646" s="251"/>
      <c r="AB832646" s="251"/>
      <c r="AE832646" s="251"/>
      <c r="AH832646" s="251"/>
      <c r="AK832646" s="251"/>
    </row>
    <row r="832761" spans="25:37" x14ac:dyDescent="0.2">
      <c r="Y832761" s="5"/>
      <c r="AB832761" s="5"/>
      <c r="AE832761" s="5"/>
      <c r="AH832761" s="5"/>
      <c r="AK832761" s="5"/>
    </row>
    <row r="832771" spans="25:37" x14ac:dyDescent="0.2">
      <c r="Y832771" s="251"/>
      <c r="AB832771" s="251"/>
      <c r="AE832771" s="251"/>
      <c r="AH832771" s="251"/>
      <c r="AK832771" s="251"/>
    </row>
    <row r="832886" spans="25:37" x14ac:dyDescent="0.2">
      <c r="Y832886" s="5"/>
      <c r="AB832886" s="5"/>
      <c r="AE832886" s="5"/>
      <c r="AH832886" s="5"/>
      <c r="AK832886" s="5"/>
    </row>
    <row r="832896" spans="25:37" x14ac:dyDescent="0.2">
      <c r="Y832896" s="251"/>
      <c r="AB832896" s="251"/>
      <c r="AE832896" s="251"/>
      <c r="AH832896" s="251"/>
      <c r="AK832896" s="251"/>
    </row>
    <row r="833011" spans="25:37" x14ac:dyDescent="0.2">
      <c r="Y833011" s="5"/>
      <c r="AB833011" s="5"/>
      <c r="AE833011" s="5"/>
      <c r="AH833011" s="5"/>
      <c r="AK833011" s="5"/>
    </row>
    <row r="833021" spans="25:37" x14ac:dyDescent="0.2">
      <c r="Y833021" s="251"/>
      <c r="AB833021" s="251"/>
      <c r="AE833021" s="251"/>
      <c r="AH833021" s="251"/>
      <c r="AK833021" s="251"/>
    </row>
    <row r="833136" spans="25:37" x14ac:dyDescent="0.2">
      <c r="Y833136" s="5"/>
      <c r="AB833136" s="5"/>
      <c r="AE833136" s="5"/>
      <c r="AH833136" s="5"/>
      <c r="AK833136" s="5"/>
    </row>
    <row r="833146" spans="25:37" x14ac:dyDescent="0.2">
      <c r="Y833146" s="251"/>
      <c r="AB833146" s="251"/>
      <c r="AE833146" s="251"/>
      <c r="AH833146" s="251"/>
      <c r="AK833146" s="251"/>
    </row>
    <row r="833261" spans="25:37" x14ac:dyDescent="0.2">
      <c r="Y833261" s="5"/>
      <c r="AB833261" s="5"/>
      <c r="AE833261" s="5"/>
      <c r="AH833261" s="5"/>
      <c r="AK833261" s="5"/>
    </row>
    <row r="833271" spans="25:37" x14ac:dyDescent="0.2">
      <c r="Y833271" s="251"/>
      <c r="AB833271" s="251"/>
      <c r="AE833271" s="251"/>
      <c r="AH833271" s="251"/>
      <c r="AK833271" s="251"/>
    </row>
    <row r="833386" spans="25:37" x14ac:dyDescent="0.2">
      <c r="Y833386" s="5"/>
      <c r="AB833386" s="5"/>
      <c r="AE833386" s="5"/>
      <c r="AH833386" s="5"/>
      <c r="AK833386" s="5"/>
    </row>
    <row r="833396" spans="25:37" x14ac:dyDescent="0.2">
      <c r="Y833396" s="251"/>
      <c r="AB833396" s="251"/>
      <c r="AE833396" s="251"/>
      <c r="AH833396" s="251"/>
      <c r="AK833396" s="251"/>
    </row>
    <row r="833511" spans="25:37" x14ac:dyDescent="0.2">
      <c r="Y833511" s="5"/>
      <c r="AB833511" s="5"/>
      <c r="AE833511" s="5"/>
      <c r="AH833511" s="5"/>
      <c r="AK833511" s="5"/>
    </row>
    <row r="833521" spans="25:37" x14ac:dyDescent="0.2">
      <c r="Y833521" s="251"/>
      <c r="AB833521" s="251"/>
      <c r="AE833521" s="251"/>
      <c r="AH833521" s="251"/>
      <c r="AK833521" s="251"/>
    </row>
    <row r="833636" spans="25:37" x14ac:dyDescent="0.2">
      <c r="Y833636" s="5"/>
      <c r="AB833636" s="5"/>
      <c r="AE833636" s="5"/>
      <c r="AH833636" s="5"/>
      <c r="AK833636" s="5"/>
    </row>
    <row r="833646" spans="25:37" x14ac:dyDescent="0.2">
      <c r="Y833646" s="251"/>
      <c r="AB833646" s="251"/>
      <c r="AE833646" s="251"/>
      <c r="AH833646" s="251"/>
      <c r="AK833646" s="251"/>
    </row>
    <row r="833761" spans="25:37" x14ac:dyDescent="0.2">
      <c r="Y833761" s="5"/>
      <c r="AB833761" s="5"/>
      <c r="AE833761" s="5"/>
      <c r="AH833761" s="5"/>
      <c r="AK833761" s="5"/>
    </row>
    <row r="833771" spans="25:37" x14ac:dyDescent="0.2">
      <c r="Y833771" s="251"/>
      <c r="AB833771" s="251"/>
      <c r="AE833771" s="251"/>
      <c r="AH833771" s="251"/>
      <c r="AK833771" s="251"/>
    </row>
    <row r="833886" spans="25:37" x14ac:dyDescent="0.2">
      <c r="Y833886" s="5"/>
      <c r="AB833886" s="5"/>
      <c r="AE833886" s="5"/>
      <c r="AH833886" s="5"/>
      <c r="AK833886" s="5"/>
    </row>
    <row r="833896" spans="25:37" x14ac:dyDescent="0.2">
      <c r="Y833896" s="251"/>
      <c r="AB833896" s="251"/>
      <c r="AE833896" s="251"/>
      <c r="AH833896" s="251"/>
      <c r="AK833896" s="251"/>
    </row>
    <row r="834011" spans="25:37" x14ac:dyDescent="0.2">
      <c r="Y834011" s="5"/>
      <c r="AB834011" s="5"/>
      <c r="AE834011" s="5"/>
      <c r="AH834011" s="5"/>
      <c r="AK834011" s="5"/>
    </row>
    <row r="834021" spans="25:37" x14ac:dyDescent="0.2">
      <c r="Y834021" s="251"/>
      <c r="AB834021" s="251"/>
      <c r="AE834021" s="251"/>
      <c r="AH834021" s="251"/>
      <c r="AK834021" s="251"/>
    </row>
    <row r="834136" spans="25:37" x14ac:dyDescent="0.2">
      <c r="Y834136" s="5"/>
      <c r="AB834136" s="5"/>
      <c r="AE834136" s="5"/>
      <c r="AH834136" s="5"/>
      <c r="AK834136" s="5"/>
    </row>
    <row r="834146" spans="25:37" x14ac:dyDescent="0.2">
      <c r="Y834146" s="251"/>
      <c r="AB834146" s="251"/>
      <c r="AE834146" s="251"/>
      <c r="AH834146" s="251"/>
      <c r="AK834146" s="251"/>
    </row>
    <row r="834261" spans="25:37" x14ac:dyDescent="0.2">
      <c r="Y834261" s="5"/>
      <c r="AB834261" s="5"/>
      <c r="AE834261" s="5"/>
      <c r="AH834261" s="5"/>
      <c r="AK834261" s="5"/>
    </row>
    <row r="834271" spans="25:37" x14ac:dyDescent="0.2">
      <c r="Y834271" s="251"/>
      <c r="AB834271" s="251"/>
      <c r="AE834271" s="251"/>
      <c r="AH834271" s="251"/>
      <c r="AK834271" s="251"/>
    </row>
    <row r="834386" spans="25:37" x14ac:dyDescent="0.2">
      <c r="Y834386" s="5"/>
      <c r="AB834386" s="5"/>
      <c r="AE834386" s="5"/>
      <c r="AH834386" s="5"/>
      <c r="AK834386" s="5"/>
    </row>
    <row r="834396" spans="25:37" x14ac:dyDescent="0.2">
      <c r="Y834396" s="251"/>
      <c r="AB834396" s="251"/>
      <c r="AE834396" s="251"/>
      <c r="AH834396" s="251"/>
      <c r="AK834396" s="251"/>
    </row>
    <row r="834511" spans="25:37" x14ac:dyDescent="0.2">
      <c r="Y834511" s="5"/>
      <c r="AB834511" s="5"/>
      <c r="AE834511" s="5"/>
      <c r="AH834511" s="5"/>
      <c r="AK834511" s="5"/>
    </row>
    <row r="834521" spans="25:37" x14ac:dyDescent="0.2">
      <c r="Y834521" s="251"/>
      <c r="AB834521" s="251"/>
      <c r="AE834521" s="251"/>
      <c r="AH834521" s="251"/>
      <c r="AK834521" s="251"/>
    </row>
    <row r="834636" spans="25:37" x14ac:dyDescent="0.2">
      <c r="Y834636" s="5"/>
      <c r="AB834636" s="5"/>
      <c r="AE834636" s="5"/>
      <c r="AH834636" s="5"/>
      <c r="AK834636" s="5"/>
    </row>
    <row r="834646" spans="25:37" x14ac:dyDescent="0.2">
      <c r="Y834646" s="251"/>
      <c r="AB834646" s="251"/>
      <c r="AE834646" s="251"/>
      <c r="AH834646" s="251"/>
      <c r="AK834646" s="251"/>
    </row>
    <row r="834761" spans="25:37" x14ac:dyDescent="0.2">
      <c r="Y834761" s="5"/>
      <c r="AB834761" s="5"/>
      <c r="AE834761" s="5"/>
      <c r="AH834761" s="5"/>
      <c r="AK834761" s="5"/>
    </row>
    <row r="834771" spans="25:37" x14ac:dyDescent="0.2">
      <c r="Y834771" s="251"/>
      <c r="AB834771" s="251"/>
      <c r="AE834771" s="251"/>
      <c r="AH834771" s="251"/>
      <c r="AK834771" s="251"/>
    </row>
    <row r="834886" spans="25:37" x14ac:dyDescent="0.2">
      <c r="Y834886" s="5"/>
      <c r="AB834886" s="5"/>
      <c r="AE834886" s="5"/>
      <c r="AH834886" s="5"/>
      <c r="AK834886" s="5"/>
    </row>
    <row r="834896" spans="25:37" x14ac:dyDescent="0.2">
      <c r="Y834896" s="251"/>
      <c r="AB834896" s="251"/>
      <c r="AE834896" s="251"/>
      <c r="AH834896" s="251"/>
      <c r="AK834896" s="251"/>
    </row>
    <row r="835011" spans="25:37" x14ac:dyDescent="0.2">
      <c r="Y835011" s="5"/>
      <c r="AB835011" s="5"/>
      <c r="AE835011" s="5"/>
      <c r="AH835011" s="5"/>
      <c r="AK835011" s="5"/>
    </row>
    <row r="835021" spans="25:37" x14ac:dyDescent="0.2">
      <c r="Y835021" s="251"/>
      <c r="AB835021" s="251"/>
      <c r="AE835021" s="251"/>
      <c r="AH835021" s="251"/>
      <c r="AK835021" s="251"/>
    </row>
    <row r="835136" spans="25:37" x14ac:dyDescent="0.2">
      <c r="Y835136" s="5"/>
      <c r="AB835136" s="5"/>
      <c r="AE835136" s="5"/>
      <c r="AH835136" s="5"/>
      <c r="AK835136" s="5"/>
    </row>
    <row r="835146" spans="25:37" x14ac:dyDescent="0.2">
      <c r="Y835146" s="251"/>
      <c r="AB835146" s="251"/>
      <c r="AE835146" s="251"/>
      <c r="AH835146" s="251"/>
      <c r="AK835146" s="251"/>
    </row>
    <row r="835261" spans="25:37" x14ac:dyDescent="0.2">
      <c r="Y835261" s="5"/>
      <c r="AB835261" s="5"/>
      <c r="AE835261" s="5"/>
      <c r="AH835261" s="5"/>
      <c r="AK835261" s="5"/>
    </row>
    <row r="835271" spans="25:37" x14ac:dyDescent="0.2">
      <c r="Y835271" s="251"/>
      <c r="AB835271" s="251"/>
      <c r="AE835271" s="251"/>
      <c r="AH835271" s="251"/>
      <c r="AK835271" s="251"/>
    </row>
    <row r="835386" spans="25:37" x14ac:dyDescent="0.2">
      <c r="Y835386" s="5"/>
      <c r="AB835386" s="5"/>
      <c r="AE835386" s="5"/>
      <c r="AH835386" s="5"/>
      <c r="AK835386" s="5"/>
    </row>
    <row r="835396" spans="25:37" x14ac:dyDescent="0.2">
      <c r="Y835396" s="251"/>
      <c r="AB835396" s="251"/>
      <c r="AE835396" s="251"/>
      <c r="AH835396" s="251"/>
      <c r="AK835396" s="251"/>
    </row>
    <row r="835511" spans="25:37" x14ac:dyDescent="0.2">
      <c r="Y835511" s="5"/>
      <c r="AB835511" s="5"/>
      <c r="AE835511" s="5"/>
      <c r="AH835511" s="5"/>
      <c r="AK835511" s="5"/>
    </row>
    <row r="835521" spans="25:37" x14ac:dyDescent="0.2">
      <c r="Y835521" s="251"/>
      <c r="AB835521" s="251"/>
      <c r="AE835521" s="251"/>
      <c r="AH835521" s="251"/>
      <c r="AK835521" s="251"/>
    </row>
    <row r="835636" spans="25:37" x14ac:dyDescent="0.2">
      <c r="Y835636" s="5"/>
      <c r="AB835636" s="5"/>
      <c r="AE835636" s="5"/>
      <c r="AH835636" s="5"/>
      <c r="AK835636" s="5"/>
    </row>
    <row r="835646" spans="25:37" x14ac:dyDescent="0.2">
      <c r="Y835646" s="251"/>
      <c r="AB835646" s="251"/>
      <c r="AE835646" s="251"/>
      <c r="AH835646" s="251"/>
      <c r="AK835646" s="251"/>
    </row>
    <row r="835761" spans="25:37" x14ac:dyDescent="0.2">
      <c r="Y835761" s="5"/>
      <c r="AB835761" s="5"/>
      <c r="AE835761" s="5"/>
      <c r="AH835761" s="5"/>
      <c r="AK835761" s="5"/>
    </row>
    <row r="835771" spans="25:37" x14ac:dyDescent="0.2">
      <c r="Y835771" s="251"/>
      <c r="AB835771" s="251"/>
      <c r="AE835771" s="251"/>
      <c r="AH835771" s="251"/>
      <c r="AK835771" s="251"/>
    </row>
    <row r="835886" spans="25:37" x14ac:dyDescent="0.2">
      <c r="Y835886" s="5"/>
      <c r="AB835886" s="5"/>
      <c r="AE835886" s="5"/>
      <c r="AH835886" s="5"/>
      <c r="AK835886" s="5"/>
    </row>
    <row r="835896" spans="25:37" x14ac:dyDescent="0.2">
      <c r="Y835896" s="251"/>
      <c r="AB835896" s="251"/>
      <c r="AE835896" s="251"/>
      <c r="AH835896" s="251"/>
      <c r="AK835896" s="251"/>
    </row>
    <row r="836011" spans="25:37" x14ac:dyDescent="0.2">
      <c r="Y836011" s="5"/>
      <c r="AB836011" s="5"/>
      <c r="AE836011" s="5"/>
      <c r="AH836011" s="5"/>
      <c r="AK836011" s="5"/>
    </row>
    <row r="836021" spans="25:37" x14ac:dyDescent="0.2">
      <c r="Y836021" s="251"/>
      <c r="AB836021" s="251"/>
      <c r="AE836021" s="251"/>
      <c r="AH836021" s="251"/>
      <c r="AK836021" s="251"/>
    </row>
    <row r="836136" spans="25:37" x14ac:dyDescent="0.2">
      <c r="Y836136" s="5"/>
      <c r="AB836136" s="5"/>
      <c r="AE836136" s="5"/>
      <c r="AH836136" s="5"/>
      <c r="AK836136" s="5"/>
    </row>
    <row r="836146" spans="25:37" x14ac:dyDescent="0.2">
      <c r="Y836146" s="251"/>
      <c r="AB836146" s="251"/>
      <c r="AE836146" s="251"/>
      <c r="AH836146" s="251"/>
      <c r="AK836146" s="251"/>
    </row>
    <row r="836261" spans="25:37" x14ac:dyDescent="0.2">
      <c r="Y836261" s="5"/>
      <c r="AB836261" s="5"/>
      <c r="AE836261" s="5"/>
      <c r="AH836261" s="5"/>
      <c r="AK836261" s="5"/>
    </row>
    <row r="836271" spans="25:37" x14ac:dyDescent="0.2">
      <c r="Y836271" s="251"/>
      <c r="AB836271" s="251"/>
      <c r="AE836271" s="251"/>
      <c r="AH836271" s="251"/>
      <c r="AK836271" s="251"/>
    </row>
    <row r="836386" spans="25:37" x14ac:dyDescent="0.2">
      <c r="Y836386" s="5"/>
      <c r="AB836386" s="5"/>
      <c r="AE836386" s="5"/>
      <c r="AH836386" s="5"/>
      <c r="AK836386" s="5"/>
    </row>
    <row r="836396" spans="25:37" x14ac:dyDescent="0.2">
      <c r="Y836396" s="251"/>
      <c r="AB836396" s="251"/>
      <c r="AE836396" s="251"/>
      <c r="AH836396" s="251"/>
      <c r="AK836396" s="251"/>
    </row>
    <row r="836511" spans="25:37" x14ac:dyDescent="0.2">
      <c r="Y836511" s="5"/>
      <c r="AB836511" s="5"/>
      <c r="AE836511" s="5"/>
      <c r="AH836511" s="5"/>
      <c r="AK836511" s="5"/>
    </row>
    <row r="836521" spans="25:37" x14ac:dyDescent="0.2">
      <c r="Y836521" s="251"/>
      <c r="AB836521" s="251"/>
      <c r="AE836521" s="251"/>
      <c r="AH836521" s="251"/>
      <c r="AK836521" s="251"/>
    </row>
    <row r="836636" spans="25:37" x14ac:dyDescent="0.2">
      <c r="Y836636" s="5"/>
      <c r="AB836636" s="5"/>
      <c r="AE836636" s="5"/>
      <c r="AH836636" s="5"/>
      <c r="AK836636" s="5"/>
    </row>
    <row r="836646" spans="25:37" x14ac:dyDescent="0.2">
      <c r="Y836646" s="251"/>
      <c r="AB836646" s="251"/>
      <c r="AE836646" s="251"/>
      <c r="AH836646" s="251"/>
      <c r="AK836646" s="251"/>
    </row>
    <row r="836761" spans="25:37" x14ac:dyDescent="0.2">
      <c r="Y836761" s="5"/>
      <c r="AB836761" s="5"/>
      <c r="AE836761" s="5"/>
      <c r="AH836761" s="5"/>
      <c r="AK836761" s="5"/>
    </row>
    <row r="836771" spans="25:37" x14ac:dyDescent="0.2">
      <c r="Y836771" s="251"/>
      <c r="AB836771" s="251"/>
      <c r="AE836771" s="251"/>
      <c r="AH836771" s="251"/>
      <c r="AK836771" s="251"/>
    </row>
    <row r="836886" spans="25:37" x14ac:dyDescent="0.2">
      <c r="Y836886" s="5"/>
      <c r="AB836886" s="5"/>
      <c r="AE836886" s="5"/>
      <c r="AH836886" s="5"/>
      <c r="AK836886" s="5"/>
    </row>
    <row r="836896" spans="25:37" x14ac:dyDescent="0.2">
      <c r="Y836896" s="251"/>
      <c r="AB836896" s="251"/>
      <c r="AE836896" s="251"/>
      <c r="AH836896" s="251"/>
      <c r="AK836896" s="251"/>
    </row>
    <row r="837011" spans="25:37" x14ac:dyDescent="0.2">
      <c r="Y837011" s="5"/>
      <c r="AB837011" s="5"/>
      <c r="AE837011" s="5"/>
      <c r="AH837011" s="5"/>
      <c r="AK837011" s="5"/>
    </row>
    <row r="837021" spans="25:37" x14ac:dyDescent="0.2">
      <c r="Y837021" s="251"/>
      <c r="AB837021" s="251"/>
      <c r="AE837021" s="251"/>
      <c r="AH837021" s="251"/>
      <c r="AK837021" s="251"/>
    </row>
    <row r="837136" spans="25:37" x14ac:dyDescent="0.2">
      <c r="Y837136" s="5"/>
      <c r="AB837136" s="5"/>
      <c r="AE837136" s="5"/>
      <c r="AH837136" s="5"/>
      <c r="AK837136" s="5"/>
    </row>
    <row r="837146" spans="25:37" x14ac:dyDescent="0.2">
      <c r="Y837146" s="251"/>
      <c r="AB837146" s="251"/>
      <c r="AE837146" s="251"/>
      <c r="AH837146" s="251"/>
      <c r="AK837146" s="251"/>
    </row>
    <row r="837261" spans="25:37" x14ac:dyDescent="0.2">
      <c r="Y837261" s="5"/>
      <c r="AB837261" s="5"/>
      <c r="AE837261" s="5"/>
      <c r="AH837261" s="5"/>
      <c r="AK837261" s="5"/>
    </row>
    <row r="837271" spans="25:37" x14ac:dyDescent="0.2">
      <c r="Y837271" s="251"/>
      <c r="AB837271" s="251"/>
      <c r="AE837271" s="251"/>
      <c r="AH837271" s="251"/>
      <c r="AK837271" s="251"/>
    </row>
    <row r="837386" spans="25:37" x14ac:dyDescent="0.2">
      <c r="Y837386" s="5"/>
      <c r="AB837386" s="5"/>
      <c r="AE837386" s="5"/>
      <c r="AH837386" s="5"/>
      <c r="AK837386" s="5"/>
    </row>
    <row r="837396" spans="25:37" x14ac:dyDescent="0.2">
      <c r="Y837396" s="251"/>
      <c r="AB837396" s="251"/>
      <c r="AE837396" s="251"/>
      <c r="AH837396" s="251"/>
      <c r="AK837396" s="251"/>
    </row>
    <row r="837511" spans="25:37" x14ac:dyDescent="0.2">
      <c r="Y837511" s="5"/>
      <c r="AB837511" s="5"/>
      <c r="AE837511" s="5"/>
      <c r="AH837511" s="5"/>
      <c r="AK837511" s="5"/>
    </row>
    <row r="837521" spans="25:37" x14ac:dyDescent="0.2">
      <c r="Y837521" s="251"/>
      <c r="AB837521" s="251"/>
      <c r="AE837521" s="251"/>
      <c r="AH837521" s="251"/>
      <c r="AK837521" s="251"/>
    </row>
    <row r="837636" spans="25:37" x14ac:dyDescent="0.2">
      <c r="Y837636" s="5"/>
      <c r="AB837636" s="5"/>
      <c r="AE837636" s="5"/>
      <c r="AH837636" s="5"/>
      <c r="AK837636" s="5"/>
    </row>
    <row r="837646" spans="25:37" x14ac:dyDescent="0.2">
      <c r="Y837646" s="251"/>
      <c r="AB837646" s="251"/>
      <c r="AE837646" s="251"/>
      <c r="AH837646" s="251"/>
      <c r="AK837646" s="251"/>
    </row>
    <row r="837761" spans="25:37" x14ac:dyDescent="0.2">
      <c r="Y837761" s="5"/>
      <c r="AB837761" s="5"/>
      <c r="AE837761" s="5"/>
      <c r="AH837761" s="5"/>
      <c r="AK837761" s="5"/>
    </row>
    <row r="837771" spans="25:37" x14ac:dyDescent="0.2">
      <c r="Y837771" s="251"/>
      <c r="AB837771" s="251"/>
      <c r="AE837771" s="251"/>
      <c r="AH837771" s="251"/>
      <c r="AK837771" s="251"/>
    </row>
    <row r="837886" spans="25:37" x14ac:dyDescent="0.2">
      <c r="Y837886" s="5"/>
      <c r="AB837886" s="5"/>
      <c r="AE837886" s="5"/>
      <c r="AH837886" s="5"/>
      <c r="AK837886" s="5"/>
    </row>
    <row r="837896" spans="25:37" x14ac:dyDescent="0.2">
      <c r="Y837896" s="251"/>
      <c r="AB837896" s="251"/>
      <c r="AE837896" s="251"/>
      <c r="AH837896" s="251"/>
      <c r="AK837896" s="251"/>
    </row>
    <row r="838011" spans="25:37" x14ac:dyDescent="0.2">
      <c r="Y838011" s="5"/>
      <c r="AB838011" s="5"/>
      <c r="AE838011" s="5"/>
      <c r="AH838011" s="5"/>
      <c r="AK838011" s="5"/>
    </row>
    <row r="838021" spans="25:37" x14ac:dyDescent="0.2">
      <c r="Y838021" s="251"/>
      <c r="AB838021" s="251"/>
      <c r="AE838021" s="251"/>
      <c r="AH838021" s="251"/>
      <c r="AK838021" s="251"/>
    </row>
    <row r="838136" spans="25:37" x14ac:dyDescent="0.2">
      <c r="Y838136" s="5"/>
      <c r="AB838136" s="5"/>
      <c r="AE838136" s="5"/>
      <c r="AH838136" s="5"/>
      <c r="AK838136" s="5"/>
    </row>
    <row r="838146" spans="25:37" x14ac:dyDescent="0.2">
      <c r="Y838146" s="251"/>
      <c r="AB838146" s="251"/>
      <c r="AE838146" s="251"/>
      <c r="AH838146" s="251"/>
      <c r="AK838146" s="251"/>
    </row>
    <row r="838261" spans="25:37" x14ac:dyDescent="0.2">
      <c r="Y838261" s="5"/>
      <c r="AB838261" s="5"/>
      <c r="AE838261" s="5"/>
      <c r="AH838261" s="5"/>
      <c r="AK838261" s="5"/>
    </row>
    <row r="838271" spans="25:37" x14ac:dyDescent="0.2">
      <c r="Y838271" s="251"/>
      <c r="AB838271" s="251"/>
      <c r="AE838271" s="251"/>
      <c r="AH838271" s="251"/>
      <c r="AK838271" s="251"/>
    </row>
    <row r="838386" spans="25:37" x14ac:dyDescent="0.2">
      <c r="Y838386" s="5"/>
      <c r="AB838386" s="5"/>
      <c r="AE838386" s="5"/>
      <c r="AH838386" s="5"/>
      <c r="AK838386" s="5"/>
    </row>
    <row r="838396" spans="25:37" x14ac:dyDescent="0.2">
      <c r="Y838396" s="251"/>
      <c r="AB838396" s="251"/>
      <c r="AE838396" s="251"/>
      <c r="AH838396" s="251"/>
      <c r="AK838396" s="251"/>
    </row>
    <row r="838511" spans="25:37" x14ac:dyDescent="0.2">
      <c r="Y838511" s="5"/>
      <c r="AB838511" s="5"/>
      <c r="AE838511" s="5"/>
      <c r="AH838511" s="5"/>
      <c r="AK838511" s="5"/>
    </row>
    <row r="838521" spans="25:37" x14ac:dyDescent="0.2">
      <c r="Y838521" s="251"/>
      <c r="AB838521" s="251"/>
      <c r="AE838521" s="251"/>
      <c r="AH838521" s="251"/>
      <c r="AK838521" s="251"/>
    </row>
    <row r="838636" spans="25:37" x14ac:dyDescent="0.2">
      <c r="Y838636" s="5"/>
      <c r="AB838636" s="5"/>
      <c r="AE838636" s="5"/>
      <c r="AH838636" s="5"/>
      <c r="AK838636" s="5"/>
    </row>
    <row r="838646" spans="25:37" x14ac:dyDescent="0.2">
      <c r="Y838646" s="251"/>
      <c r="AB838646" s="251"/>
      <c r="AE838646" s="251"/>
      <c r="AH838646" s="251"/>
      <c r="AK838646" s="251"/>
    </row>
    <row r="838761" spans="25:37" x14ac:dyDescent="0.2">
      <c r="Y838761" s="5"/>
      <c r="AB838761" s="5"/>
      <c r="AE838761" s="5"/>
      <c r="AH838761" s="5"/>
      <c r="AK838761" s="5"/>
    </row>
    <row r="838771" spans="25:37" x14ac:dyDescent="0.2">
      <c r="Y838771" s="251"/>
      <c r="AB838771" s="251"/>
      <c r="AE838771" s="251"/>
      <c r="AH838771" s="251"/>
      <c r="AK838771" s="251"/>
    </row>
    <row r="838886" spans="25:37" x14ac:dyDescent="0.2">
      <c r="Y838886" s="5"/>
      <c r="AB838886" s="5"/>
      <c r="AE838886" s="5"/>
      <c r="AH838886" s="5"/>
      <c r="AK838886" s="5"/>
    </row>
    <row r="838896" spans="25:37" x14ac:dyDescent="0.2">
      <c r="Y838896" s="251"/>
      <c r="AB838896" s="251"/>
      <c r="AE838896" s="251"/>
      <c r="AH838896" s="251"/>
      <c r="AK838896" s="251"/>
    </row>
    <row r="839011" spans="25:37" x14ac:dyDescent="0.2">
      <c r="Y839011" s="5"/>
      <c r="AB839011" s="5"/>
      <c r="AE839011" s="5"/>
      <c r="AH839011" s="5"/>
      <c r="AK839011" s="5"/>
    </row>
    <row r="839021" spans="25:37" x14ac:dyDescent="0.2">
      <c r="Y839021" s="251"/>
      <c r="AB839021" s="251"/>
      <c r="AE839021" s="251"/>
      <c r="AH839021" s="251"/>
      <c r="AK839021" s="251"/>
    </row>
    <row r="839136" spans="25:37" x14ac:dyDescent="0.2">
      <c r="Y839136" s="5"/>
      <c r="AB839136" s="5"/>
      <c r="AE839136" s="5"/>
      <c r="AH839136" s="5"/>
      <c r="AK839136" s="5"/>
    </row>
    <row r="839146" spans="25:37" x14ac:dyDescent="0.2">
      <c r="Y839146" s="251"/>
      <c r="AB839146" s="251"/>
      <c r="AE839146" s="251"/>
      <c r="AH839146" s="251"/>
      <c r="AK839146" s="251"/>
    </row>
    <row r="839261" spans="25:37" x14ac:dyDescent="0.2">
      <c r="Y839261" s="5"/>
      <c r="AB839261" s="5"/>
      <c r="AE839261" s="5"/>
      <c r="AH839261" s="5"/>
      <c r="AK839261" s="5"/>
    </row>
    <row r="839271" spans="25:37" x14ac:dyDescent="0.2">
      <c r="Y839271" s="251"/>
      <c r="AB839271" s="251"/>
      <c r="AE839271" s="251"/>
      <c r="AH839271" s="251"/>
      <c r="AK839271" s="251"/>
    </row>
    <row r="839386" spans="25:37" x14ac:dyDescent="0.2">
      <c r="Y839386" s="5"/>
      <c r="AB839386" s="5"/>
      <c r="AE839386" s="5"/>
      <c r="AH839386" s="5"/>
      <c r="AK839386" s="5"/>
    </row>
    <row r="839396" spans="25:37" x14ac:dyDescent="0.2">
      <c r="Y839396" s="251"/>
      <c r="AB839396" s="251"/>
      <c r="AE839396" s="251"/>
      <c r="AH839396" s="251"/>
      <c r="AK839396" s="251"/>
    </row>
    <row r="839511" spans="25:37" x14ac:dyDescent="0.2">
      <c r="Y839511" s="5"/>
      <c r="AB839511" s="5"/>
      <c r="AE839511" s="5"/>
      <c r="AH839511" s="5"/>
      <c r="AK839511" s="5"/>
    </row>
    <row r="839521" spans="25:37" x14ac:dyDescent="0.2">
      <c r="Y839521" s="251"/>
      <c r="AB839521" s="251"/>
      <c r="AE839521" s="251"/>
      <c r="AH839521" s="251"/>
      <c r="AK839521" s="251"/>
    </row>
    <row r="839636" spans="25:37" x14ac:dyDescent="0.2">
      <c r="Y839636" s="5"/>
      <c r="AB839636" s="5"/>
      <c r="AE839636" s="5"/>
      <c r="AH839636" s="5"/>
      <c r="AK839636" s="5"/>
    </row>
    <row r="839646" spans="25:37" x14ac:dyDescent="0.2">
      <c r="Y839646" s="251"/>
      <c r="AB839646" s="251"/>
      <c r="AE839646" s="251"/>
      <c r="AH839646" s="251"/>
      <c r="AK839646" s="251"/>
    </row>
    <row r="839761" spans="25:37" x14ac:dyDescent="0.2">
      <c r="Y839761" s="5"/>
      <c r="AB839761" s="5"/>
      <c r="AE839761" s="5"/>
      <c r="AH839761" s="5"/>
      <c r="AK839761" s="5"/>
    </row>
    <row r="839771" spans="25:37" x14ac:dyDescent="0.2">
      <c r="Y839771" s="251"/>
      <c r="AB839771" s="251"/>
      <c r="AE839771" s="251"/>
      <c r="AH839771" s="251"/>
      <c r="AK839771" s="251"/>
    </row>
    <row r="839886" spans="25:37" x14ac:dyDescent="0.2">
      <c r="Y839886" s="5"/>
      <c r="AB839886" s="5"/>
      <c r="AE839886" s="5"/>
      <c r="AH839886" s="5"/>
      <c r="AK839886" s="5"/>
    </row>
    <row r="839896" spans="25:37" x14ac:dyDescent="0.2">
      <c r="Y839896" s="251"/>
      <c r="AB839896" s="251"/>
      <c r="AE839896" s="251"/>
      <c r="AH839896" s="251"/>
      <c r="AK839896" s="251"/>
    </row>
    <row r="840011" spans="25:37" x14ac:dyDescent="0.2">
      <c r="Y840011" s="5"/>
      <c r="AB840011" s="5"/>
      <c r="AE840011" s="5"/>
      <c r="AH840011" s="5"/>
      <c r="AK840011" s="5"/>
    </row>
    <row r="840021" spans="25:37" x14ac:dyDescent="0.2">
      <c r="Y840021" s="251"/>
      <c r="AB840021" s="251"/>
      <c r="AE840021" s="251"/>
      <c r="AH840021" s="251"/>
      <c r="AK840021" s="251"/>
    </row>
    <row r="840136" spans="25:37" x14ac:dyDescent="0.2">
      <c r="Y840136" s="5"/>
      <c r="AB840136" s="5"/>
      <c r="AE840136" s="5"/>
      <c r="AH840136" s="5"/>
      <c r="AK840136" s="5"/>
    </row>
    <row r="840146" spans="25:37" x14ac:dyDescent="0.2">
      <c r="Y840146" s="251"/>
      <c r="AB840146" s="251"/>
      <c r="AE840146" s="251"/>
      <c r="AH840146" s="251"/>
      <c r="AK840146" s="251"/>
    </row>
    <row r="840261" spans="25:37" x14ac:dyDescent="0.2">
      <c r="Y840261" s="5"/>
      <c r="AB840261" s="5"/>
      <c r="AE840261" s="5"/>
      <c r="AH840261" s="5"/>
      <c r="AK840261" s="5"/>
    </row>
    <row r="840271" spans="25:37" x14ac:dyDescent="0.2">
      <c r="Y840271" s="251"/>
      <c r="AB840271" s="251"/>
      <c r="AE840271" s="251"/>
      <c r="AH840271" s="251"/>
      <c r="AK840271" s="251"/>
    </row>
    <row r="840386" spans="25:37" x14ac:dyDescent="0.2">
      <c r="Y840386" s="5"/>
      <c r="AB840386" s="5"/>
      <c r="AE840386" s="5"/>
      <c r="AH840386" s="5"/>
      <c r="AK840386" s="5"/>
    </row>
    <row r="840396" spans="25:37" x14ac:dyDescent="0.2">
      <c r="Y840396" s="251"/>
      <c r="AB840396" s="251"/>
      <c r="AE840396" s="251"/>
      <c r="AH840396" s="251"/>
      <c r="AK840396" s="251"/>
    </row>
    <row r="840511" spans="25:37" x14ac:dyDescent="0.2">
      <c r="Y840511" s="5"/>
      <c r="AB840511" s="5"/>
      <c r="AE840511" s="5"/>
      <c r="AH840511" s="5"/>
      <c r="AK840511" s="5"/>
    </row>
    <row r="840521" spans="25:37" x14ac:dyDescent="0.2">
      <c r="Y840521" s="251"/>
      <c r="AB840521" s="251"/>
      <c r="AE840521" s="251"/>
      <c r="AH840521" s="251"/>
      <c r="AK840521" s="251"/>
    </row>
    <row r="840636" spans="25:37" x14ac:dyDescent="0.2">
      <c r="Y840636" s="5"/>
      <c r="AB840636" s="5"/>
      <c r="AE840636" s="5"/>
      <c r="AH840636" s="5"/>
      <c r="AK840636" s="5"/>
    </row>
    <row r="840646" spans="25:37" x14ac:dyDescent="0.2">
      <c r="Y840646" s="251"/>
      <c r="AB840646" s="251"/>
      <c r="AE840646" s="251"/>
      <c r="AH840646" s="251"/>
      <c r="AK840646" s="251"/>
    </row>
    <row r="840761" spans="25:37" x14ac:dyDescent="0.2">
      <c r="Y840761" s="5"/>
      <c r="AB840761" s="5"/>
      <c r="AE840761" s="5"/>
      <c r="AH840761" s="5"/>
      <c r="AK840761" s="5"/>
    </row>
    <row r="840771" spans="25:37" x14ac:dyDescent="0.2">
      <c r="Y840771" s="251"/>
      <c r="AB840771" s="251"/>
      <c r="AE840771" s="251"/>
      <c r="AH840771" s="251"/>
      <c r="AK840771" s="251"/>
    </row>
    <row r="840886" spans="25:37" x14ac:dyDescent="0.2">
      <c r="Y840886" s="5"/>
      <c r="AB840886" s="5"/>
      <c r="AE840886" s="5"/>
      <c r="AH840886" s="5"/>
      <c r="AK840886" s="5"/>
    </row>
    <row r="840896" spans="25:37" x14ac:dyDescent="0.2">
      <c r="Y840896" s="251"/>
      <c r="AB840896" s="251"/>
      <c r="AE840896" s="251"/>
      <c r="AH840896" s="251"/>
      <c r="AK840896" s="251"/>
    </row>
    <row r="841011" spans="25:37" x14ac:dyDescent="0.2">
      <c r="Y841011" s="5"/>
      <c r="AB841011" s="5"/>
      <c r="AE841011" s="5"/>
      <c r="AH841011" s="5"/>
      <c r="AK841011" s="5"/>
    </row>
    <row r="841021" spans="25:37" x14ac:dyDescent="0.2">
      <c r="Y841021" s="251"/>
      <c r="AB841021" s="251"/>
      <c r="AE841021" s="251"/>
      <c r="AH841021" s="251"/>
      <c r="AK841021" s="251"/>
    </row>
    <row r="841136" spans="25:37" x14ac:dyDescent="0.2">
      <c r="Y841136" s="5"/>
      <c r="AB841136" s="5"/>
      <c r="AE841136" s="5"/>
      <c r="AH841136" s="5"/>
      <c r="AK841136" s="5"/>
    </row>
    <row r="841146" spans="25:37" x14ac:dyDescent="0.2">
      <c r="Y841146" s="251"/>
      <c r="AB841146" s="251"/>
      <c r="AE841146" s="251"/>
      <c r="AH841146" s="251"/>
      <c r="AK841146" s="251"/>
    </row>
    <row r="841261" spans="25:37" x14ac:dyDescent="0.2">
      <c r="Y841261" s="5"/>
      <c r="AB841261" s="5"/>
      <c r="AE841261" s="5"/>
      <c r="AH841261" s="5"/>
      <c r="AK841261" s="5"/>
    </row>
    <row r="841271" spans="25:37" x14ac:dyDescent="0.2">
      <c r="Y841271" s="251"/>
      <c r="AB841271" s="251"/>
      <c r="AE841271" s="251"/>
      <c r="AH841271" s="251"/>
      <c r="AK841271" s="251"/>
    </row>
    <row r="841386" spans="25:37" x14ac:dyDescent="0.2">
      <c r="Y841386" s="5"/>
      <c r="AB841386" s="5"/>
      <c r="AE841386" s="5"/>
      <c r="AH841386" s="5"/>
      <c r="AK841386" s="5"/>
    </row>
    <row r="841396" spans="25:37" x14ac:dyDescent="0.2">
      <c r="Y841396" s="251"/>
      <c r="AB841396" s="251"/>
      <c r="AE841396" s="251"/>
      <c r="AH841396" s="251"/>
      <c r="AK841396" s="251"/>
    </row>
    <row r="841511" spans="25:37" x14ac:dyDescent="0.2">
      <c r="Y841511" s="5"/>
      <c r="AB841511" s="5"/>
      <c r="AE841511" s="5"/>
      <c r="AH841511" s="5"/>
      <c r="AK841511" s="5"/>
    </row>
    <row r="841521" spans="25:37" x14ac:dyDescent="0.2">
      <c r="Y841521" s="251"/>
      <c r="AB841521" s="251"/>
      <c r="AE841521" s="251"/>
      <c r="AH841521" s="251"/>
      <c r="AK841521" s="251"/>
    </row>
    <row r="841636" spans="25:37" x14ac:dyDescent="0.2">
      <c r="Y841636" s="5"/>
      <c r="AB841636" s="5"/>
      <c r="AE841636" s="5"/>
      <c r="AH841636" s="5"/>
      <c r="AK841636" s="5"/>
    </row>
    <row r="841646" spans="25:37" x14ac:dyDescent="0.2">
      <c r="Y841646" s="251"/>
      <c r="AB841646" s="251"/>
      <c r="AE841646" s="251"/>
      <c r="AH841646" s="251"/>
      <c r="AK841646" s="251"/>
    </row>
    <row r="841761" spans="25:37" x14ac:dyDescent="0.2">
      <c r="Y841761" s="5"/>
      <c r="AB841761" s="5"/>
      <c r="AE841761" s="5"/>
      <c r="AH841761" s="5"/>
      <c r="AK841761" s="5"/>
    </row>
    <row r="841771" spans="25:37" x14ac:dyDescent="0.2">
      <c r="Y841771" s="251"/>
      <c r="AB841771" s="251"/>
      <c r="AE841771" s="251"/>
      <c r="AH841771" s="251"/>
      <c r="AK841771" s="251"/>
    </row>
    <row r="841886" spans="25:37" x14ac:dyDescent="0.2">
      <c r="Y841886" s="5"/>
      <c r="AB841886" s="5"/>
      <c r="AE841886" s="5"/>
      <c r="AH841886" s="5"/>
      <c r="AK841886" s="5"/>
    </row>
    <row r="841896" spans="25:37" x14ac:dyDescent="0.2">
      <c r="Y841896" s="251"/>
      <c r="AB841896" s="251"/>
      <c r="AE841896" s="251"/>
      <c r="AH841896" s="251"/>
      <c r="AK841896" s="251"/>
    </row>
    <row r="842011" spans="25:37" x14ac:dyDescent="0.2">
      <c r="Y842011" s="5"/>
      <c r="AB842011" s="5"/>
      <c r="AE842011" s="5"/>
      <c r="AH842011" s="5"/>
      <c r="AK842011" s="5"/>
    </row>
    <row r="842021" spans="25:37" x14ac:dyDescent="0.2">
      <c r="Y842021" s="251"/>
      <c r="AB842021" s="251"/>
      <c r="AE842021" s="251"/>
      <c r="AH842021" s="251"/>
      <c r="AK842021" s="251"/>
    </row>
    <row r="842136" spans="25:37" x14ac:dyDescent="0.2">
      <c r="Y842136" s="5"/>
      <c r="AB842136" s="5"/>
      <c r="AE842136" s="5"/>
      <c r="AH842136" s="5"/>
      <c r="AK842136" s="5"/>
    </row>
    <row r="842146" spans="25:37" x14ac:dyDescent="0.2">
      <c r="Y842146" s="251"/>
      <c r="AB842146" s="251"/>
      <c r="AE842146" s="251"/>
      <c r="AH842146" s="251"/>
      <c r="AK842146" s="251"/>
    </row>
    <row r="842261" spans="25:37" x14ac:dyDescent="0.2">
      <c r="Y842261" s="5"/>
      <c r="AB842261" s="5"/>
      <c r="AE842261" s="5"/>
      <c r="AH842261" s="5"/>
      <c r="AK842261" s="5"/>
    </row>
    <row r="842271" spans="25:37" x14ac:dyDescent="0.2">
      <c r="Y842271" s="251"/>
      <c r="AB842271" s="251"/>
      <c r="AE842271" s="251"/>
      <c r="AH842271" s="251"/>
      <c r="AK842271" s="251"/>
    </row>
    <row r="842386" spans="25:37" x14ac:dyDescent="0.2">
      <c r="Y842386" s="5"/>
      <c r="AB842386" s="5"/>
      <c r="AE842386" s="5"/>
      <c r="AH842386" s="5"/>
      <c r="AK842386" s="5"/>
    </row>
    <row r="842396" spans="25:37" x14ac:dyDescent="0.2">
      <c r="Y842396" s="251"/>
      <c r="AB842396" s="251"/>
      <c r="AE842396" s="251"/>
      <c r="AH842396" s="251"/>
      <c r="AK842396" s="251"/>
    </row>
    <row r="842511" spans="25:37" x14ac:dyDescent="0.2">
      <c r="Y842511" s="5"/>
      <c r="AB842511" s="5"/>
      <c r="AE842511" s="5"/>
      <c r="AH842511" s="5"/>
      <c r="AK842511" s="5"/>
    </row>
    <row r="842521" spans="25:37" x14ac:dyDescent="0.2">
      <c r="Y842521" s="251"/>
      <c r="AB842521" s="251"/>
      <c r="AE842521" s="251"/>
      <c r="AH842521" s="251"/>
      <c r="AK842521" s="251"/>
    </row>
    <row r="842636" spans="25:37" x14ac:dyDescent="0.2">
      <c r="Y842636" s="5"/>
      <c r="AB842636" s="5"/>
      <c r="AE842636" s="5"/>
      <c r="AH842636" s="5"/>
      <c r="AK842636" s="5"/>
    </row>
    <row r="842646" spans="25:37" x14ac:dyDescent="0.2">
      <c r="Y842646" s="251"/>
      <c r="AB842646" s="251"/>
      <c r="AE842646" s="251"/>
      <c r="AH842646" s="251"/>
      <c r="AK842646" s="251"/>
    </row>
    <row r="842761" spans="25:37" x14ac:dyDescent="0.2">
      <c r="Y842761" s="5"/>
      <c r="AB842761" s="5"/>
      <c r="AE842761" s="5"/>
      <c r="AH842761" s="5"/>
      <c r="AK842761" s="5"/>
    </row>
    <row r="842771" spans="25:37" x14ac:dyDescent="0.2">
      <c r="Y842771" s="251"/>
      <c r="AB842771" s="251"/>
      <c r="AE842771" s="251"/>
      <c r="AH842771" s="251"/>
      <c r="AK842771" s="251"/>
    </row>
    <row r="842886" spans="25:37" x14ac:dyDescent="0.2">
      <c r="Y842886" s="5"/>
      <c r="AB842886" s="5"/>
      <c r="AE842886" s="5"/>
      <c r="AH842886" s="5"/>
      <c r="AK842886" s="5"/>
    </row>
    <row r="842896" spans="25:37" x14ac:dyDescent="0.2">
      <c r="Y842896" s="251"/>
      <c r="AB842896" s="251"/>
      <c r="AE842896" s="251"/>
      <c r="AH842896" s="251"/>
      <c r="AK842896" s="251"/>
    </row>
    <row r="843011" spans="25:37" x14ac:dyDescent="0.2">
      <c r="Y843011" s="5"/>
      <c r="AB843011" s="5"/>
      <c r="AE843011" s="5"/>
      <c r="AH843011" s="5"/>
      <c r="AK843011" s="5"/>
    </row>
    <row r="843021" spans="25:37" x14ac:dyDescent="0.2">
      <c r="Y843021" s="251"/>
      <c r="AB843021" s="251"/>
      <c r="AE843021" s="251"/>
      <c r="AH843021" s="251"/>
      <c r="AK843021" s="251"/>
    </row>
    <row r="843136" spans="25:37" x14ac:dyDescent="0.2">
      <c r="Y843136" s="5"/>
      <c r="AB843136" s="5"/>
      <c r="AE843136" s="5"/>
      <c r="AH843136" s="5"/>
      <c r="AK843136" s="5"/>
    </row>
    <row r="843146" spans="25:37" x14ac:dyDescent="0.2">
      <c r="Y843146" s="251"/>
      <c r="AB843146" s="251"/>
      <c r="AE843146" s="251"/>
      <c r="AH843146" s="251"/>
      <c r="AK843146" s="251"/>
    </row>
    <row r="843261" spans="25:37" x14ac:dyDescent="0.2">
      <c r="Y843261" s="5"/>
      <c r="AB843261" s="5"/>
      <c r="AE843261" s="5"/>
      <c r="AH843261" s="5"/>
      <c r="AK843261" s="5"/>
    </row>
    <row r="843271" spans="25:37" x14ac:dyDescent="0.2">
      <c r="Y843271" s="251"/>
      <c r="AB843271" s="251"/>
      <c r="AE843271" s="251"/>
      <c r="AH843271" s="251"/>
      <c r="AK843271" s="251"/>
    </row>
    <row r="843386" spans="25:37" x14ac:dyDescent="0.2">
      <c r="Y843386" s="5"/>
      <c r="AB843386" s="5"/>
      <c r="AE843386" s="5"/>
      <c r="AH843386" s="5"/>
      <c r="AK843386" s="5"/>
    </row>
    <row r="843396" spans="25:37" x14ac:dyDescent="0.2">
      <c r="Y843396" s="251"/>
      <c r="AB843396" s="251"/>
      <c r="AE843396" s="251"/>
      <c r="AH843396" s="251"/>
      <c r="AK843396" s="251"/>
    </row>
    <row r="843511" spans="25:37" x14ac:dyDescent="0.2">
      <c r="Y843511" s="5"/>
      <c r="AB843511" s="5"/>
      <c r="AE843511" s="5"/>
      <c r="AH843511" s="5"/>
      <c r="AK843511" s="5"/>
    </row>
    <row r="843521" spans="25:37" x14ac:dyDescent="0.2">
      <c r="Y843521" s="251"/>
      <c r="AB843521" s="251"/>
      <c r="AE843521" s="251"/>
      <c r="AH843521" s="251"/>
      <c r="AK843521" s="251"/>
    </row>
    <row r="843636" spans="25:37" x14ac:dyDescent="0.2">
      <c r="Y843636" s="5"/>
      <c r="AB843636" s="5"/>
      <c r="AE843636" s="5"/>
      <c r="AH843636" s="5"/>
      <c r="AK843636" s="5"/>
    </row>
    <row r="843646" spans="25:37" x14ac:dyDescent="0.2">
      <c r="Y843646" s="251"/>
      <c r="AB843646" s="251"/>
      <c r="AE843646" s="251"/>
      <c r="AH843646" s="251"/>
      <c r="AK843646" s="251"/>
    </row>
    <row r="843761" spans="25:37" x14ac:dyDescent="0.2">
      <c r="Y843761" s="5"/>
      <c r="AB843761" s="5"/>
      <c r="AE843761" s="5"/>
      <c r="AH843761" s="5"/>
      <c r="AK843761" s="5"/>
    </row>
    <row r="843771" spans="25:37" x14ac:dyDescent="0.2">
      <c r="Y843771" s="251"/>
      <c r="AB843771" s="251"/>
      <c r="AE843771" s="251"/>
      <c r="AH843771" s="251"/>
      <c r="AK843771" s="251"/>
    </row>
    <row r="843886" spans="25:37" x14ac:dyDescent="0.2">
      <c r="Y843886" s="5"/>
      <c r="AB843886" s="5"/>
      <c r="AE843886" s="5"/>
      <c r="AH843886" s="5"/>
      <c r="AK843886" s="5"/>
    </row>
    <row r="843896" spans="25:37" x14ac:dyDescent="0.2">
      <c r="Y843896" s="251"/>
      <c r="AB843896" s="251"/>
      <c r="AE843896" s="251"/>
      <c r="AH843896" s="251"/>
      <c r="AK843896" s="251"/>
    </row>
    <row r="844011" spans="25:37" x14ac:dyDescent="0.2">
      <c r="Y844011" s="5"/>
      <c r="AB844011" s="5"/>
      <c r="AE844011" s="5"/>
      <c r="AH844011" s="5"/>
      <c r="AK844011" s="5"/>
    </row>
    <row r="844021" spans="25:37" x14ac:dyDescent="0.2">
      <c r="Y844021" s="251"/>
      <c r="AB844021" s="251"/>
      <c r="AE844021" s="251"/>
      <c r="AH844021" s="251"/>
      <c r="AK844021" s="251"/>
    </row>
    <row r="844136" spans="25:37" x14ac:dyDescent="0.2">
      <c r="Y844136" s="5"/>
      <c r="AB844136" s="5"/>
      <c r="AE844136" s="5"/>
      <c r="AH844136" s="5"/>
      <c r="AK844136" s="5"/>
    </row>
    <row r="844146" spans="25:37" x14ac:dyDescent="0.2">
      <c r="Y844146" s="251"/>
      <c r="AB844146" s="251"/>
      <c r="AE844146" s="251"/>
      <c r="AH844146" s="251"/>
      <c r="AK844146" s="251"/>
    </row>
    <row r="844261" spans="25:37" x14ac:dyDescent="0.2">
      <c r="Y844261" s="5"/>
      <c r="AB844261" s="5"/>
      <c r="AE844261" s="5"/>
      <c r="AH844261" s="5"/>
      <c r="AK844261" s="5"/>
    </row>
    <row r="844271" spans="25:37" x14ac:dyDescent="0.2">
      <c r="Y844271" s="251"/>
      <c r="AB844271" s="251"/>
      <c r="AE844271" s="251"/>
      <c r="AH844271" s="251"/>
      <c r="AK844271" s="251"/>
    </row>
    <row r="844386" spans="25:37" x14ac:dyDescent="0.2">
      <c r="Y844386" s="5"/>
      <c r="AB844386" s="5"/>
      <c r="AE844386" s="5"/>
      <c r="AH844386" s="5"/>
      <c r="AK844386" s="5"/>
    </row>
    <row r="844396" spans="25:37" x14ac:dyDescent="0.2">
      <c r="Y844396" s="251"/>
      <c r="AB844396" s="251"/>
      <c r="AE844396" s="251"/>
      <c r="AH844396" s="251"/>
      <c r="AK844396" s="251"/>
    </row>
    <row r="844511" spans="25:37" x14ac:dyDescent="0.2">
      <c r="Y844511" s="5"/>
      <c r="AB844511" s="5"/>
      <c r="AE844511" s="5"/>
      <c r="AH844511" s="5"/>
      <c r="AK844511" s="5"/>
    </row>
    <row r="844521" spans="25:37" x14ac:dyDescent="0.2">
      <c r="Y844521" s="251"/>
      <c r="AB844521" s="251"/>
      <c r="AE844521" s="251"/>
      <c r="AH844521" s="251"/>
      <c r="AK844521" s="251"/>
    </row>
    <row r="844636" spans="25:37" x14ac:dyDescent="0.2">
      <c r="Y844636" s="5"/>
      <c r="AB844636" s="5"/>
      <c r="AE844636" s="5"/>
      <c r="AH844636" s="5"/>
      <c r="AK844636" s="5"/>
    </row>
    <row r="844646" spans="25:37" x14ac:dyDescent="0.2">
      <c r="Y844646" s="251"/>
      <c r="AB844646" s="251"/>
      <c r="AE844646" s="251"/>
      <c r="AH844646" s="251"/>
      <c r="AK844646" s="251"/>
    </row>
    <row r="844761" spans="25:37" x14ac:dyDescent="0.2">
      <c r="Y844761" s="5"/>
      <c r="AB844761" s="5"/>
      <c r="AE844761" s="5"/>
      <c r="AH844761" s="5"/>
      <c r="AK844761" s="5"/>
    </row>
    <row r="844771" spans="25:37" x14ac:dyDescent="0.2">
      <c r="Y844771" s="251"/>
      <c r="AB844771" s="251"/>
      <c r="AE844771" s="251"/>
      <c r="AH844771" s="251"/>
      <c r="AK844771" s="251"/>
    </row>
    <row r="844886" spans="25:37" x14ac:dyDescent="0.2">
      <c r="Y844886" s="5"/>
      <c r="AB844886" s="5"/>
      <c r="AE844886" s="5"/>
      <c r="AH844886" s="5"/>
      <c r="AK844886" s="5"/>
    </row>
    <row r="844896" spans="25:37" x14ac:dyDescent="0.2">
      <c r="Y844896" s="251"/>
      <c r="AB844896" s="251"/>
      <c r="AE844896" s="251"/>
      <c r="AH844896" s="251"/>
      <c r="AK844896" s="251"/>
    </row>
    <row r="845011" spans="25:37" x14ac:dyDescent="0.2">
      <c r="Y845011" s="5"/>
      <c r="AB845011" s="5"/>
      <c r="AE845011" s="5"/>
      <c r="AH845011" s="5"/>
      <c r="AK845011" s="5"/>
    </row>
    <row r="845021" spans="25:37" x14ac:dyDescent="0.2">
      <c r="Y845021" s="251"/>
      <c r="AB845021" s="251"/>
      <c r="AE845021" s="251"/>
      <c r="AH845021" s="251"/>
      <c r="AK845021" s="251"/>
    </row>
    <row r="845136" spans="25:37" x14ac:dyDescent="0.2">
      <c r="Y845136" s="5"/>
      <c r="AB845136" s="5"/>
      <c r="AE845136" s="5"/>
      <c r="AH845136" s="5"/>
      <c r="AK845136" s="5"/>
    </row>
    <row r="845146" spans="25:37" x14ac:dyDescent="0.2">
      <c r="Y845146" s="251"/>
      <c r="AB845146" s="251"/>
      <c r="AE845146" s="251"/>
      <c r="AH845146" s="251"/>
      <c r="AK845146" s="251"/>
    </row>
    <row r="845261" spans="25:37" x14ac:dyDescent="0.2">
      <c r="Y845261" s="5"/>
      <c r="AB845261" s="5"/>
      <c r="AE845261" s="5"/>
      <c r="AH845261" s="5"/>
      <c r="AK845261" s="5"/>
    </row>
    <row r="845271" spans="25:37" x14ac:dyDescent="0.2">
      <c r="Y845271" s="251"/>
      <c r="AB845271" s="251"/>
      <c r="AE845271" s="251"/>
      <c r="AH845271" s="251"/>
      <c r="AK845271" s="251"/>
    </row>
    <row r="845386" spans="25:37" x14ac:dyDescent="0.2">
      <c r="Y845386" s="5"/>
      <c r="AB845386" s="5"/>
      <c r="AE845386" s="5"/>
      <c r="AH845386" s="5"/>
      <c r="AK845386" s="5"/>
    </row>
    <row r="845396" spans="25:37" x14ac:dyDescent="0.2">
      <c r="Y845396" s="251"/>
      <c r="AB845396" s="251"/>
      <c r="AE845396" s="251"/>
      <c r="AH845396" s="251"/>
      <c r="AK845396" s="251"/>
    </row>
    <row r="845511" spans="25:37" x14ac:dyDescent="0.2">
      <c r="Y845511" s="5"/>
      <c r="AB845511" s="5"/>
      <c r="AE845511" s="5"/>
      <c r="AH845511" s="5"/>
      <c r="AK845511" s="5"/>
    </row>
    <row r="845521" spans="25:37" x14ac:dyDescent="0.2">
      <c r="Y845521" s="251"/>
      <c r="AB845521" s="251"/>
      <c r="AE845521" s="251"/>
      <c r="AH845521" s="251"/>
      <c r="AK845521" s="251"/>
    </row>
    <row r="845636" spans="25:37" x14ac:dyDescent="0.2">
      <c r="Y845636" s="5"/>
      <c r="AB845636" s="5"/>
      <c r="AE845636" s="5"/>
      <c r="AH845636" s="5"/>
      <c r="AK845636" s="5"/>
    </row>
    <row r="845646" spans="25:37" x14ac:dyDescent="0.2">
      <c r="Y845646" s="251"/>
      <c r="AB845646" s="251"/>
      <c r="AE845646" s="251"/>
      <c r="AH845646" s="251"/>
      <c r="AK845646" s="251"/>
    </row>
    <row r="845761" spans="25:37" x14ac:dyDescent="0.2">
      <c r="Y845761" s="5"/>
      <c r="AB845761" s="5"/>
      <c r="AE845761" s="5"/>
      <c r="AH845761" s="5"/>
      <c r="AK845761" s="5"/>
    </row>
    <row r="845771" spans="25:37" x14ac:dyDescent="0.2">
      <c r="Y845771" s="251"/>
      <c r="AB845771" s="251"/>
      <c r="AE845771" s="251"/>
      <c r="AH845771" s="251"/>
      <c r="AK845771" s="251"/>
    </row>
    <row r="845886" spans="25:37" x14ac:dyDescent="0.2">
      <c r="Y845886" s="5"/>
      <c r="AB845886" s="5"/>
      <c r="AE845886" s="5"/>
      <c r="AH845886" s="5"/>
      <c r="AK845886" s="5"/>
    </row>
    <row r="845896" spans="25:37" x14ac:dyDescent="0.2">
      <c r="Y845896" s="251"/>
      <c r="AB845896" s="251"/>
      <c r="AE845896" s="251"/>
      <c r="AH845896" s="251"/>
      <c r="AK845896" s="251"/>
    </row>
    <row r="846011" spans="25:37" x14ac:dyDescent="0.2">
      <c r="Y846011" s="5"/>
      <c r="AB846011" s="5"/>
      <c r="AE846011" s="5"/>
      <c r="AH846011" s="5"/>
      <c r="AK846011" s="5"/>
    </row>
    <row r="846021" spans="25:37" x14ac:dyDescent="0.2">
      <c r="Y846021" s="251"/>
      <c r="AB846021" s="251"/>
      <c r="AE846021" s="251"/>
      <c r="AH846021" s="251"/>
      <c r="AK846021" s="251"/>
    </row>
    <row r="846136" spans="25:37" x14ac:dyDescent="0.2">
      <c r="Y846136" s="5"/>
      <c r="AB846136" s="5"/>
      <c r="AE846136" s="5"/>
      <c r="AH846136" s="5"/>
      <c r="AK846136" s="5"/>
    </row>
    <row r="846146" spans="25:37" x14ac:dyDescent="0.2">
      <c r="Y846146" s="251"/>
      <c r="AB846146" s="251"/>
      <c r="AE846146" s="251"/>
      <c r="AH846146" s="251"/>
      <c r="AK846146" s="251"/>
    </row>
    <row r="846261" spans="25:37" x14ac:dyDescent="0.2">
      <c r="Y846261" s="5"/>
      <c r="AB846261" s="5"/>
      <c r="AE846261" s="5"/>
      <c r="AH846261" s="5"/>
      <c r="AK846261" s="5"/>
    </row>
    <row r="846271" spans="25:37" x14ac:dyDescent="0.2">
      <c r="Y846271" s="251"/>
      <c r="AB846271" s="251"/>
      <c r="AE846271" s="251"/>
      <c r="AH846271" s="251"/>
      <c r="AK846271" s="251"/>
    </row>
    <row r="846386" spans="25:37" x14ac:dyDescent="0.2">
      <c r="Y846386" s="5"/>
      <c r="AB846386" s="5"/>
      <c r="AE846386" s="5"/>
      <c r="AH846386" s="5"/>
      <c r="AK846386" s="5"/>
    </row>
    <row r="846396" spans="25:37" x14ac:dyDescent="0.2">
      <c r="Y846396" s="251"/>
      <c r="AB846396" s="251"/>
      <c r="AE846396" s="251"/>
      <c r="AH846396" s="251"/>
      <c r="AK846396" s="251"/>
    </row>
    <row r="846511" spans="25:37" x14ac:dyDescent="0.2">
      <c r="Y846511" s="5"/>
      <c r="AB846511" s="5"/>
      <c r="AE846511" s="5"/>
      <c r="AH846511" s="5"/>
      <c r="AK846511" s="5"/>
    </row>
    <row r="846521" spans="25:37" x14ac:dyDescent="0.2">
      <c r="Y846521" s="251"/>
      <c r="AB846521" s="251"/>
      <c r="AE846521" s="251"/>
      <c r="AH846521" s="251"/>
      <c r="AK846521" s="251"/>
    </row>
    <row r="846636" spans="25:37" x14ac:dyDescent="0.2">
      <c r="Y846636" s="5"/>
      <c r="AB846636" s="5"/>
      <c r="AE846636" s="5"/>
      <c r="AH846636" s="5"/>
      <c r="AK846636" s="5"/>
    </row>
    <row r="846646" spans="25:37" x14ac:dyDescent="0.2">
      <c r="Y846646" s="251"/>
      <c r="AB846646" s="251"/>
      <c r="AE846646" s="251"/>
      <c r="AH846646" s="251"/>
      <c r="AK846646" s="251"/>
    </row>
    <row r="846761" spans="25:37" x14ac:dyDescent="0.2">
      <c r="Y846761" s="5"/>
      <c r="AB846761" s="5"/>
      <c r="AE846761" s="5"/>
      <c r="AH846761" s="5"/>
      <c r="AK846761" s="5"/>
    </row>
    <row r="846771" spans="25:37" x14ac:dyDescent="0.2">
      <c r="Y846771" s="251"/>
      <c r="AB846771" s="251"/>
      <c r="AE846771" s="251"/>
      <c r="AH846771" s="251"/>
      <c r="AK846771" s="251"/>
    </row>
    <row r="846886" spans="25:37" x14ac:dyDescent="0.2">
      <c r="Y846886" s="5"/>
      <c r="AB846886" s="5"/>
      <c r="AE846886" s="5"/>
      <c r="AH846886" s="5"/>
      <c r="AK846886" s="5"/>
    </row>
    <row r="846896" spans="25:37" x14ac:dyDescent="0.2">
      <c r="Y846896" s="251"/>
      <c r="AB846896" s="251"/>
      <c r="AE846896" s="251"/>
      <c r="AH846896" s="251"/>
      <c r="AK846896" s="251"/>
    </row>
    <row r="847011" spans="25:37" x14ac:dyDescent="0.2">
      <c r="Y847011" s="5"/>
      <c r="AB847011" s="5"/>
      <c r="AE847011" s="5"/>
      <c r="AH847011" s="5"/>
      <c r="AK847011" s="5"/>
    </row>
    <row r="847021" spans="25:37" x14ac:dyDescent="0.2">
      <c r="Y847021" s="251"/>
      <c r="AB847021" s="251"/>
      <c r="AE847021" s="251"/>
      <c r="AH847021" s="251"/>
      <c r="AK847021" s="251"/>
    </row>
    <row r="847136" spans="25:37" x14ac:dyDescent="0.2">
      <c r="Y847136" s="5"/>
      <c r="AB847136" s="5"/>
      <c r="AE847136" s="5"/>
      <c r="AH847136" s="5"/>
      <c r="AK847136" s="5"/>
    </row>
    <row r="847146" spans="25:37" x14ac:dyDescent="0.2">
      <c r="Y847146" s="251"/>
      <c r="AB847146" s="251"/>
      <c r="AE847146" s="251"/>
      <c r="AH847146" s="251"/>
      <c r="AK847146" s="251"/>
    </row>
    <row r="847261" spans="25:37" x14ac:dyDescent="0.2">
      <c r="Y847261" s="5"/>
      <c r="AB847261" s="5"/>
      <c r="AE847261" s="5"/>
      <c r="AH847261" s="5"/>
      <c r="AK847261" s="5"/>
    </row>
    <row r="847271" spans="25:37" x14ac:dyDescent="0.2">
      <c r="Y847271" s="251"/>
      <c r="AB847271" s="251"/>
      <c r="AE847271" s="251"/>
      <c r="AH847271" s="251"/>
      <c r="AK847271" s="251"/>
    </row>
    <row r="847386" spans="25:37" x14ac:dyDescent="0.2">
      <c r="Y847386" s="5"/>
      <c r="AB847386" s="5"/>
      <c r="AE847386" s="5"/>
      <c r="AH847386" s="5"/>
      <c r="AK847386" s="5"/>
    </row>
    <row r="847396" spans="25:37" x14ac:dyDescent="0.2">
      <c r="Y847396" s="251"/>
      <c r="AB847396" s="251"/>
      <c r="AE847396" s="251"/>
      <c r="AH847396" s="251"/>
      <c r="AK847396" s="251"/>
    </row>
    <row r="847511" spans="25:37" x14ac:dyDescent="0.2">
      <c r="Y847511" s="5"/>
      <c r="AB847511" s="5"/>
      <c r="AE847511" s="5"/>
      <c r="AH847511" s="5"/>
      <c r="AK847511" s="5"/>
    </row>
    <row r="847521" spans="25:37" x14ac:dyDescent="0.2">
      <c r="Y847521" s="251"/>
      <c r="AB847521" s="251"/>
      <c r="AE847521" s="251"/>
      <c r="AH847521" s="251"/>
      <c r="AK847521" s="251"/>
    </row>
    <row r="847636" spans="25:37" x14ac:dyDescent="0.2">
      <c r="Y847636" s="5"/>
      <c r="AB847636" s="5"/>
      <c r="AE847636" s="5"/>
      <c r="AH847636" s="5"/>
      <c r="AK847636" s="5"/>
    </row>
    <row r="847646" spans="25:37" x14ac:dyDescent="0.2">
      <c r="Y847646" s="251"/>
      <c r="AB847646" s="251"/>
      <c r="AE847646" s="251"/>
      <c r="AH847646" s="251"/>
      <c r="AK847646" s="251"/>
    </row>
    <row r="847761" spans="25:37" x14ac:dyDescent="0.2">
      <c r="Y847761" s="5"/>
      <c r="AB847761" s="5"/>
      <c r="AE847761" s="5"/>
      <c r="AH847761" s="5"/>
      <c r="AK847761" s="5"/>
    </row>
    <row r="847771" spans="25:37" x14ac:dyDescent="0.2">
      <c r="Y847771" s="251"/>
      <c r="AB847771" s="251"/>
      <c r="AE847771" s="251"/>
      <c r="AH847771" s="251"/>
      <c r="AK847771" s="251"/>
    </row>
    <row r="847886" spans="25:37" x14ac:dyDescent="0.2">
      <c r="Y847886" s="5"/>
      <c r="AB847886" s="5"/>
      <c r="AE847886" s="5"/>
      <c r="AH847886" s="5"/>
      <c r="AK847886" s="5"/>
    </row>
    <row r="847896" spans="25:37" x14ac:dyDescent="0.2">
      <c r="Y847896" s="251"/>
      <c r="AB847896" s="251"/>
      <c r="AE847896" s="251"/>
      <c r="AH847896" s="251"/>
      <c r="AK847896" s="251"/>
    </row>
    <row r="848011" spans="25:37" x14ac:dyDescent="0.2">
      <c r="Y848011" s="5"/>
      <c r="AB848011" s="5"/>
      <c r="AE848011" s="5"/>
      <c r="AH848011" s="5"/>
      <c r="AK848011" s="5"/>
    </row>
    <row r="848021" spans="25:37" x14ac:dyDescent="0.2">
      <c r="Y848021" s="251"/>
      <c r="AB848021" s="251"/>
      <c r="AE848021" s="251"/>
      <c r="AH848021" s="251"/>
      <c r="AK848021" s="251"/>
    </row>
    <row r="848136" spans="25:37" x14ac:dyDescent="0.2">
      <c r="Y848136" s="5"/>
      <c r="AB848136" s="5"/>
      <c r="AE848136" s="5"/>
      <c r="AH848136" s="5"/>
      <c r="AK848136" s="5"/>
    </row>
    <row r="848146" spans="25:37" x14ac:dyDescent="0.2">
      <c r="Y848146" s="251"/>
      <c r="AB848146" s="251"/>
      <c r="AE848146" s="251"/>
      <c r="AH848146" s="251"/>
      <c r="AK848146" s="251"/>
    </row>
    <row r="848261" spans="25:37" x14ac:dyDescent="0.2">
      <c r="Y848261" s="5"/>
      <c r="AB848261" s="5"/>
      <c r="AE848261" s="5"/>
      <c r="AH848261" s="5"/>
      <c r="AK848261" s="5"/>
    </row>
    <row r="848271" spans="25:37" x14ac:dyDescent="0.2">
      <c r="Y848271" s="251"/>
      <c r="AB848271" s="251"/>
      <c r="AE848271" s="251"/>
      <c r="AH848271" s="251"/>
      <c r="AK848271" s="251"/>
    </row>
    <row r="848386" spans="25:37" x14ac:dyDescent="0.2">
      <c r="Y848386" s="5"/>
      <c r="AB848386" s="5"/>
      <c r="AE848386" s="5"/>
      <c r="AH848386" s="5"/>
      <c r="AK848386" s="5"/>
    </row>
    <row r="848396" spans="25:37" x14ac:dyDescent="0.2">
      <c r="Y848396" s="251"/>
      <c r="AB848396" s="251"/>
      <c r="AE848396" s="251"/>
      <c r="AH848396" s="251"/>
      <c r="AK848396" s="251"/>
    </row>
    <row r="848511" spans="25:37" x14ac:dyDescent="0.2">
      <c r="Y848511" s="5"/>
      <c r="AB848511" s="5"/>
      <c r="AE848511" s="5"/>
      <c r="AH848511" s="5"/>
      <c r="AK848511" s="5"/>
    </row>
    <row r="848521" spans="25:37" x14ac:dyDescent="0.2">
      <c r="Y848521" s="251"/>
      <c r="AB848521" s="251"/>
      <c r="AE848521" s="251"/>
      <c r="AH848521" s="251"/>
      <c r="AK848521" s="251"/>
    </row>
    <row r="848636" spans="25:37" x14ac:dyDescent="0.2">
      <c r="Y848636" s="5"/>
      <c r="AB848636" s="5"/>
      <c r="AE848636" s="5"/>
      <c r="AH848636" s="5"/>
      <c r="AK848636" s="5"/>
    </row>
    <row r="848646" spans="25:37" x14ac:dyDescent="0.2">
      <c r="Y848646" s="251"/>
      <c r="AB848646" s="251"/>
      <c r="AE848646" s="251"/>
      <c r="AH848646" s="251"/>
      <c r="AK848646" s="251"/>
    </row>
    <row r="848761" spans="25:37" x14ac:dyDescent="0.2">
      <c r="Y848761" s="5"/>
      <c r="AB848761" s="5"/>
      <c r="AE848761" s="5"/>
      <c r="AH848761" s="5"/>
      <c r="AK848761" s="5"/>
    </row>
    <row r="848771" spans="25:37" x14ac:dyDescent="0.2">
      <c r="Y848771" s="251"/>
      <c r="AB848771" s="251"/>
      <c r="AE848771" s="251"/>
      <c r="AH848771" s="251"/>
      <c r="AK848771" s="251"/>
    </row>
    <row r="848886" spans="25:37" x14ac:dyDescent="0.2">
      <c r="Y848886" s="5"/>
      <c r="AB848886" s="5"/>
      <c r="AE848886" s="5"/>
      <c r="AH848886" s="5"/>
      <c r="AK848886" s="5"/>
    </row>
    <row r="848896" spans="25:37" x14ac:dyDescent="0.2">
      <c r="Y848896" s="251"/>
      <c r="AB848896" s="251"/>
      <c r="AE848896" s="251"/>
      <c r="AH848896" s="251"/>
      <c r="AK848896" s="251"/>
    </row>
    <row r="849011" spans="25:37" x14ac:dyDescent="0.2">
      <c r="Y849011" s="5"/>
      <c r="AB849011" s="5"/>
      <c r="AE849011" s="5"/>
      <c r="AH849011" s="5"/>
      <c r="AK849011" s="5"/>
    </row>
    <row r="849021" spans="25:37" x14ac:dyDescent="0.2">
      <c r="Y849021" s="251"/>
      <c r="AB849021" s="251"/>
      <c r="AE849021" s="251"/>
      <c r="AH849021" s="251"/>
      <c r="AK849021" s="251"/>
    </row>
    <row r="849136" spans="25:37" x14ac:dyDescent="0.2">
      <c r="Y849136" s="5"/>
      <c r="AB849136" s="5"/>
      <c r="AE849136" s="5"/>
      <c r="AH849136" s="5"/>
      <c r="AK849136" s="5"/>
    </row>
    <row r="849146" spans="25:37" x14ac:dyDescent="0.2">
      <c r="Y849146" s="251"/>
      <c r="AB849146" s="251"/>
      <c r="AE849146" s="251"/>
      <c r="AH849146" s="251"/>
      <c r="AK849146" s="251"/>
    </row>
    <row r="849261" spans="25:37" x14ac:dyDescent="0.2">
      <c r="Y849261" s="5"/>
      <c r="AB849261" s="5"/>
      <c r="AE849261" s="5"/>
      <c r="AH849261" s="5"/>
      <c r="AK849261" s="5"/>
    </row>
    <row r="849271" spans="25:37" x14ac:dyDescent="0.2">
      <c r="Y849271" s="251"/>
      <c r="AB849271" s="251"/>
      <c r="AE849271" s="251"/>
      <c r="AH849271" s="251"/>
      <c r="AK849271" s="251"/>
    </row>
    <row r="849386" spans="25:37" x14ac:dyDescent="0.2">
      <c r="Y849386" s="5"/>
      <c r="AB849386" s="5"/>
      <c r="AE849386" s="5"/>
      <c r="AH849386" s="5"/>
      <c r="AK849386" s="5"/>
    </row>
    <row r="849396" spans="25:37" x14ac:dyDescent="0.2">
      <c r="Y849396" s="251"/>
      <c r="AB849396" s="251"/>
      <c r="AE849396" s="251"/>
      <c r="AH849396" s="251"/>
      <c r="AK849396" s="251"/>
    </row>
    <row r="849511" spans="25:37" x14ac:dyDescent="0.2">
      <c r="Y849511" s="5"/>
      <c r="AB849511" s="5"/>
      <c r="AE849511" s="5"/>
      <c r="AH849511" s="5"/>
      <c r="AK849511" s="5"/>
    </row>
    <row r="849521" spans="25:37" x14ac:dyDescent="0.2">
      <c r="Y849521" s="251"/>
      <c r="AB849521" s="251"/>
      <c r="AE849521" s="251"/>
      <c r="AH849521" s="251"/>
      <c r="AK849521" s="251"/>
    </row>
    <row r="849636" spans="25:37" x14ac:dyDescent="0.2">
      <c r="Y849636" s="5"/>
      <c r="AB849636" s="5"/>
      <c r="AE849636" s="5"/>
      <c r="AH849636" s="5"/>
      <c r="AK849636" s="5"/>
    </row>
    <row r="849646" spans="25:37" x14ac:dyDescent="0.2">
      <c r="Y849646" s="251"/>
      <c r="AB849646" s="251"/>
      <c r="AE849646" s="251"/>
      <c r="AH849646" s="251"/>
      <c r="AK849646" s="251"/>
    </row>
    <row r="849761" spans="25:37" x14ac:dyDescent="0.2">
      <c r="Y849761" s="5"/>
      <c r="AB849761" s="5"/>
      <c r="AE849761" s="5"/>
      <c r="AH849761" s="5"/>
      <c r="AK849761" s="5"/>
    </row>
    <row r="849771" spans="25:37" x14ac:dyDescent="0.2">
      <c r="Y849771" s="251"/>
      <c r="AB849771" s="251"/>
      <c r="AE849771" s="251"/>
      <c r="AH849771" s="251"/>
      <c r="AK849771" s="251"/>
    </row>
    <row r="849886" spans="25:37" x14ac:dyDescent="0.2">
      <c r="Y849886" s="5"/>
      <c r="AB849886" s="5"/>
      <c r="AE849886" s="5"/>
      <c r="AH849886" s="5"/>
      <c r="AK849886" s="5"/>
    </row>
    <row r="849896" spans="25:37" x14ac:dyDescent="0.2">
      <c r="Y849896" s="251"/>
      <c r="AB849896" s="251"/>
      <c r="AE849896" s="251"/>
      <c r="AH849896" s="251"/>
      <c r="AK849896" s="251"/>
    </row>
    <row r="850011" spans="25:37" x14ac:dyDescent="0.2">
      <c r="Y850011" s="5"/>
      <c r="AB850011" s="5"/>
      <c r="AE850011" s="5"/>
      <c r="AH850011" s="5"/>
      <c r="AK850011" s="5"/>
    </row>
    <row r="850021" spans="25:37" x14ac:dyDescent="0.2">
      <c r="Y850021" s="251"/>
      <c r="AB850021" s="251"/>
      <c r="AE850021" s="251"/>
      <c r="AH850021" s="251"/>
      <c r="AK850021" s="251"/>
    </row>
    <row r="850136" spans="25:37" x14ac:dyDescent="0.2">
      <c r="Y850136" s="5"/>
      <c r="AB850136" s="5"/>
      <c r="AE850136" s="5"/>
      <c r="AH850136" s="5"/>
      <c r="AK850136" s="5"/>
    </row>
    <row r="850146" spans="25:37" x14ac:dyDescent="0.2">
      <c r="Y850146" s="251"/>
      <c r="AB850146" s="251"/>
      <c r="AE850146" s="251"/>
      <c r="AH850146" s="251"/>
      <c r="AK850146" s="251"/>
    </row>
    <row r="850261" spans="25:37" x14ac:dyDescent="0.2">
      <c r="Y850261" s="5"/>
      <c r="AB850261" s="5"/>
      <c r="AE850261" s="5"/>
      <c r="AH850261" s="5"/>
      <c r="AK850261" s="5"/>
    </row>
    <row r="850271" spans="25:37" x14ac:dyDescent="0.2">
      <c r="Y850271" s="251"/>
      <c r="AB850271" s="251"/>
      <c r="AE850271" s="251"/>
      <c r="AH850271" s="251"/>
      <c r="AK850271" s="251"/>
    </row>
    <row r="850386" spans="25:37" x14ac:dyDescent="0.2">
      <c r="Y850386" s="5"/>
      <c r="AB850386" s="5"/>
      <c r="AE850386" s="5"/>
      <c r="AH850386" s="5"/>
      <c r="AK850386" s="5"/>
    </row>
    <row r="850396" spans="25:37" x14ac:dyDescent="0.2">
      <c r="Y850396" s="251"/>
      <c r="AB850396" s="251"/>
      <c r="AE850396" s="251"/>
      <c r="AH850396" s="251"/>
      <c r="AK850396" s="251"/>
    </row>
    <row r="850511" spans="25:37" x14ac:dyDescent="0.2">
      <c r="Y850511" s="5"/>
      <c r="AB850511" s="5"/>
      <c r="AE850511" s="5"/>
      <c r="AH850511" s="5"/>
      <c r="AK850511" s="5"/>
    </row>
    <row r="850521" spans="25:37" x14ac:dyDescent="0.2">
      <c r="Y850521" s="251"/>
      <c r="AB850521" s="251"/>
      <c r="AE850521" s="251"/>
      <c r="AH850521" s="251"/>
      <c r="AK850521" s="251"/>
    </row>
    <row r="850636" spans="25:37" x14ac:dyDescent="0.2">
      <c r="Y850636" s="5"/>
      <c r="AB850636" s="5"/>
      <c r="AE850636" s="5"/>
      <c r="AH850636" s="5"/>
      <c r="AK850636" s="5"/>
    </row>
    <row r="850646" spans="25:37" x14ac:dyDescent="0.2">
      <c r="Y850646" s="251"/>
      <c r="AB850646" s="251"/>
      <c r="AE850646" s="251"/>
      <c r="AH850646" s="251"/>
      <c r="AK850646" s="251"/>
    </row>
    <row r="850761" spans="25:37" x14ac:dyDescent="0.2">
      <c r="Y850761" s="5"/>
      <c r="AB850761" s="5"/>
      <c r="AE850761" s="5"/>
      <c r="AH850761" s="5"/>
      <c r="AK850761" s="5"/>
    </row>
    <row r="850771" spans="25:37" x14ac:dyDescent="0.2">
      <c r="Y850771" s="251"/>
      <c r="AB850771" s="251"/>
      <c r="AE850771" s="251"/>
      <c r="AH850771" s="251"/>
      <c r="AK850771" s="251"/>
    </row>
    <row r="850886" spans="25:37" x14ac:dyDescent="0.2">
      <c r="Y850886" s="5"/>
      <c r="AB850886" s="5"/>
      <c r="AE850886" s="5"/>
      <c r="AH850886" s="5"/>
      <c r="AK850886" s="5"/>
    </row>
    <row r="850896" spans="25:37" x14ac:dyDescent="0.2">
      <c r="Y850896" s="251"/>
      <c r="AB850896" s="251"/>
      <c r="AE850896" s="251"/>
      <c r="AH850896" s="251"/>
      <c r="AK850896" s="251"/>
    </row>
    <row r="851011" spans="25:37" x14ac:dyDescent="0.2">
      <c r="Y851011" s="5"/>
      <c r="AB851011" s="5"/>
      <c r="AE851011" s="5"/>
      <c r="AH851011" s="5"/>
      <c r="AK851011" s="5"/>
    </row>
    <row r="851021" spans="25:37" x14ac:dyDescent="0.2">
      <c r="Y851021" s="251"/>
      <c r="AB851021" s="251"/>
      <c r="AE851021" s="251"/>
      <c r="AH851021" s="251"/>
      <c r="AK851021" s="251"/>
    </row>
    <row r="851136" spans="25:37" x14ac:dyDescent="0.2">
      <c r="Y851136" s="5"/>
      <c r="AB851136" s="5"/>
      <c r="AE851136" s="5"/>
      <c r="AH851136" s="5"/>
      <c r="AK851136" s="5"/>
    </row>
    <row r="851146" spans="25:37" x14ac:dyDescent="0.2">
      <c r="Y851146" s="251"/>
      <c r="AB851146" s="251"/>
      <c r="AE851146" s="251"/>
      <c r="AH851146" s="251"/>
      <c r="AK851146" s="251"/>
    </row>
    <row r="851261" spans="25:37" x14ac:dyDescent="0.2">
      <c r="Y851261" s="5"/>
      <c r="AB851261" s="5"/>
      <c r="AE851261" s="5"/>
      <c r="AH851261" s="5"/>
      <c r="AK851261" s="5"/>
    </row>
    <row r="851271" spans="25:37" x14ac:dyDescent="0.2">
      <c r="Y851271" s="251"/>
      <c r="AB851271" s="251"/>
      <c r="AE851271" s="251"/>
      <c r="AH851271" s="251"/>
      <c r="AK851271" s="251"/>
    </row>
    <row r="851386" spans="25:37" x14ac:dyDescent="0.2">
      <c r="Y851386" s="5"/>
      <c r="AB851386" s="5"/>
      <c r="AE851386" s="5"/>
      <c r="AH851386" s="5"/>
      <c r="AK851386" s="5"/>
    </row>
    <row r="851396" spans="25:37" x14ac:dyDescent="0.2">
      <c r="Y851396" s="251"/>
      <c r="AB851396" s="251"/>
      <c r="AE851396" s="251"/>
      <c r="AH851396" s="251"/>
      <c r="AK851396" s="251"/>
    </row>
    <row r="851511" spans="25:37" x14ac:dyDescent="0.2">
      <c r="Y851511" s="5"/>
      <c r="AB851511" s="5"/>
      <c r="AE851511" s="5"/>
      <c r="AH851511" s="5"/>
      <c r="AK851511" s="5"/>
    </row>
    <row r="851521" spans="25:37" x14ac:dyDescent="0.2">
      <c r="Y851521" s="251"/>
      <c r="AB851521" s="251"/>
      <c r="AE851521" s="251"/>
      <c r="AH851521" s="251"/>
      <c r="AK851521" s="251"/>
    </row>
    <row r="851636" spans="25:37" x14ac:dyDescent="0.2">
      <c r="Y851636" s="5"/>
      <c r="AB851636" s="5"/>
      <c r="AE851636" s="5"/>
      <c r="AH851636" s="5"/>
      <c r="AK851636" s="5"/>
    </row>
    <row r="851646" spans="25:37" x14ac:dyDescent="0.2">
      <c r="Y851646" s="251"/>
      <c r="AB851646" s="251"/>
      <c r="AE851646" s="251"/>
      <c r="AH851646" s="251"/>
      <c r="AK851646" s="251"/>
    </row>
    <row r="851761" spans="25:37" x14ac:dyDescent="0.2">
      <c r="Y851761" s="5"/>
      <c r="AB851761" s="5"/>
      <c r="AE851761" s="5"/>
      <c r="AH851761" s="5"/>
      <c r="AK851761" s="5"/>
    </row>
    <row r="851771" spans="25:37" x14ac:dyDescent="0.2">
      <c r="Y851771" s="251"/>
      <c r="AB851771" s="251"/>
      <c r="AE851771" s="251"/>
      <c r="AH851771" s="251"/>
      <c r="AK851771" s="251"/>
    </row>
    <row r="851886" spans="25:37" x14ac:dyDescent="0.2">
      <c r="Y851886" s="5"/>
      <c r="AB851886" s="5"/>
      <c r="AE851886" s="5"/>
      <c r="AH851886" s="5"/>
      <c r="AK851886" s="5"/>
    </row>
    <row r="851896" spans="25:37" x14ac:dyDescent="0.2">
      <c r="Y851896" s="251"/>
      <c r="AB851896" s="251"/>
      <c r="AE851896" s="251"/>
      <c r="AH851896" s="251"/>
      <c r="AK851896" s="251"/>
    </row>
    <row r="852011" spans="25:37" x14ac:dyDescent="0.2">
      <c r="Y852011" s="5"/>
      <c r="AB852011" s="5"/>
      <c r="AE852011" s="5"/>
      <c r="AH852011" s="5"/>
      <c r="AK852011" s="5"/>
    </row>
    <row r="852021" spans="25:37" x14ac:dyDescent="0.2">
      <c r="Y852021" s="251"/>
      <c r="AB852021" s="251"/>
      <c r="AE852021" s="251"/>
      <c r="AH852021" s="251"/>
      <c r="AK852021" s="251"/>
    </row>
    <row r="852136" spans="25:37" x14ac:dyDescent="0.2">
      <c r="Y852136" s="5"/>
      <c r="AB852136" s="5"/>
      <c r="AE852136" s="5"/>
      <c r="AH852136" s="5"/>
      <c r="AK852136" s="5"/>
    </row>
    <row r="852146" spans="25:37" x14ac:dyDescent="0.2">
      <c r="Y852146" s="251"/>
      <c r="AB852146" s="251"/>
      <c r="AE852146" s="251"/>
      <c r="AH852146" s="251"/>
      <c r="AK852146" s="251"/>
    </row>
    <row r="852261" spans="25:37" x14ac:dyDescent="0.2">
      <c r="Y852261" s="5"/>
      <c r="AB852261" s="5"/>
      <c r="AE852261" s="5"/>
      <c r="AH852261" s="5"/>
      <c r="AK852261" s="5"/>
    </row>
    <row r="852271" spans="25:37" x14ac:dyDescent="0.2">
      <c r="Y852271" s="251"/>
      <c r="AB852271" s="251"/>
      <c r="AE852271" s="251"/>
      <c r="AH852271" s="251"/>
      <c r="AK852271" s="251"/>
    </row>
    <row r="852386" spans="25:37" x14ac:dyDescent="0.2">
      <c r="Y852386" s="5"/>
      <c r="AB852386" s="5"/>
      <c r="AE852386" s="5"/>
      <c r="AH852386" s="5"/>
      <c r="AK852386" s="5"/>
    </row>
    <row r="852396" spans="25:37" x14ac:dyDescent="0.2">
      <c r="Y852396" s="251"/>
      <c r="AB852396" s="251"/>
      <c r="AE852396" s="251"/>
      <c r="AH852396" s="251"/>
      <c r="AK852396" s="251"/>
    </row>
    <row r="852511" spans="25:37" x14ac:dyDescent="0.2">
      <c r="Y852511" s="5"/>
      <c r="AB852511" s="5"/>
      <c r="AE852511" s="5"/>
      <c r="AH852511" s="5"/>
      <c r="AK852511" s="5"/>
    </row>
    <row r="852521" spans="25:37" x14ac:dyDescent="0.2">
      <c r="Y852521" s="251"/>
      <c r="AB852521" s="251"/>
      <c r="AE852521" s="251"/>
      <c r="AH852521" s="251"/>
      <c r="AK852521" s="251"/>
    </row>
    <row r="852636" spans="25:37" x14ac:dyDescent="0.2">
      <c r="Y852636" s="5"/>
      <c r="AB852636" s="5"/>
      <c r="AE852636" s="5"/>
      <c r="AH852636" s="5"/>
      <c r="AK852636" s="5"/>
    </row>
    <row r="852646" spans="25:37" x14ac:dyDescent="0.2">
      <c r="Y852646" s="251"/>
      <c r="AB852646" s="251"/>
      <c r="AE852646" s="251"/>
      <c r="AH852646" s="251"/>
      <c r="AK852646" s="251"/>
    </row>
    <row r="852761" spans="25:37" x14ac:dyDescent="0.2">
      <c r="Y852761" s="5"/>
      <c r="AB852761" s="5"/>
      <c r="AE852761" s="5"/>
      <c r="AH852761" s="5"/>
      <c r="AK852761" s="5"/>
    </row>
    <row r="852771" spans="25:37" x14ac:dyDescent="0.2">
      <c r="Y852771" s="251"/>
      <c r="AB852771" s="251"/>
      <c r="AE852771" s="251"/>
      <c r="AH852771" s="251"/>
      <c r="AK852771" s="251"/>
    </row>
    <row r="852886" spans="25:37" x14ac:dyDescent="0.2">
      <c r="Y852886" s="5"/>
      <c r="AB852886" s="5"/>
      <c r="AE852886" s="5"/>
      <c r="AH852886" s="5"/>
      <c r="AK852886" s="5"/>
    </row>
    <row r="852896" spans="25:37" x14ac:dyDescent="0.2">
      <c r="Y852896" s="251"/>
      <c r="AB852896" s="251"/>
      <c r="AE852896" s="251"/>
      <c r="AH852896" s="251"/>
      <c r="AK852896" s="251"/>
    </row>
    <row r="853011" spans="25:37" x14ac:dyDescent="0.2">
      <c r="Y853011" s="5"/>
      <c r="AB853011" s="5"/>
      <c r="AE853011" s="5"/>
      <c r="AH853011" s="5"/>
      <c r="AK853011" s="5"/>
    </row>
    <row r="853021" spans="25:37" x14ac:dyDescent="0.2">
      <c r="Y853021" s="251"/>
      <c r="AB853021" s="251"/>
      <c r="AE853021" s="251"/>
      <c r="AH853021" s="251"/>
      <c r="AK853021" s="251"/>
    </row>
    <row r="853136" spans="25:37" x14ac:dyDescent="0.2">
      <c r="Y853136" s="5"/>
      <c r="AB853136" s="5"/>
      <c r="AE853136" s="5"/>
      <c r="AH853136" s="5"/>
      <c r="AK853136" s="5"/>
    </row>
    <row r="853146" spans="25:37" x14ac:dyDescent="0.2">
      <c r="Y853146" s="251"/>
      <c r="AB853146" s="251"/>
      <c r="AE853146" s="251"/>
      <c r="AH853146" s="251"/>
      <c r="AK853146" s="251"/>
    </row>
    <row r="853261" spans="25:37" x14ac:dyDescent="0.2">
      <c r="Y853261" s="5"/>
      <c r="AB853261" s="5"/>
      <c r="AE853261" s="5"/>
      <c r="AH853261" s="5"/>
      <c r="AK853261" s="5"/>
    </row>
    <row r="853271" spans="25:37" x14ac:dyDescent="0.2">
      <c r="Y853271" s="251"/>
      <c r="AB853271" s="251"/>
      <c r="AE853271" s="251"/>
      <c r="AH853271" s="251"/>
      <c r="AK853271" s="251"/>
    </row>
    <row r="853386" spans="25:37" x14ac:dyDescent="0.2">
      <c r="Y853386" s="5"/>
      <c r="AB853386" s="5"/>
      <c r="AE853386" s="5"/>
      <c r="AH853386" s="5"/>
      <c r="AK853386" s="5"/>
    </row>
    <row r="853396" spans="25:37" x14ac:dyDescent="0.2">
      <c r="Y853396" s="251"/>
      <c r="AB853396" s="251"/>
      <c r="AE853396" s="251"/>
      <c r="AH853396" s="251"/>
      <c r="AK853396" s="251"/>
    </row>
    <row r="853511" spans="25:37" x14ac:dyDescent="0.2">
      <c r="Y853511" s="5"/>
      <c r="AB853511" s="5"/>
      <c r="AE853511" s="5"/>
      <c r="AH853511" s="5"/>
      <c r="AK853511" s="5"/>
    </row>
    <row r="853521" spans="25:37" x14ac:dyDescent="0.2">
      <c r="Y853521" s="251"/>
      <c r="AB853521" s="251"/>
      <c r="AE853521" s="251"/>
      <c r="AH853521" s="251"/>
      <c r="AK853521" s="251"/>
    </row>
    <row r="853636" spans="25:37" x14ac:dyDescent="0.2">
      <c r="Y853636" s="5"/>
      <c r="AB853636" s="5"/>
      <c r="AE853636" s="5"/>
      <c r="AH853636" s="5"/>
      <c r="AK853636" s="5"/>
    </row>
    <row r="853646" spans="25:37" x14ac:dyDescent="0.2">
      <c r="Y853646" s="251"/>
      <c r="AB853646" s="251"/>
      <c r="AE853646" s="251"/>
      <c r="AH853646" s="251"/>
      <c r="AK853646" s="251"/>
    </row>
    <row r="853761" spans="25:37" x14ac:dyDescent="0.2">
      <c r="Y853761" s="5"/>
      <c r="AB853761" s="5"/>
      <c r="AE853761" s="5"/>
      <c r="AH853761" s="5"/>
      <c r="AK853761" s="5"/>
    </row>
    <row r="853771" spans="25:37" x14ac:dyDescent="0.2">
      <c r="Y853771" s="251"/>
      <c r="AB853771" s="251"/>
      <c r="AE853771" s="251"/>
      <c r="AH853771" s="251"/>
      <c r="AK853771" s="251"/>
    </row>
    <row r="853886" spans="25:37" x14ac:dyDescent="0.2">
      <c r="Y853886" s="5"/>
      <c r="AB853886" s="5"/>
      <c r="AE853886" s="5"/>
      <c r="AH853886" s="5"/>
      <c r="AK853886" s="5"/>
    </row>
    <row r="853896" spans="25:37" x14ac:dyDescent="0.2">
      <c r="Y853896" s="251"/>
      <c r="AB853896" s="251"/>
      <c r="AE853896" s="251"/>
      <c r="AH853896" s="251"/>
      <c r="AK853896" s="251"/>
    </row>
    <row r="854011" spans="25:37" x14ac:dyDescent="0.2">
      <c r="Y854011" s="5"/>
      <c r="AB854011" s="5"/>
      <c r="AE854011" s="5"/>
      <c r="AH854011" s="5"/>
      <c r="AK854011" s="5"/>
    </row>
    <row r="854021" spans="25:37" x14ac:dyDescent="0.2">
      <c r="Y854021" s="251"/>
      <c r="AB854021" s="251"/>
      <c r="AE854021" s="251"/>
      <c r="AH854021" s="251"/>
      <c r="AK854021" s="251"/>
    </row>
    <row r="854136" spans="25:37" x14ac:dyDescent="0.2">
      <c r="Y854136" s="5"/>
      <c r="AB854136" s="5"/>
      <c r="AE854136" s="5"/>
      <c r="AH854136" s="5"/>
      <c r="AK854136" s="5"/>
    </row>
    <row r="854146" spans="25:37" x14ac:dyDescent="0.2">
      <c r="Y854146" s="251"/>
      <c r="AB854146" s="251"/>
      <c r="AE854146" s="251"/>
      <c r="AH854146" s="251"/>
      <c r="AK854146" s="251"/>
    </row>
    <row r="854261" spans="25:37" x14ac:dyDescent="0.2">
      <c r="Y854261" s="5"/>
      <c r="AB854261" s="5"/>
      <c r="AE854261" s="5"/>
      <c r="AH854261" s="5"/>
      <c r="AK854261" s="5"/>
    </row>
    <row r="854271" spans="25:37" x14ac:dyDescent="0.2">
      <c r="Y854271" s="251"/>
      <c r="AB854271" s="251"/>
      <c r="AE854271" s="251"/>
      <c r="AH854271" s="251"/>
      <c r="AK854271" s="251"/>
    </row>
    <row r="854386" spans="25:37" x14ac:dyDescent="0.2">
      <c r="Y854386" s="5"/>
      <c r="AB854386" s="5"/>
      <c r="AE854386" s="5"/>
      <c r="AH854386" s="5"/>
      <c r="AK854386" s="5"/>
    </row>
    <row r="854396" spans="25:37" x14ac:dyDescent="0.2">
      <c r="Y854396" s="251"/>
      <c r="AB854396" s="251"/>
      <c r="AE854396" s="251"/>
      <c r="AH854396" s="251"/>
      <c r="AK854396" s="251"/>
    </row>
    <row r="854511" spans="25:37" x14ac:dyDescent="0.2">
      <c r="Y854511" s="5"/>
      <c r="AB854511" s="5"/>
      <c r="AE854511" s="5"/>
      <c r="AH854511" s="5"/>
      <c r="AK854511" s="5"/>
    </row>
    <row r="854521" spans="25:37" x14ac:dyDescent="0.2">
      <c r="Y854521" s="251"/>
      <c r="AB854521" s="251"/>
      <c r="AE854521" s="251"/>
      <c r="AH854521" s="251"/>
      <c r="AK854521" s="251"/>
    </row>
    <row r="854636" spans="25:37" x14ac:dyDescent="0.2">
      <c r="Y854636" s="5"/>
      <c r="AB854636" s="5"/>
      <c r="AE854636" s="5"/>
      <c r="AH854636" s="5"/>
      <c r="AK854636" s="5"/>
    </row>
    <row r="854646" spans="25:37" x14ac:dyDescent="0.2">
      <c r="Y854646" s="251"/>
      <c r="AB854646" s="251"/>
      <c r="AE854646" s="251"/>
      <c r="AH854646" s="251"/>
      <c r="AK854646" s="251"/>
    </row>
    <row r="854761" spans="25:37" x14ac:dyDescent="0.2">
      <c r="Y854761" s="5"/>
      <c r="AB854761" s="5"/>
      <c r="AE854761" s="5"/>
      <c r="AH854761" s="5"/>
      <c r="AK854761" s="5"/>
    </row>
    <row r="854771" spans="25:37" x14ac:dyDescent="0.2">
      <c r="Y854771" s="251"/>
      <c r="AB854771" s="251"/>
      <c r="AE854771" s="251"/>
      <c r="AH854771" s="251"/>
      <c r="AK854771" s="251"/>
    </row>
    <row r="854886" spans="25:37" x14ac:dyDescent="0.2">
      <c r="Y854886" s="5"/>
      <c r="AB854886" s="5"/>
      <c r="AE854886" s="5"/>
      <c r="AH854886" s="5"/>
      <c r="AK854886" s="5"/>
    </row>
    <row r="854896" spans="25:37" x14ac:dyDescent="0.2">
      <c r="Y854896" s="251"/>
      <c r="AB854896" s="251"/>
      <c r="AE854896" s="251"/>
      <c r="AH854896" s="251"/>
      <c r="AK854896" s="251"/>
    </row>
    <row r="855011" spans="25:37" x14ac:dyDescent="0.2">
      <c r="Y855011" s="5"/>
      <c r="AB855011" s="5"/>
      <c r="AE855011" s="5"/>
      <c r="AH855011" s="5"/>
      <c r="AK855011" s="5"/>
    </row>
    <row r="855021" spans="25:37" x14ac:dyDescent="0.2">
      <c r="Y855021" s="251"/>
      <c r="AB855021" s="251"/>
      <c r="AE855021" s="251"/>
      <c r="AH855021" s="251"/>
      <c r="AK855021" s="251"/>
    </row>
    <row r="855136" spans="25:37" x14ac:dyDescent="0.2">
      <c r="Y855136" s="5"/>
      <c r="AB855136" s="5"/>
      <c r="AE855136" s="5"/>
      <c r="AH855136" s="5"/>
      <c r="AK855136" s="5"/>
    </row>
    <row r="855146" spans="25:37" x14ac:dyDescent="0.2">
      <c r="Y855146" s="251"/>
      <c r="AB855146" s="251"/>
      <c r="AE855146" s="251"/>
      <c r="AH855146" s="251"/>
      <c r="AK855146" s="251"/>
    </row>
    <row r="855261" spans="25:37" x14ac:dyDescent="0.2">
      <c r="Y855261" s="5"/>
      <c r="AB855261" s="5"/>
      <c r="AE855261" s="5"/>
      <c r="AH855261" s="5"/>
      <c r="AK855261" s="5"/>
    </row>
    <row r="855271" spans="25:37" x14ac:dyDescent="0.2">
      <c r="Y855271" s="251"/>
      <c r="AB855271" s="251"/>
      <c r="AE855271" s="251"/>
      <c r="AH855271" s="251"/>
      <c r="AK855271" s="251"/>
    </row>
    <row r="855386" spans="25:37" x14ac:dyDescent="0.2">
      <c r="Y855386" s="5"/>
      <c r="AB855386" s="5"/>
      <c r="AE855386" s="5"/>
      <c r="AH855386" s="5"/>
      <c r="AK855386" s="5"/>
    </row>
    <row r="855396" spans="25:37" x14ac:dyDescent="0.2">
      <c r="Y855396" s="251"/>
      <c r="AB855396" s="251"/>
      <c r="AE855396" s="251"/>
      <c r="AH855396" s="251"/>
      <c r="AK855396" s="251"/>
    </row>
    <row r="855511" spans="25:37" x14ac:dyDescent="0.2">
      <c r="Y855511" s="5"/>
      <c r="AB855511" s="5"/>
      <c r="AE855511" s="5"/>
      <c r="AH855511" s="5"/>
      <c r="AK855511" s="5"/>
    </row>
    <row r="855521" spans="25:37" x14ac:dyDescent="0.2">
      <c r="Y855521" s="251"/>
      <c r="AB855521" s="251"/>
      <c r="AE855521" s="251"/>
      <c r="AH855521" s="251"/>
      <c r="AK855521" s="251"/>
    </row>
    <row r="855636" spans="25:37" x14ac:dyDescent="0.2">
      <c r="Y855636" s="5"/>
      <c r="AB855636" s="5"/>
      <c r="AE855636" s="5"/>
      <c r="AH855636" s="5"/>
      <c r="AK855636" s="5"/>
    </row>
    <row r="855646" spans="25:37" x14ac:dyDescent="0.2">
      <c r="Y855646" s="251"/>
      <c r="AB855646" s="251"/>
      <c r="AE855646" s="251"/>
      <c r="AH855646" s="251"/>
      <c r="AK855646" s="251"/>
    </row>
    <row r="855761" spans="25:37" x14ac:dyDescent="0.2">
      <c r="Y855761" s="5"/>
      <c r="AB855761" s="5"/>
      <c r="AE855761" s="5"/>
      <c r="AH855761" s="5"/>
      <c r="AK855761" s="5"/>
    </row>
    <row r="855771" spans="25:37" x14ac:dyDescent="0.2">
      <c r="Y855771" s="251"/>
      <c r="AB855771" s="251"/>
      <c r="AE855771" s="251"/>
      <c r="AH855771" s="251"/>
      <c r="AK855771" s="251"/>
    </row>
    <row r="855886" spans="25:37" x14ac:dyDescent="0.2">
      <c r="Y855886" s="5"/>
      <c r="AB855886" s="5"/>
      <c r="AE855886" s="5"/>
      <c r="AH855886" s="5"/>
      <c r="AK855886" s="5"/>
    </row>
    <row r="855896" spans="25:37" x14ac:dyDescent="0.2">
      <c r="Y855896" s="251"/>
      <c r="AB855896" s="251"/>
      <c r="AE855896" s="251"/>
      <c r="AH855896" s="251"/>
      <c r="AK855896" s="251"/>
    </row>
    <row r="856011" spans="25:37" x14ac:dyDescent="0.2">
      <c r="Y856011" s="5"/>
      <c r="AB856011" s="5"/>
      <c r="AE856011" s="5"/>
      <c r="AH856011" s="5"/>
      <c r="AK856011" s="5"/>
    </row>
    <row r="856021" spans="25:37" x14ac:dyDescent="0.2">
      <c r="Y856021" s="251"/>
      <c r="AB856021" s="251"/>
      <c r="AE856021" s="251"/>
      <c r="AH856021" s="251"/>
      <c r="AK856021" s="251"/>
    </row>
    <row r="856136" spans="25:37" x14ac:dyDescent="0.2">
      <c r="Y856136" s="5"/>
      <c r="AB856136" s="5"/>
      <c r="AE856136" s="5"/>
      <c r="AH856136" s="5"/>
      <c r="AK856136" s="5"/>
    </row>
    <row r="856146" spans="25:37" x14ac:dyDescent="0.2">
      <c r="Y856146" s="251"/>
      <c r="AB856146" s="251"/>
      <c r="AE856146" s="251"/>
      <c r="AH856146" s="251"/>
      <c r="AK856146" s="251"/>
    </row>
    <row r="856261" spans="25:37" x14ac:dyDescent="0.2">
      <c r="Y856261" s="5"/>
      <c r="AB856261" s="5"/>
      <c r="AE856261" s="5"/>
      <c r="AH856261" s="5"/>
      <c r="AK856261" s="5"/>
    </row>
    <row r="856271" spans="25:37" x14ac:dyDescent="0.2">
      <c r="Y856271" s="251"/>
      <c r="AB856271" s="251"/>
      <c r="AE856271" s="251"/>
      <c r="AH856271" s="251"/>
      <c r="AK856271" s="251"/>
    </row>
    <row r="856386" spans="25:37" x14ac:dyDescent="0.2">
      <c r="Y856386" s="5"/>
      <c r="AB856386" s="5"/>
      <c r="AE856386" s="5"/>
      <c r="AH856386" s="5"/>
      <c r="AK856386" s="5"/>
    </row>
    <row r="856396" spans="25:37" x14ac:dyDescent="0.2">
      <c r="Y856396" s="251"/>
      <c r="AB856396" s="251"/>
      <c r="AE856396" s="251"/>
      <c r="AH856396" s="251"/>
      <c r="AK856396" s="251"/>
    </row>
    <row r="856511" spans="25:37" x14ac:dyDescent="0.2">
      <c r="Y856511" s="5"/>
      <c r="AB856511" s="5"/>
      <c r="AE856511" s="5"/>
      <c r="AH856511" s="5"/>
      <c r="AK856511" s="5"/>
    </row>
    <row r="856521" spans="25:37" x14ac:dyDescent="0.2">
      <c r="Y856521" s="251"/>
      <c r="AB856521" s="251"/>
      <c r="AE856521" s="251"/>
      <c r="AH856521" s="251"/>
      <c r="AK856521" s="251"/>
    </row>
    <row r="856636" spans="25:37" x14ac:dyDescent="0.2">
      <c r="Y856636" s="5"/>
      <c r="AB856636" s="5"/>
      <c r="AE856636" s="5"/>
      <c r="AH856636" s="5"/>
      <c r="AK856636" s="5"/>
    </row>
    <row r="856646" spans="25:37" x14ac:dyDescent="0.2">
      <c r="Y856646" s="251"/>
      <c r="AB856646" s="251"/>
      <c r="AE856646" s="251"/>
      <c r="AH856646" s="251"/>
      <c r="AK856646" s="251"/>
    </row>
    <row r="856761" spans="25:37" x14ac:dyDescent="0.2">
      <c r="Y856761" s="5"/>
      <c r="AB856761" s="5"/>
      <c r="AE856761" s="5"/>
      <c r="AH856761" s="5"/>
      <c r="AK856761" s="5"/>
    </row>
    <row r="856771" spans="25:37" x14ac:dyDescent="0.2">
      <c r="Y856771" s="251"/>
      <c r="AB856771" s="251"/>
      <c r="AE856771" s="251"/>
      <c r="AH856771" s="251"/>
      <c r="AK856771" s="251"/>
    </row>
    <row r="856886" spans="25:37" x14ac:dyDescent="0.2">
      <c r="Y856886" s="5"/>
      <c r="AB856886" s="5"/>
      <c r="AE856886" s="5"/>
      <c r="AH856886" s="5"/>
      <c r="AK856886" s="5"/>
    </row>
    <row r="856896" spans="25:37" x14ac:dyDescent="0.2">
      <c r="Y856896" s="251"/>
      <c r="AB856896" s="251"/>
      <c r="AE856896" s="251"/>
      <c r="AH856896" s="251"/>
      <c r="AK856896" s="251"/>
    </row>
    <row r="857011" spans="25:37" x14ac:dyDescent="0.2">
      <c r="Y857011" s="5"/>
      <c r="AB857011" s="5"/>
      <c r="AE857011" s="5"/>
      <c r="AH857011" s="5"/>
      <c r="AK857011" s="5"/>
    </row>
    <row r="857021" spans="25:37" x14ac:dyDescent="0.2">
      <c r="Y857021" s="251"/>
      <c r="AB857021" s="251"/>
      <c r="AE857021" s="251"/>
      <c r="AH857021" s="251"/>
      <c r="AK857021" s="251"/>
    </row>
    <row r="857136" spans="25:37" x14ac:dyDescent="0.2">
      <c r="Y857136" s="5"/>
      <c r="AB857136" s="5"/>
      <c r="AE857136" s="5"/>
      <c r="AH857136" s="5"/>
      <c r="AK857136" s="5"/>
    </row>
    <row r="857146" spans="25:37" x14ac:dyDescent="0.2">
      <c r="Y857146" s="251"/>
      <c r="AB857146" s="251"/>
      <c r="AE857146" s="251"/>
      <c r="AH857146" s="251"/>
      <c r="AK857146" s="251"/>
    </row>
    <row r="857261" spans="25:37" x14ac:dyDescent="0.2">
      <c r="Y857261" s="5"/>
      <c r="AB857261" s="5"/>
      <c r="AE857261" s="5"/>
      <c r="AH857261" s="5"/>
      <c r="AK857261" s="5"/>
    </row>
    <row r="857271" spans="25:37" x14ac:dyDescent="0.2">
      <c r="Y857271" s="251"/>
      <c r="AB857271" s="251"/>
      <c r="AE857271" s="251"/>
      <c r="AH857271" s="251"/>
      <c r="AK857271" s="251"/>
    </row>
    <row r="857386" spans="25:37" x14ac:dyDescent="0.2">
      <c r="Y857386" s="5"/>
      <c r="AB857386" s="5"/>
      <c r="AE857386" s="5"/>
      <c r="AH857386" s="5"/>
      <c r="AK857386" s="5"/>
    </row>
    <row r="857396" spans="25:37" x14ac:dyDescent="0.2">
      <c r="Y857396" s="251"/>
      <c r="AB857396" s="251"/>
      <c r="AE857396" s="251"/>
      <c r="AH857396" s="251"/>
      <c r="AK857396" s="251"/>
    </row>
    <row r="857511" spans="25:37" x14ac:dyDescent="0.2">
      <c r="Y857511" s="5"/>
      <c r="AB857511" s="5"/>
      <c r="AE857511" s="5"/>
      <c r="AH857511" s="5"/>
      <c r="AK857511" s="5"/>
    </row>
    <row r="857521" spans="25:37" x14ac:dyDescent="0.2">
      <c r="Y857521" s="251"/>
      <c r="AB857521" s="251"/>
      <c r="AE857521" s="251"/>
      <c r="AH857521" s="251"/>
      <c r="AK857521" s="251"/>
    </row>
    <row r="857636" spans="25:37" x14ac:dyDescent="0.2">
      <c r="Y857636" s="5"/>
      <c r="AB857636" s="5"/>
      <c r="AE857636" s="5"/>
      <c r="AH857636" s="5"/>
      <c r="AK857636" s="5"/>
    </row>
    <row r="857646" spans="25:37" x14ac:dyDescent="0.2">
      <c r="Y857646" s="251"/>
      <c r="AB857646" s="251"/>
      <c r="AE857646" s="251"/>
      <c r="AH857646" s="251"/>
      <c r="AK857646" s="251"/>
    </row>
    <row r="857761" spans="25:37" x14ac:dyDescent="0.2">
      <c r="Y857761" s="5"/>
      <c r="AB857761" s="5"/>
      <c r="AE857761" s="5"/>
      <c r="AH857761" s="5"/>
      <c r="AK857761" s="5"/>
    </row>
    <row r="857771" spans="25:37" x14ac:dyDescent="0.2">
      <c r="Y857771" s="251"/>
      <c r="AB857771" s="251"/>
      <c r="AE857771" s="251"/>
      <c r="AH857771" s="251"/>
      <c r="AK857771" s="251"/>
    </row>
    <row r="857886" spans="25:37" x14ac:dyDescent="0.2">
      <c r="Y857886" s="5"/>
      <c r="AB857886" s="5"/>
      <c r="AE857886" s="5"/>
      <c r="AH857886" s="5"/>
      <c r="AK857886" s="5"/>
    </row>
    <row r="857896" spans="25:37" x14ac:dyDescent="0.2">
      <c r="Y857896" s="251"/>
      <c r="AB857896" s="251"/>
      <c r="AE857896" s="251"/>
      <c r="AH857896" s="251"/>
      <c r="AK857896" s="251"/>
    </row>
    <row r="858011" spans="25:37" x14ac:dyDescent="0.2">
      <c r="Y858011" s="5"/>
      <c r="AB858011" s="5"/>
      <c r="AE858011" s="5"/>
      <c r="AH858011" s="5"/>
      <c r="AK858011" s="5"/>
    </row>
    <row r="858021" spans="25:37" x14ac:dyDescent="0.2">
      <c r="Y858021" s="251"/>
      <c r="AB858021" s="251"/>
      <c r="AE858021" s="251"/>
      <c r="AH858021" s="251"/>
      <c r="AK858021" s="251"/>
    </row>
    <row r="858136" spans="25:37" x14ac:dyDescent="0.2">
      <c r="Y858136" s="5"/>
      <c r="AB858136" s="5"/>
      <c r="AE858136" s="5"/>
      <c r="AH858136" s="5"/>
      <c r="AK858136" s="5"/>
    </row>
    <row r="858146" spans="25:37" x14ac:dyDescent="0.2">
      <c r="Y858146" s="251"/>
      <c r="AB858146" s="251"/>
      <c r="AE858146" s="251"/>
      <c r="AH858146" s="251"/>
      <c r="AK858146" s="251"/>
    </row>
    <row r="858261" spans="25:37" x14ac:dyDescent="0.2">
      <c r="Y858261" s="5"/>
      <c r="AB858261" s="5"/>
      <c r="AE858261" s="5"/>
      <c r="AH858261" s="5"/>
      <c r="AK858261" s="5"/>
    </row>
    <row r="858271" spans="25:37" x14ac:dyDescent="0.2">
      <c r="Y858271" s="251"/>
      <c r="AB858271" s="251"/>
      <c r="AE858271" s="251"/>
      <c r="AH858271" s="251"/>
      <c r="AK858271" s="251"/>
    </row>
    <row r="858386" spans="25:37" x14ac:dyDescent="0.2">
      <c r="Y858386" s="5"/>
      <c r="AB858386" s="5"/>
      <c r="AE858386" s="5"/>
      <c r="AH858386" s="5"/>
      <c r="AK858386" s="5"/>
    </row>
    <row r="858396" spans="25:37" x14ac:dyDescent="0.2">
      <c r="Y858396" s="251"/>
      <c r="AB858396" s="251"/>
      <c r="AE858396" s="251"/>
      <c r="AH858396" s="251"/>
      <c r="AK858396" s="251"/>
    </row>
    <row r="858511" spans="25:37" x14ac:dyDescent="0.2">
      <c r="Y858511" s="5"/>
      <c r="AB858511" s="5"/>
      <c r="AE858511" s="5"/>
      <c r="AH858511" s="5"/>
      <c r="AK858511" s="5"/>
    </row>
    <row r="858521" spans="25:37" x14ac:dyDescent="0.2">
      <c r="Y858521" s="251"/>
      <c r="AB858521" s="251"/>
      <c r="AE858521" s="251"/>
      <c r="AH858521" s="251"/>
      <c r="AK858521" s="251"/>
    </row>
    <row r="858636" spans="25:37" x14ac:dyDescent="0.2">
      <c r="Y858636" s="5"/>
      <c r="AB858636" s="5"/>
      <c r="AE858636" s="5"/>
      <c r="AH858636" s="5"/>
      <c r="AK858636" s="5"/>
    </row>
    <row r="858646" spans="25:37" x14ac:dyDescent="0.2">
      <c r="Y858646" s="251"/>
      <c r="AB858646" s="251"/>
      <c r="AE858646" s="251"/>
      <c r="AH858646" s="251"/>
      <c r="AK858646" s="251"/>
    </row>
    <row r="858761" spans="25:37" x14ac:dyDescent="0.2">
      <c r="Y858761" s="5"/>
      <c r="AB858761" s="5"/>
      <c r="AE858761" s="5"/>
      <c r="AH858761" s="5"/>
      <c r="AK858761" s="5"/>
    </row>
    <row r="858771" spans="25:37" x14ac:dyDescent="0.2">
      <c r="Y858771" s="251"/>
      <c r="AB858771" s="251"/>
      <c r="AE858771" s="251"/>
      <c r="AH858771" s="251"/>
      <c r="AK858771" s="251"/>
    </row>
    <row r="858886" spans="25:37" x14ac:dyDescent="0.2">
      <c r="Y858886" s="5"/>
      <c r="AB858886" s="5"/>
      <c r="AE858886" s="5"/>
      <c r="AH858886" s="5"/>
      <c r="AK858886" s="5"/>
    </row>
    <row r="858896" spans="25:37" x14ac:dyDescent="0.2">
      <c r="Y858896" s="251"/>
      <c r="AB858896" s="251"/>
      <c r="AE858896" s="251"/>
      <c r="AH858896" s="251"/>
      <c r="AK858896" s="251"/>
    </row>
    <row r="859011" spans="25:37" x14ac:dyDescent="0.2">
      <c r="Y859011" s="5"/>
      <c r="AB859011" s="5"/>
      <c r="AE859011" s="5"/>
      <c r="AH859011" s="5"/>
      <c r="AK859011" s="5"/>
    </row>
    <row r="859021" spans="25:37" x14ac:dyDescent="0.2">
      <c r="Y859021" s="251"/>
      <c r="AB859021" s="251"/>
      <c r="AE859021" s="251"/>
      <c r="AH859021" s="251"/>
      <c r="AK859021" s="251"/>
    </row>
    <row r="859136" spans="25:37" x14ac:dyDescent="0.2">
      <c r="Y859136" s="5"/>
      <c r="AB859136" s="5"/>
      <c r="AE859136" s="5"/>
      <c r="AH859136" s="5"/>
      <c r="AK859136" s="5"/>
    </row>
    <row r="859146" spans="25:37" x14ac:dyDescent="0.2">
      <c r="Y859146" s="251"/>
      <c r="AB859146" s="251"/>
      <c r="AE859146" s="251"/>
      <c r="AH859146" s="251"/>
      <c r="AK859146" s="251"/>
    </row>
    <row r="859261" spans="25:37" x14ac:dyDescent="0.2">
      <c r="Y859261" s="5"/>
      <c r="AB859261" s="5"/>
      <c r="AE859261" s="5"/>
      <c r="AH859261" s="5"/>
      <c r="AK859261" s="5"/>
    </row>
    <row r="859271" spans="25:37" x14ac:dyDescent="0.2">
      <c r="Y859271" s="251"/>
      <c r="AB859271" s="251"/>
      <c r="AE859271" s="251"/>
      <c r="AH859271" s="251"/>
      <c r="AK859271" s="251"/>
    </row>
    <row r="859386" spans="25:37" x14ac:dyDescent="0.2">
      <c r="Y859386" s="5"/>
      <c r="AB859386" s="5"/>
      <c r="AE859386" s="5"/>
      <c r="AH859386" s="5"/>
      <c r="AK859386" s="5"/>
    </row>
    <row r="859396" spans="25:37" x14ac:dyDescent="0.2">
      <c r="Y859396" s="251"/>
      <c r="AB859396" s="251"/>
      <c r="AE859396" s="251"/>
      <c r="AH859396" s="251"/>
      <c r="AK859396" s="251"/>
    </row>
    <row r="859511" spans="25:37" x14ac:dyDescent="0.2">
      <c r="Y859511" s="5"/>
      <c r="AB859511" s="5"/>
      <c r="AE859511" s="5"/>
      <c r="AH859511" s="5"/>
      <c r="AK859511" s="5"/>
    </row>
    <row r="859521" spans="25:37" x14ac:dyDescent="0.2">
      <c r="Y859521" s="251"/>
      <c r="AB859521" s="251"/>
      <c r="AE859521" s="251"/>
      <c r="AH859521" s="251"/>
      <c r="AK859521" s="251"/>
    </row>
    <row r="859636" spans="25:37" x14ac:dyDescent="0.2">
      <c r="Y859636" s="5"/>
      <c r="AB859636" s="5"/>
      <c r="AE859636" s="5"/>
      <c r="AH859636" s="5"/>
      <c r="AK859636" s="5"/>
    </row>
    <row r="859646" spans="25:37" x14ac:dyDescent="0.2">
      <c r="Y859646" s="251"/>
      <c r="AB859646" s="251"/>
      <c r="AE859646" s="251"/>
      <c r="AH859646" s="251"/>
      <c r="AK859646" s="251"/>
    </row>
    <row r="859761" spans="25:37" x14ac:dyDescent="0.2">
      <c r="Y859761" s="5"/>
      <c r="AB859761" s="5"/>
      <c r="AE859761" s="5"/>
      <c r="AH859761" s="5"/>
      <c r="AK859761" s="5"/>
    </row>
    <row r="859771" spans="25:37" x14ac:dyDescent="0.2">
      <c r="Y859771" s="251"/>
      <c r="AB859771" s="251"/>
      <c r="AE859771" s="251"/>
      <c r="AH859771" s="251"/>
      <c r="AK859771" s="251"/>
    </row>
    <row r="859886" spans="25:37" x14ac:dyDescent="0.2">
      <c r="Y859886" s="5"/>
      <c r="AB859886" s="5"/>
      <c r="AE859886" s="5"/>
      <c r="AH859886" s="5"/>
      <c r="AK859886" s="5"/>
    </row>
    <row r="859896" spans="25:37" x14ac:dyDescent="0.2">
      <c r="Y859896" s="251"/>
      <c r="AB859896" s="251"/>
      <c r="AE859896" s="251"/>
      <c r="AH859896" s="251"/>
      <c r="AK859896" s="251"/>
    </row>
    <row r="860011" spans="25:37" x14ac:dyDescent="0.2">
      <c r="Y860011" s="5"/>
      <c r="AB860011" s="5"/>
      <c r="AE860011" s="5"/>
      <c r="AH860011" s="5"/>
      <c r="AK860011" s="5"/>
    </row>
    <row r="860021" spans="25:37" x14ac:dyDescent="0.2">
      <c r="Y860021" s="251"/>
      <c r="AB860021" s="251"/>
      <c r="AE860021" s="251"/>
      <c r="AH860021" s="251"/>
      <c r="AK860021" s="251"/>
    </row>
    <row r="860136" spans="25:37" x14ac:dyDescent="0.2">
      <c r="Y860136" s="5"/>
      <c r="AB860136" s="5"/>
      <c r="AE860136" s="5"/>
      <c r="AH860136" s="5"/>
      <c r="AK860136" s="5"/>
    </row>
    <row r="860146" spans="25:37" x14ac:dyDescent="0.2">
      <c r="Y860146" s="251"/>
      <c r="AB860146" s="251"/>
      <c r="AE860146" s="251"/>
      <c r="AH860146" s="251"/>
      <c r="AK860146" s="251"/>
    </row>
    <row r="860261" spans="25:37" x14ac:dyDescent="0.2">
      <c r="Y860261" s="5"/>
      <c r="AB860261" s="5"/>
      <c r="AE860261" s="5"/>
      <c r="AH860261" s="5"/>
      <c r="AK860261" s="5"/>
    </row>
    <row r="860271" spans="25:37" x14ac:dyDescent="0.2">
      <c r="Y860271" s="251"/>
      <c r="AB860271" s="251"/>
      <c r="AE860271" s="251"/>
      <c r="AH860271" s="251"/>
      <c r="AK860271" s="251"/>
    </row>
    <row r="860386" spans="25:37" x14ac:dyDescent="0.2">
      <c r="Y860386" s="5"/>
      <c r="AB860386" s="5"/>
      <c r="AE860386" s="5"/>
      <c r="AH860386" s="5"/>
      <c r="AK860386" s="5"/>
    </row>
    <row r="860396" spans="25:37" x14ac:dyDescent="0.2">
      <c r="Y860396" s="251"/>
      <c r="AB860396" s="251"/>
      <c r="AE860396" s="251"/>
      <c r="AH860396" s="251"/>
      <c r="AK860396" s="251"/>
    </row>
    <row r="860511" spans="25:37" x14ac:dyDescent="0.2">
      <c r="Y860511" s="5"/>
      <c r="AB860511" s="5"/>
      <c r="AE860511" s="5"/>
      <c r="AH860511" s="5"/>
      <c r="AK860511" s="5"/>
    </row>
    <row r="860521" spans="25:37" x14ac:dyDescent="0.2">
      <c r="Y860521" s="251"/>
      <c r="AB860521" s="251"/>
      <c r="AE860521" s="251"/>
      <c r="AH860521" s="251"/>
      <c r="AK860521" s="251"/>
    </row>
    <row r="860636" spans="25:37" x14ac:dyDescent="0.2">
      <c r="Y860636" s="5"/>
      <c r="AB860636" s="5"/>
      <c r="AE860636" s="5"/>
      <c r="AH860636" s="5"/>
      <c r="AK860636" s="5"/>
    </row>
    <row r="860646" spans="25:37" x14ac:dyDescent="0.2">
      <c r="Y860646" s="251"/>
      <c r="AB860646" s="251"/>
      <c r="AE860646" s="251"/>
      <c r="AH860646" s="251"/>
      <c r="AK860646" s="251"/>
    </row>
    <row r="860761" spans="25:37" x14ac:dyDescent="0.2">
      <c r="Y860761" s="5"/>
      <c r="AB860761" s="5"/>
      <c r="AE860761" s="5"/>
      <c r="AH860761" s="5"/>
      <c r="AK860761" s="5"/>
    </row>
    <row r="860771" spans="25:37" x14ac:dyDescent="0.2">
      <c r="Y860771" s="251"/>
      <c r="AB860771" s="251"/>
      <c r="AE860771" s="251"/>
      <c r="AH860771" s="251"/>
      <c r="AK860771" s="251"/>
    </row>
    <row r="860886" spans="25:37" x14ac:dyDescent="0.2">
      <c r="Y860886" s="5"/>
      <c r="AB860886" s="5"/>
      <c r="AE860886" s="5"/>
      <c r="AH860886" s="5"/>
      <c r="AK860886" s="5"/>
    </row>
    <row r="860896" spans="25:37" x14ac:dyDescent="0.2">
      <c r="Y860896" s="251"/>
      <c r="AB860896" s="251"/>
      <c r="AE860896" s="251"/>
      <c r="AH860896" s="251"/>
      <c r="AK860896" s="251"/>
    </row>
    <row r="861011" spans="25:37" x14ac:dyDescent="0.2">
      <c r="Y861011" s="5"/>
      <c r="AB861011" s="5"/>
      <c r="AE861011" s="5"/>
      <c r="AH861011" s="5"/>
      <c r="AK861011" s="5"/>
    </row>
    <row r="861021" spans="25:37" x14ac:dyDescent="0.2">
      <c r="Y861021" s="251"/>
      <c r="AB861021" s="251"/>
      <c r="AE861021" s="251"/>
      <c r="AH861021" s="251"/>
      <c r="AK861021" s="251"/>
    </row>
    <row r="861136" spans="25:37" x14ac:dyDescent="0.2">
      <c r="Y861136" s="5"/>
      <c r="AB861136" s="5"/>
      <c r="AE861136" s="5"/>
      <c r="AH861136" s="5"/>
      <c r="AK861136" s="5"/>
    </row>
    <row r="861146" spans="25:37" x14ac:dyDescent="0.2">
      <c r="Y861146" s="251"/>
      <c r="AB861146" s="251"/>
      <c r="AE861146" s="251"/>
      <c r="AH861146" s="251"/>
      <c r="AK861146" s="251"/>
    </row>
    <row r="861261" spans="25:37" x14ac:dyDescent="0.2">
      <c r="Y861261" s="5"/>
      <c r="AB861261" s="5"/>
      <c r="AE861261" s="5"/>
      <c r="AH861261" s="5"/>
      <c r="AK861261" s="5"/>
    </row>
    <row r="861271" spans="25:37" x14ac:dyDescent="0.2">
      <c r="Y861271" s="251"/>
      <c r="AB861271" s="251"/>
      <c r="AE861271" s="251"/>
      <c r="AH861271" s="251"/>
      <c r="AK861271" s="251"/>
    </row>
    <row r="861386" spans="25:37" x14ac:dyDescent="0.2">
      <c r="Y861386" s="5"/>
      <c r="AB861386" s="5"/>
      <c r="AE861386" s="5"/>
      <c r="AH861386" s="5"/>
      <c r="AK861386" s="5"/>
    </row>
    <row r="861396" spans="25:37" x14ac:dyDescent="0.2">
      <c r="Y861396" s="251"/>
      <c r="AB861396" s="251"/>
      <c r="AE861396" s="251"/>
      <c r="AH861396" s="251"/>
      <c r="AK861396" s="251"/>
    </row>
    <row r="861511" spans="25:37" x14ac:dyDescent="0.2">
      <c r="Y861511" s="5"/>
      <c r="AB861511" s="5"/>
      <c r="AE861511" s="5"/>
      <c r="AH861511" s="5"/>
      <c r="AK861511" s="5"/>
    </row>
    <row r="861521" spans="25:37" x14ac:dyDescent="0.2">
      <c r="Y861521" s="251"/>
      <c r="AB861521" s="251"/>
      <c r="AE861521" s="251"/>
      <c r="AH861521" s="251"/>
      <c r="AK861521" s="251"/>
    </row>
    <row r="861636" spans="25:37" x14ac:dyDescent="0.2">
      <c r="Y861636" s="5"/>
      <c r="AB861636" s="5"/>
      <c r="AE861636" s="5"/>
      <c r="AH861636" s="5"/>
      <c r="AK861636" s="5"/>
    </row>
    <row r="861646" spans="25:37" x14ac:dyDescent="0.2">
      <c r="Y861646" s="251"/>
      <c r="AB861646" s="251"/>
      <c r="AE861646" s="251"/>
      <c r="AH861646" s="251"/>
      <c r="AK861646" s="251"/>
    </row>
    <row r="861761" spans="25:37" x14ac:dyDescent="0.2">
      <c r="Y861761" s="5"/>
      <c r="AB861761" s="5"/>
      <c r="AE861761" s="5"/>
      <c r="AH861761" s="5"/>
      <c r="AK861761" s="5"/>
    </row>
    <row r="861771" spans="25:37" x14ac:dyDescent="0.2">
      <c r="Y861771" s="251"/>
      <c r="AB861771" s="251"/>
      <c r="AE861771" s="251"/>
      <c r="AH861771" s="251"/>
      <c r="AK861771" s="251"/>
    </row>
    <row r="861886" spans="25:37" x14ac:dyDescent="0.2">
      <c r="Y861886" s="5"/>
      <c r="AB861886" s="5"/>
      <c r="AE861886" s="5"/>
      <c r="AH861886" s="5"/>
      <c r="AK861886" s="5"/>
    </row>
    <row r="861896" spans="25:37" x14ac:dyDescent="0.2">
      <c r="Y861896" s="251"/>
      <c r="AB861896" s="251"/>
      <c r="AE861896" s="251"/>
      <c r="AH861896" s="251"/>
      <c r="AK861896" s="251"/>
    </row>
    <row r="862011" spans="25:37" x14ac:dyDescent="0.2">
      <c r="Y862011" s="5"/>
      <c r="AB862011" s="5"/>
      <c r="AE862011" s="5"/>
      <c r="AH862011" s="5"/>
      <c r="AK862011" s="5"/>
    </row>
    <row r="862021" spans="25:37" x14ac:dyDescent="0.2">
      <c r="Y862021" s="251"/>
      <c r="AB862021" s="251"/>
      <c r="AE862021" s="251"/>
      <c r="AH862021" s="251"/>
      <c r="AK862021" s="251"/>
    </row>
    <row r="862136" spans="25:37" x14ac:dyDescent="0.2">
      <c r="Y862136" s="5"/>
      <c r="AB862136" s="5"/>
      <c r="AE862136" s="5"/>
      <c r="AH862136" s="5"/>
      <c r="AK862136" s="5"/>
    </row>
    <row r="862146" spans="25:37" x14ac:dyDescent="0.2">
      <c r="Y862146" s="251"/>
      <c r="AB862146" s="251"/>
      <c r="AE862146" s="251"/>
      <c r="AH862146" s="251"/>
      <c r="AK862146" s="251"/>
    </row>
    <row r="862261" spans="25:37" x14ac:dyDescent="0.2">
      <c r="Y862261" s="5"/>
      <c r="AB862261" s="5"/>
      <c r="AE862261" s="5"/>
      <c r="AH862261" s="5"/>
      <c r="AK862261" s="5"/>
    </row>
    <row r="862271" spans="25:37" x14ac:dyDescent="0.2">
      <c r="Y862271" s="251"/>
      <c r="AB862271" s="251"/>
      <c r="AE862271" s="251"/>
      <c r="AH862271" s="251"/>
      <c r="AK862271" s="251"/>
    </row>
    <row r="862386" spans="25:37" x14ac:dyDescent="0.2">
      <c r="Y862386" s="5"/>
      <c r="AB862386" s="5"/>
      <c r="AE862386" s="5"/>
      <c r="AH862386" s="5"/>
      <c r="AK862386" s="5"/>
    </row>
    <row r="862396" spans="25:37" x14ac:dyDescent="0.2">
      <c r="Y862396" s="251"/>
      <c r="AB862396" s="251"/>
      <c r="AE862396" s="251"/>
      <c r="AH862396" s="251"/>
      <c r="AK862396" s="251"/>
    </row>
    <row r="862511" spans="25:37" x14ac:dyDescent="0.2">
      <c r="Y862511" s="5"/>
      <c r="AB862511" s="5"/>
      <c r="AE862511" s="5"/>
      <c r="AH862511" s="5"/>
      <c r="AK862511" s="5"/>
    </row>
    <row r="862521" spans="25:37" x14ac:dyDescent="0.2">
      <c r="Y862521" s="251"/>
      <c r="AB862521" s="251"/>
      <c r="AE862521" s="251"/>
      <c r="AH862521" s="251"/>
      <c r="AK862521" s="251"/>
    </row>
    <row r="862636" spans="25:37" x14ac:dyDescent="0.2">
      <c r="Y862636" s="5"/>
      <c r="AB862636" s="5"/>
      <c r="AE862636" s="5"/>
      <c r="AH862636" s="5"/>
      <c r="AK862636" s="5"/>
    </row>
    <row r="862646" spans="25:37" x14ac:dyDescent="0.2">
      <c r="Y862646" s="251"/>
      <c r="AB862646" s="251"/>
      <c r="AE862646" s="251"/>
      <c r="AH862646" s="251"/>
      <c r="AK862646" s="251"/>
    </row>
    <row r="862761" spans="25:37" x14ac:dyDescent="0.2">
      <c r="Y862761" s="5"/>
      <c r="AB862761" s="5"/>
      <c r="AE862761" s="5"/>
      <c r="AH862761" s="5"/>
      <c r="AK862761" s="5"/>
    </row>
    <row r="862771" spans="25:37" x14ac:dyDescent="0.2">
      <c r="Y862771" s="251"/>
      <c r="AB862771" s="251"/>
      <c r="AE862771" s="251"/>
      <c r="AH862771" s="251"/>
      <c r="AK862771" s="251"/>
    </row>
    <row r="862886" spans="25:37" x14ac:dyDescent="0.2">
      <c r="Y862886" s="5"/>
      <c r="AB862886" s="5"/>
      <c r="AE862886" s="5"/>
      <c r="AH862886" s="5"/>
      <c r="AK862886" s="5"/>
    </row>
    <row r="862896" spans="25:37" x14ac:dyDescent="0.2">
      <c r="Y862896" s="251"/>
      <c r="AB862896" s="251"/>
      <c r="AE862896" s="251"/>
      <c r="AH862896" s="251"/>
      <c r="AK862896" s="251"/>
    </row>
    <row r="863011" spans="25:37" x14ac:dyDescent="0.2">
      <c r="Y863011" s="5"/>
      <c r="AB863011" s="5"/>
      <c r="AE863011" s="5"/>
      <c r="AH863011" s="5"/>
      <c r="AK863011" s="5"/>
    </row>
    <row r="863021" spans="25:37" x14ac:dyDescent="0.2">
      <c r="Y863021" s="251"/>
      <c r="AB863021" s="251"/>
      <c r="AE863021" s="251"/>
      <c r="AH863021" s="251"/>
      <c r="AK863021" s="251"/>
    </row>
    <row r="863136" spans="25:37" x14ac:dyDescent="0.2">
      <c r="Y863136" s="5"/>
      <c r="AB863136" s="5"/>
      <c r="AE863136" s="5"/>
      <c r="AH863136" s="5"/>
      <c r="AK863136" s="5"/>
    </row>
    <row r="863146" spans="25:37" x14ac:dyDescent="0.2">
      <c r="Y863146" s="251"/>
      <c r="AB863146" s="251"/>
      <c r="AE863146" s="251"/>
      <c r="AH863146" s="251"/>
      <c r="AK863146" s="251"/>
    </row>
    <row r="863261" spans="25:37" x14ac:dyDescent="0.2">
      <c r="Y863261" s="5"/>
      <c r="AB863261" s="5"/>
      <c r="AE863261" s="5"/>
      <c r="AH863261" s="5"/>
      <c r="AK863261" s="5"/>
    </row>
    <row r="863271" spans="25:37" x14ac:dyDescent="0.2">
      <c r="Y863271" s="251"/>
      <c r="AB863271" s="251"/>
      <c r="AE863271" s="251"/>
      <c r="AH863271" s="251"/>
      <c r="AK863271" s="251"/>
    </row>
    <row r="863386" spans="25:37" x14ac:dyDescent="0.2">
      <c r="Y863386" s="5"/>
      <c r="AB863386" s="5"/>
      <c r="AE863386" s="5"/>
      <c r="AH863386" s="5"/>
      <c r="AK863386" s="5"/>
    </row>
    <row r="863396" spans="25:37" x14ac:dyDescent="0.2">
      <c r="Y863396" s="251"/>
      <c r="AB863396" s="251"/>
      <c r="AE863396" s="251"/>
      <c r="AH863396" s="251"/>
      <c r="AK863396" s="251"/>
    </row>
    <row r="863511" spans="25:37" x14ac:dyDescent="0.2">
      <c r="Y863511" s="5"/>
      <c r="AB863511" s="5"/>
      <c r="AE863511" s="5"/>
      <c r="AH863511" s="5"/>
      <c r="AK863511" s="5"/>
    </row>
    <row r="863521" spans="25:37" x14ac:dyDescent="0.2">
      <c r="Y863521" s="251"/>
      <c r="AB863521" s="251"/>
      <c r="AE863521" s="251"/>
      <c r="AH863521" s="251"/>
      <c r="AK863521" s="251"/>
    </row>
    <row r="863636" spans="25:37" x14ac:dyDescent="0.2">
      <c r="Y863636" s="5"/>
      <c r="AB863636" s="5"/>
      <c r="AE863636" s="5"/>
      <c r="AH863636" s="5"/>
      <c r="AK863636" s="5"/>
    </row>
    <row r="863646" spans="25:37" x14ac:dyDescent="0.2">
      <c r="Y863646" s="251"/>
      <c r="AB863646" s="251"/>
      <c r="AE863646" s="251"/>
      <c r="AH863646" s="251"/>
      <c r="AK863646" s="251"/>
    </row>
    <row r="863761" spans="25:37" x14ac:dyDescent="0.2">
      <c r="Y863761" s="5"/>
      <c r="AB863761" s="5"/>
      <c r="AE863761" s="5"/>
      <c r="AH863761" s="5"/>
      <c r="AK863761" s="5"/>
    </row>
    <row r="863771" spans="25:37" x14ac:dyDescent="0.2">
      <c r="Y863771" s="251"/>
      <c r="AB863771" s="251"/>
      <c r="AE863771" s="251"/>
      <c r="AH863771" s="251"/>
      <c r="AK863771" s="251"/>
    </row>
    <row r="863886" spans="25:37" x14ac:dyDescent="0.2">
      <c r="Y863886" s="5"/>
      <c r="AB863886" s="5"/>
      <c r="AE863886" s="5"/>
      <c r="AH863886" s="5"/>
      <c r="AK863886" s="5"/>
    </row>
    <row r="863896" spans="25:37" x14ac:dyDescent="0.2">
      <c r="Y863896" s="251"/>
      <c r="AB863896" s="251"/>
      <c r="AE863896" s="251"/>
      <c r="AH863896" s="251"/>
      <c r="AK863896" s="251"/>
    </row>
    <row r="864011" spans="25:37" x14ac:dyDescent="0.2">
      <c r="Y864011" s="5"/>
      <c r="AB864011" s="5"/>
      <c r="AE864011" s="5"/>
      <c r="AH864011" s="5"/>
      <c r="AK864011" s="5"/>
    </row>
    <row r="864021" spans="25:37" x14ac:dyDescent="0.2">
      <c r="Y864021" s="251"/>
      <c r="AB864021" s="251"/>
      <c r="AE864021" s="251"/>
      <c r="AH864021" s="251"/>
      <c r="AK864021" s="251"/>
    </row>
    <row r="864136" spans="25:37" x14ac:dyDescent="0.2">
      <c r="Y864136" s="5"/>
      <c r="AB864136" s="5"/>
      <c r="AE864136" s="5"/>
      <c r="AH864136" s="5"/>
      <c r="AK864136" s="5"/>
    </row>
    <row r="864146" spans="25:37" x14ac:dyDescent="0.2">
      <c r="Y864146" s="251"/>
      <c r="AB864146" s="251"/>
      <c r="AE864146" s="251"/>
      <c r="AH864146" s="251"/>
      <c r="AK864146" s="251"/>
    </row>
    <row r="864261" spans="25:37" x14ac:dyDescent="0.2">
      <c r="Y864261" s="5"/>
      <c r="AB864261" s="5"/>
      <c r="AE864261" s="5"/>
      <c r="AH864261" s="5"/>
      <c r="AK864261" s="5"/>
    </row>
    <row r="864271" spans="25:37" x14ac:dyDescent="0.2">
      <c r="Y864271" s="251"/>
      <c r="AB864271" s="251"/>
      <c r="AE864271" s="251"/>
      <c r="AH864271" s="251"/>
      <c r="AK864271" s="251"/>
    </row>
    <row r="864386" spans="25:37" x14ac:dyDescent="0.2">
      <c r="Y864386" s="5"/>
      <c r="AB864386" s="5"/>
      <c r="AE864386" s="5"/>
      <c r="AH864386" s="5"/>
      <c r="AK864386" s="5"/>
    </row>
    <row r="864396" spans="25:37" x14ac:dyDescent="0.2">
      <c r="Y864396" s="251"/>
      <c r="AB864396" s="251"/>
      <c r="AE864396" s="251"/>
      <c r="AH864396" s="251"/>
      <c r="AK864396" s="251"/>
    </row>
    <row r="864511" spans="25:37" x14ac:dyDescent="0.2">
      <c r="Y864511" s="5"/>
      <c r="AB864511" s="5"/>
      <c r="AE864511" s="5"/>
      <c r="AH864511" s="5"/>
      <c r="AK864511" s="5"/>
    </row>
    <row r="864521" spans="25:37" x14ac:dyDescent="0.2">
      <c r="Y864521" s="251"/>
      <c r="AB864521" s="251"/>
      <c r="AE864521" s="251"/>
      <c r="AH864521" s="251"/>
      <c r="AK864521" s="251"/>
    </row>
    <row r="864636" spans="25:37" x14ac:dyDescent="0.2">
      <c r="Y864636" s="5"/>
      <c r="AB864636" s="5"/>
      <c r="AE864636" s="5"/>
      <c r="AH864636" s="5"/>
      <c r="AK864636" s="5"/>
    </row>
    <row r="864646" spans="25:37" x14ac:dyDescent="0.2">
      <c r="Y864646" s="251"/>
      <c r="AB864646" s="251"/>
      <c r="AE864646" s="251"/>
      <c r="AH864646" s="251"/>
      <c r="AK864646" s="251"/>
    </row>
    <row r="864761" spans="25:37" x14ac:dyDescent="0.2">
      <c r="Y864761" s="5"/>
      <c r="AB864761" s="5"/>
      <c r="AE864761" s="5"/>
      <c r="AH864761" s="5"/>
      <c r="AK864761" s="5"/>
    </row>
    <row r="864771" spans="25:37" x14ac:dyDescent="0.2">
      <c r="Y864771" s="251"/>
      <c r="AB864771" s="251"/>
      <c r="AE864771" s="251"/>
      <c r="AH864771" s="251"/>
      <c r="AK864771" s="251"/>
    </row>
    <row r="864886" spans="25:37" x14ac:dyDescent="0.2">
      <c r="Y864886" s="5"/>
      <c r="AB864886" s="5"/>
      <c r="AE864886" s="5"/>
      <c r="AH864886" s="5"/>
      <c r="AK864886" s="5"/>
    </row>
    <row r="864896" spans="25:37" x14ac:dyDescent="0.2">
      <c r="Y864896" s="251"/>
      <c r="AB864896" s="251"/>
      <c r="AE864896" s="251"/>
      <c r="AH864896" s="251"/>
      <c r="AK864896" s="251"/>
    </row>
    <row r="865011" spans="25:37" x14ac:dyDescent="0.2">
      <c r="Y865011" s="5"/>
      <c r="AB865011" s="5"/>
      <c r="AE865011" s="5"/>
      <c r="AH865011" s="5"/>
      <c r="AK865011" s="5"/>
    </row>
    <row r="865021" spans="25:37" x14ac:dyDescent="0.2">
      <c r="Y865021" s="251"/>
      <c r="AB865021" s="251"/>
      <c r="AE865021" s="251"/>
      <c r="AH865021" s="251"/>
      <c r="AK865021" s="251"/>
    </row>
    <row r="865136" spans="25:37" x14ac:dyDescent="0.2">
      <c r="Y865136" s="5"/>
      <c r="AB865136" s="5"/>
      <c r="AE865136" s="5"/>
      <c r="AH865136" s="5"/>
      <c r="AK865136" s="5"/>
    </row>
    <row r="865146" spans="25:37" x14ac:dyDescent="0.2">
      <c r="Y865146" s="251"/>
      <c r="AB865146" s="251"/>
      <c r="AE865146" s="251"/>
      <c r="AH865146" s="251"/>
      <c r="AK865146" s="251"/>
    </row>
    <row r="865261" spans="25:37" x14ac:dyDescent="0.2">
      <c r="Y865261" s="5"/>
      <c r="AB865261" s="5"/>
      <c r="AE865261" s="5"/>
      <c r="AH865261" s="5"/>
      <c r="AK865261" s="5"/>
    </row>
    <row r="865271" spans="25:37" x14ac:dyDescent="0.2">
      <c r="Y865271" s="251"/>
      <c r="AB865271" s="251"/>
      <c r="AE865271" s="251"/>
      <c r="AH865271" s="251"/>
      <c r="AK865271" s="251"/>
    </row>
    <row r="865386" spans="25:37" x14ac:dyDescent="0.2">
      <c r="Y865386" s="5"/>
      <c r="AB865386" s="5"/>
      <c r="AE865386" s="5"/>
      <c r="AH865386" s="5"/>
      <c r="AK865386" s="5"/>
    </row>
    <row r="865396" spans="25:37" x14ac:dyDescent="0.2">
      <c r="Y865396" s="251"/>
      <c r="AB865396" s="251"/>
      <c r="AE865396" s="251"/>
      <c r="AH865396" s="251"/>
      <c r="AK865396" s="251"/>
    </row>
    <row r="865511" spans="25:37" x14ac:dyDescent="0.2">
      <c r="Y865511" s="5"/>
      <c r="AB865511" s="5"/>
      <c r="AE865511" s="5"/>
      <c r="AH865511" s="5"/>
      <c r="AK865511" s="5"/>
    </row>
    <row r="865521" spans="25:37" x14ac:dyDescent="0.2">
      <c r="Y865521" s="251"/>
      <c r="AB865521" s="251"/>
      <c r="AE865521" s="251"/>
      <c r="AH865521" s="251"/>
      <c r="AK865521" s="251"/>
    </row>
    <row r="865636" spans="25:37" x14ac:dyDescent="0.2">
      <c r="Y865636" s="5"/>
      <c r="AB865636" s="5"/>
      <c r="AE865636" s="5"/>
      <c r="AH865636" s="5"/>
      <c r="AK865636" s="5"/>
    </row>
    <row r="865646" spans="25:37" x14ac:dyDescent="0.2">
      <c r="Y865646" s="251"/>
      <c r="AB865646" s="251"/>
      <c r="AE865646" s="251"/>
      <c r="AH865646" s="251"/>
      <c r="AK865646" s="251"/>
    </row>
    <row r="865761" spans="25:37" x14ac:dyDescent="0.2">
      <c r="Y865761" s="5"/>
      <c r="AB865761" s="5"/>
      <c r="AE865761" s="5"/>
      <c r="AH865761" s="5"/>
      <c r="AK865761" s="5"/>
    </row>
    <row r="865771" spans="25:37" x14ac:dyDescent="0.2">
      <c r="Y865771" s="251"/>
      <c r="AB865771" s="251"/>
      <c r="AE865771" s="251"/>
      <c r="AH865771" s="251"/>
      <c r="AK865771" s="251"/>
    </row>
    <row r="865886" spans="25:37" x14ac:dyDescent="0.2">
      <c r="Y865886" s="5"/>
      <c r="AB865886" s="5"/>
      <c r="AE865886" s="5"/>
      <c r="AH865886" s="5"/>
      <c r="AK865886" s="5"/>
    </row>
    <row r="865896" spans="25:37" x14ac:dyDescent="0.2">
      <c r="Y865896" s="251"/>
      <c r="AB865896" s="251"/>
      <c r="AE865896" s="251"/>
      <c r="AH865896" s="251"/>
      <c r="AK865896" s="251"/>
    </row>
    <row r="866011" spans="25:37" x14ac:dyDescent="0.2">
      <c r="Y866011" s="5"/>
      <c r="AB866011" s="5"/>
      <c r="AE866011" s="5"/>
      <c r="AH866011" s="5"/>
      <c r="AK866011" s="5"/>
    </row>
    <row r="866021" spans="25:37" x14ac:dyDescent="0.2">
      <c r="Y866021" s="251"/>
      <c r="AB866021" s="251"/>
      <c r="AE866021" s="251"/>
      <c r="AH866021" s="251"/>
      <c r="AK866021" s="251"/>
    </row>
    <row r="866136" spans="25:37" x14ac:dyDescent="0.2">
      <c r="Y866136" s="5"/>
      <c r="AB866136" s="5"/>
      <c r="AE866136" s="5"/>
      <c r="AH866136" s="5"/>
      <c r="AK866136" s="5"/>
    </row>
    <row r="866146" spans="25:37" x14ac:dyDescent="0.2">
      <c r="Y866146" s="251"/>
      <c r="AB866146" s="251"/>
      <c r="AE866146" s="251"/>
      <c r="AH866146" s="251"/>
      <c r="AK866146" s="251"/>
    </row>
    <row r="866261" spans="25:37" x14ac:dyDescent="0.2">
      <c r="Y866261" s="5"/>
      <c r="AB866261" s="5"/>
      <c r="AE866261" s="5"/>
      <c r="AH866261" s="5"/>
      <c r="AK866261" s="5"/>
    </row>
    <row r="866271" spans="25:37" x14ac:dyDescent="0.2">
      <c r="Y866271" s="251"/>
      <c r="AB866271" s="251"/>
      <c r="AE866271" s="251"/>
      <c r="AH866271" s="251"/>
      <c r="AK866271" s="251"/>
    </row>
    <row r="866386" spans="25:37" x14ac:dyDescent="0.2">
      <c r="Y866386" s="5"/>
      <c r="AB866386" s="5"/>
      <c r="AE866386" s="5"/>
      <c r="AH866386" s="5"/>
      <c r="AK866386" s="5"/>
    </row>
    <row r="866396" spans="25:37" x14ac:dyDescent="0.2">
      <c r="Y866396" s="251"/>
      <c r="AB866396" s="251"/>
      <c r="AE866396" s="251"/>
      <c r="AH866396" s="251"/>
      <c r="AK866396" s="251"/>
    </row>
    <row r="866511" spans="25:37" x14ac:dyDescent="0.2">
      <c r="Y866511" s="5"/>
      <c r="AB866511" s="5"/>
      <c r="AE866511" s="5"/>
      <c r="AH866511" s="5"/>
      <c r="AK866511" s="5"/>
    </row>
    <row r="866521" spans="25:37" x14ac:dyDescent="0.2">
      <c r="Y866521" s="251"/>
      <c r="AB866521" s="251"/>
      <c r="AE866521" s="251"/>
      <c r="AH866521" s="251"/>
      <c r="AK866521" s="251"/>
    </row>
    <row r="866636" spans="25:37" x14ac:dyDescent="0.2">
      <c r="Y866636" s="5"/>
      <c r="AB866636" s="5"/>
      <c r="AE866636" s="5"/>
      <c r="AH866636" s="5"/>
      <c r="AK866636" s="5"/>
    </row>
    <row r="866646" spans="25:37" x14ac:dyDescent="0.2">
      <c r="Y866646" s="251"/>
      <c r="AB866646" s="251"/>
      <c r="AE866646" s="251"/>
      <c r="AH866646" s="251"/>
      <c r="AK866646" s="251"/>
    </row>
    <row r="866761" spans="25:37" x14ac:dyDescent="0.2">
      <c r="Y866761" s="5"/>
      <c r="AB866761" s="5"/>
      <c r="AE866761" s="5"/>
      <c r="AH866761" s="5"/>
      <c r="AK866761" s="5"/>
    </row>
    <row r="866771" spans="25:37" x14ac:dyDescent="0.2">
      <c r="Y866771" s="251"/>
      <c r="AB866771" s="251"/>
      <c r="AE866771" s="251"/>
      <c r="AH866771" s="251"/>
      <c r="AK866771" s="251"/>
    </row>
    <row r="866886" spans="25:37" x14ac:dyDescent="0.2">
      <c r="Y866886" s="5"/>
      <c r="AB866886" s="5"/>
      <c r="AE866886" s="5"/>
      <c r="AH866886" s="5"/>
      <c r="AK866886" s="5"/>
    </row>
    <row r="866896" spans="25:37" x14ac:dyDescent="0.2">
      <c r="Y866896" s="251"/>
      <c r="AB866896" s="251"/>
      <c r="AE866896" s="251"/>
      <c r="AH866896" s="251"/>
      <c r="AK866896" s="251"/>
    </row>
    <row r="867011" spans="25:37" x14ac:dyDescent="0.2">
      <c r="Y867011" s="5"/>
      <c r="AB867011" s="5"/>
      <c r="AE867011" s="5"/>
      <c r="AH867011" s="5"/>
      <c r="AK867011" s="5"/>
    </row>
    <row r="867021" spans="25:37" x14ac:dyDescent="0.2">
      <c r="Y867021" s="251"/>
      <c r="AB867021" s="251"/>
      <c r="AE867021" s="251"/>
      <c r="AH867021" s="251"/>
      <c r="AK867021" s="251"/>
    </row>
    <row r="867136" spans="25:37" x14ac:dyDescent="0.2">
      <c r="Y867136" s="5"/>
      <c r="AB867136" s="5"/>
      <c r="AE867136" s="5"/>
      <c r="AH867136" s="5"/>
      <c r="AK867136" s="5"/>
    </row>
    <row r="867146" spans="25:37" x14ac:dyDescent="0.2">
      <c r="Y867146" s="251"/>
      <c r="AB867146" s="251"/>
      <c r="AE867146" s="251"/>
      <c r="AH867146" s="251"/>
      <c r="AK867146" s="251"/>
    </row>
    <row r="867261" spans="25:37" x14ac:dyDescent="0.2">
      <c r="Y867261" s="5"/>
      <c r="AB867261" s="5"/>
      <c r="AE867261" s="5"/>
      <c r="AH867261" s="5"/>
      <c r="AK867261" s="5"/>
    </row>
    <row r="867271" spans="25:37" x14ac:dyDescent="0.2">
      <c r="Y867271" s="251"/>
      <c r="AB867271" s="251"/>
      <c r="AE867271" s="251"/>
      <c r="AH867271" s="251"/>
      <c r="AK867271" s="251"/>
    </row>
    <row r="867386" spans="25:37" x14ac:dyDescent="0.2">
      <c r="Y867386" s="5"/>
      <c r="AB867386" s="5"/>
      <c r="AE867386" s="5"/>
      <c r="AH867386" s="5"/>
      <c r="AK867386" s="5"/>
    </row>
    <row r="867396" spans="25:37" x14ac:dyDescent="0.2">
      <c r="Y867396" s="251"/>
      <c r="AB867396" s="251"/>
      <c r="AE867396" s="251"/>
      <c r="AH867396" s="251"/>
      <c r="AK867396" s="251"/>
    </row>
    <row r="867511" spans="25:37" x14ac:dyDescent="0.2">
      <c r="Y867511" s="5"/>
      <c r="AB867511" s="5"/>
      <c r="AE867511" s="5"/>
      <c r="AH867511" s="5"/>
      <c r="AK867511" s="5"/>
    </row>
    <row r="867521" spans="25:37" x14ac:dyDescent="0.2">
      <c r="Y867521" s="251"/>
      <c r="AB867521" s="251"/>
      <c r="AE867521" s="251"/>
      <c r="AH867521" s="251"/>
      <c r="AK867521" s="251"/>
    </row>
    <row r="867636" spans="25:37" x14ac:dyDescent="0.2">
      <c r="Y867636" s="5"/>
      <c r="AB867636" s="5"/>
      <c r="AE867636" s="5"/>
      <c r="AH867636" s="5"/>
      <c r="AK867636" s="5"/>
    </row>
    <row r="867646" spans="25:37" x14ac:dyDescent="0.2">
      <c r="Y867646" s="251"/>
      <c r="AB867646" s="251"/>
      <c r="AE867646" s="251"/>
      <c r="AH867646" s="251"/>
      <c r="AK867646" s="251"/>
    </row>
    <row r="867761" spans="25:37" x14ac:dyDescent="0.2">
      <c r="Y867761" s="5"/>
      <c r="AB867761" s="5"/>
      <c r="AE867761" s="5"/>
      <c r="AH867761" s="5"/>
      <c r="AK867761" s="5"/>
    </row>
    <row r="867771" spans="25:37" x14ac:dyDescent="0.2">
      <c r="Y867771" s="251"/>
      <c r="AB867771" s="251"/>
      <c r="AE867771" s="251"/>
      <c r="AH867771" s="251"/>
      <c r="AK867771" s="251"/>
    </row>
    <row r="867886" spans="25:37" x14ac:dyDescent="0.2">
      <c r="Y867886" s="5"/>
      <c r="AB867886" s="5"/>
      <c r="AE867886" s="5"/>
      <c r="AH867886" s="5"/>
      <c r="AK867886" s="5"/>
    </row>
    <row r="867896" spans="25:37" x14ac:dyDescent="0.2">
      <c r="Y867896" s="251"/>
      <c r="AB867896" s="251"/>
      <c r="AE867896" s="251"/>
      <c r="AH867896" s="251"/>
      <c r="AK867896" s="251"/>
    </row>
    <row r="868011" spans="25:37" x14ac:dyDescent="0.2">
      <c r="Y868011" s="5"/>
      <c r="AB868011" s="5"/>
      <c r="AE868011" s="5"/>
      <c r="AH868011" s="5"/>
      <c r="AK868011" s="5"/>
    </row>
    <row r="868021" spans="25:37" x14ac:dyDescent="0.2">
      <c r="Y868021" s="251"/>
      <c r="AB868021" s="251"/>
      <c r="AE868021" s="251"/>
      <c r="AH868021" s="251"/>
      <c r="AK868021" s="251"/>
    </row>
    <row r="868136" spans="25:37" x14ac:dyDescent="0.2">
      <c r="Y868136" s="5"/>
      <c r="AB868136" s="5"/>
      <c r="AE868136" s="5"/>
      <c r="AH868136" s="5"/>
      <c r="AK868136" s="5"/>
    </row>
    <row r="868146" spans="25:37" x14ac:dyDescent="0.2">
      <c r="Y868146" s="251"/>
      <c r="AB868146" s="251"/>
      <c r="AE868146" s="251"/>
      <c r="AH868146" s="251"/>
      <c r="AK868146" s="251"/>
    </row>
    <row r="868261" spans="25:37" x14ac:dyDescent="0.2">
      <c r="Y868261" s="5"/>
      <c r="AB868261" s="5"/>
      <c r="AE868261" s="5"/>
      <c r="AH868261" s="5"/>
      <c r="AK868261" s="5"/>
    </row>
    <row r="868271" spans="25:37" x14ac:dyDescent="0.2">
      <c r="Y868271" s="251"/>
      <c r="AB868271" s="251"/>
      <c r="AE868271" s="251"/>
      <c r="AH868271" s="251"/>
      <c r="AK868271" s="251"/>
    </row>
    <row r="868386" spans="25:37" x14ac:dyDescent="0.2">
      <c r="Y868386" s="5"/>
      <c r="AB868386" s="5"/>
      <c r="AE868386" s="5"/>
      <c r="AH868386" s="5"/>
      <c r="AK868386" s="5"/>
    </row>
    <row r="868396" spans="25:37" x14ac:dyDescent="0.2">
      <c r="Y868396" s="251"/>
      <c r="AB868396" s="251"/>
      <c r="AE868396" s="251"/>
      <c r="AH868396" s="251"/>
      <c r="AK868396" s="251"/>
    </row>
    <row r="868511" spans="25:37" x14ac:dyDescent="0.2">
      <c r="Y868511" s="5"/>
      <c r="AB868511" s="5"/>
      <c r="AE868511" s="5"/>
      <c r="AH868511" s="5"/>
      <c r="AK868511" s="5"/>
    </row>
    <row r="868521" spans="25:37" x14ac:dyDescent="0.2">
      <c r="Y868521" s="251"/>
      <c r="AB868521" s="251"/>
      <c r="AE868521" s="251"/>
      <c r="AH868521" s="251"/>
      <c r="AK868521" s="251"/>
    </row>
    <row r="868636" spans="25:37" x14ac:dyDescent="0.2">
      <c r="Y868636" s="5"/>
      <c r="AB868636" s="5"/>
      <c r="AE868636" s="5"/>
      <c r="AH868636" s="5"/>
      <c r="AK868636" s="5"/>
    </row>
    <row r="868646" spans="25:37" x14ac:dyDescent="0.2">
      <c r="Y868646" s="251"/>
      <c r="AB868646" s="251"/>
      <c r="AE868646" s="251"/>
      <c r="AH868646" s="251"/>
      <c r="AK868646" s="251"/>
    </row>
    <row r="868761" spans="25:37" x14ac:dyDescent="0.2">
      <c r="Y868761" s="5"/>
      <c r="AB868761" s="5"/>
      <c r="AE868761" s="5"/>
      <c r="AH868761" s="5"/>
      <c r="AK868761" s="5"/>
    </row>
    <row r="868771" spans="25:37" x14ac:dyDescent="0.2">
      <c r="Y868771" s="251"/>
      <c r="AB868771" s="251"/>
      <c r="AE868771" s="251"/>
      <c r="AH868771" s="251"/>
      <c r="AK868771" s="251"/>
    </row>
    <row r="868886" spans="25:37" x14ac:dyDescent="0.2">
      <c r="Y868886" s="5"/>
      <c r="AB868886" s="5"/>
      <c r="AE868886" s="5"/>
      <c r="AH868886" s="5"/>
      <c r="AK868886" s="5"/>
    </row>
    <row r="868896" spans="25:37" x14ac:dyDescent="0.2">
      <c r="Y868896" s="251"/>
      <c r="AB868896" s="251"/>
      <c r="AE868896" s="251"/>
      <c r="AH868896" s="251"/>
      <c r="AK868896" s="251"/>
    </row>
    <row r="869011" spans="25:37" x14ac:dyDescent="0.2">
      <c r="Y869011" s="5"/>
      <c r="AB869011" s="5"/>
      <c r="AE869011" s="5"/>
      <c r="AH869011" s="5"/>
      <c r="AK869011" s="5"/>
    </row>
    <row r="869021" spans="25:37" x14ac:dyDescent="0.2">
      <c r="Y869021" s="251"/>
      <c r="AB869021" s="251"/>
      <c r="AE869021" s="251"/>
      <c r="AH869021" s="251"/>
      <c r="AK869021" s="251"/>
    </row>
    <row r="869136" spans="25:37" x14ac:dyDescent="0.2">
      <c r="Y869136" s="5"/>
      <c r="AB869136" s="5"/>
      <c r="AE869136" s="5"/>
      <c r="AH869136" s="5"/>
      <c r="AK869136" s="5"/>
    </row>
    <row r="869146" spans="25:37" x14ac:dyDescent="0.2">
      <c r="Y869146" s="251"/>
      <c r="AB869146" s="251"/>
      <c r="AE869146" s="251"/>
      <c r="AH869146" s="251"/>
      <c r="AK869146" s="251"/>
    </row>
    <row r="869261" spans="25:37" x14ac:dyDescent="0.2">
      <c r="Y869261" s="5"/>
      <c r="AB869261" s="5"/>
      <c r="AE869261" s="5"/>
      <c r="AH869261" s="5"/>
      <c r="AK869261" s="5"/>
    </row>
    <row r="869271" spans="25:37" x14ac:dyDescent="0.2">
      <c r="Y869271" s="251"/>
      <c r="AB869271" s="251"/>
      <c r="AE869271" s="251"/>
      <c r="AH869271" s="251"/>
      <c r="AK869271" s="251"/>
    </row>
    <row r="869386" spans="25:37" x14ac:dyDescent="0.2">
      <c r="Y869386" s="5"/>
      <c r="AB869386" s="5"/>
      <c r="AE869386" s="5"/>
      <c r="AH869386" s="5"/>
      <c r="AK869386" s="5"/>
    </row>
    <row r="869396" spans="25:37" x14ac:dyDescent="0.2">
      <c r="Y869396" s="251"/>
      <c r="AB869396" s="251"/>
      <c r="AE869396" s="251"/>
      <c r="AH869396" s="251"/>
      <c r="AK869396" s="251"/>
    </row>
    <row r="869511" spans="25:37" x14ac:dyDescent="0.2">
      <c r="Y869511" s="5"/>
      <c r="AB869511" s="5"/>
      <c r="AE869511" s="5"/>
      <c r="AH869511" s="5"/>
      <c r="AK869511" s="5"/>
    </row>
    <row r="869521" spans="25:37" x14ac:dyDescent="0.2">
      <c r="Y869521" s="251"/>
      <c r="AB869521" s="251"/>
      <c r="AE869521" s="251"/>
      <c r="AH869521" s="251"/>
      <c r="AK869521" s="251"/>
    </row>
    <row r="869636" spans="25:37" x14ac:dyDescent="0.2">
      <c r="Y869636" s="5"/>
      <c r="AB869636" s="5"/>
      <c r="AE869636" s="5"/>
      <c r="AH869636" s="5"/>
      <c r="AK869636" s="5"/>
    </row>
    <row r="869646" spans="25:37" x14ac:dyDescent="0.2">
      <c r="Y869646" s="251"/>
      <c r="AB869646" s="251"/>
      <c r="AE869646" s="251"/>
      <c r="AH869646" s="251"/>
      <c r="AK869646" s="251"/>
    </row>
    <row r="869761" spans="25:37" x14ac:dyDescent="0.2">
      <c r="Y869761" s="5"/>
      <c r="AB869761" s="5"/>
      <c r="AE869761" s="5"/>
      <c r="AH869761" s="5"/>
      <c r="AK869761" s="5"/>
    </row>
    <row r="869771" spans="25:37" x14ac:dyDescent="0.2">
      <c r="Y869771" s="251"/>
      <c r="AB869771" s="251"/>
      <c r="AE869771" s="251"/>
      <c r="AH869771" s="251"/>
      <c r="AK869771" s="251"/>
    </row>
    <row r="869886" spans="25:37" x14ac:dyDescent="0.2">
      <c r="Y869886" s="5"/>
      <c r="AB869886" s="5"/>
      <c r="AE869886" s="5"/>
      <c r="AH869886" s="5"/>
      <c r="AK869886" s="5"/>
    </row>
    <row r="869896" spans="25:37" x14ac:dyDescent="0.2">
      <c r="Y869896" s="251"/>
      <c r="AB869896" s="251"/>
      <c r="AE869896" s="251"/>
      <c r="AH869896" s="251"/>
      <c r="AK869896" s="251"/>
    </row>
    <row r="870011" spans="25:37" x14ac:dyDescent="0.2">
      <c r="Y870011" s="5"/>
      <c r="AB870011" s="5"/>
      <c r="AE870011" s="5"/>
      <c r="AH870011" s="5"/>
      <c r="AK870011" s="5"/>
    </row>
    <row r="870021" spans="25:37" x14ac:dyDescent="0.2">
      <c r="Y870021" s="251"/>
      <c r="AB870021" s="251"/>
      <c r="AE870021" s="251"/>
      <c r="AH870021" s="251"/>
      <c r="AK870021" s="251"/>
    </row>
    <row r="870136" spans="25:37" x14ac:dyDescent="0.2">
      <c r="Y870136" s="5"/>
      <c r="AB870136" s="5"/>
      <c r="AE870136" s="5"/>
      <c r="AH870136" s="5"/>
      <c r="AK870136" s="5"/>
    </row>
    <row r="870146" spans="25:37" x14ac:dyDescent="0.2">
      <c r="Y870146" s="251"/>
      <c r="AB870146" s="251"/>
      <c r="AE870146" s="251"/>
      <c r="AH870146" s="251"/>
      <c r="AK870146" s="251"/>
    </row>
    <row r="870261" spans="25:37" x14ac:dyDescent="0.2">
      <c r="Y870261" s="5"/>
      <c r="AB870261" s="5"/>
      <c r="AE870261" s="5"/>
      <c r="AH870261" s="5"/>
      <c r="AK870261" s="5"/>
    </row>
    <row r="870271" spans="25:37" x14ac:dyDescent="0.2">
      <c r="Y870271" s="251"/>
      <c r="AB870271" s="251"/>
      <c r="AE870271" s="251"/>
      <c r="AH870271" s="251"/>
      <c r="AK870271" s="251"/>
    </row>
    <row r="870386" spans="25:37" x14ac:dyDescent="0.2">
      <c r="Y870386" s="5"/>
      <c r="AB870386" s="5"/>
      <c r="AE870386" s="5"/>
      <c r="AH870386" s="5"/>
      <c r="AK870386" s="5"/>
    </row>
    <row r="870396" spans="25:37" x14ac:dyDescent="0.2">
      <c r="Y870396" s="251"/>
      <c r="AB870396" s="251"/>
      <c r="AE870396" s="251"/>
      <c r="AH870396" s="251"/>
      <c r="AK870396" s="251"/>
    </row>
    <row r="870511" spans="25:37" x14ac:dyDescent="0.2">
      <c r="Y870511" s="5"/>
      <c r="AB870511" s="5"/>
      <c r="AE870511" s="5"/>
      <c r="AH870511" s="5"/>
      <c r="AK870511" s="5"/>
    </row>
    <row r="870521" spans="25:37" x14ac:dyDescent="0.2">
      <c r="Y870521" s="251"/>
      <c r="AB870521" s="251"/>
      <c r="AE870521" s="251"/>
      <c r="AH870521" s="251"/>
      <c r="AK870521" s="251"/>
    </row>
    <row r="870636" spans="25:37" x14ac:dyDescent="0.2">
      <c r="Y870636" s="5"/>
      <c r="AB870636" s="5"/>
      <c r="AE870636" s="5"/>
      <c r="AH870636" s="5"/>
      <c r="AK870636" s="5"/>
    </row>
    <row r="870646" spans="25:37" x14ac:dyDescent="0.2">
      <c r="Y870646" s="251"/>
      <c r="AB870646" s="251"/>
      <c r="AE870646" s="251"/>
      <c r="AH870646" s="251"/>
      <c r="AK870646" s="251"/>
    </row>
    <row r="870761" spans="25:37" x14ac:dyDescent="0.2">
      <c r="Y870761" s="5"/>
      <c r="AB870761" s="5"/>
      <c r="AE870761" s="5"/>
      <c r="AH870761" s="5"/>
      <c r="AK870761" s="5"/>
    </row>
    <row r="870771" spans="25:37" x14ac:dyDescent="0.2">
      <c r="Y870771" s="251"/>
      <c r="AB870771" s="251"/>
      <c r="AE870771" s="251"/>
      <c r="AH870771" s="251"/>
      <c r="AK870771" s="251"/>
    </row>
    <row r="870886" spans="25:37" x14ac:dyDescent="0.2">
      <c r="Y870886" s="5"/>
      <c r="AB870886" s="5"/>
      <c r="AE870886" s="5"/>
      <c r="AH870886" s="5"/>
      <c r="AK870886" s="5"/>
    </row>
    <row r="870896" spans="25:37" x14ac:dyDescent="0.2">
      <c r="Y870896" s="251"/>
      <c r="AB870896" s="251"/>
      <c r="AE870896" s="251"/>
      <c r="AH870896" s="251"/>
      <c r="AK870896" s="251"/>
    </row>
    <row r="871011" spans="25:37" x14ac:dyDescent="0.2">
      <c r="Y871011" s="5"/>
      <c r="AB871011" s="5"/>
      <c r="AE871011" s="5"/>
      <c r="AH871011" s="5"/>
      <c r="AK871011" s="5"/>
    </row>
    <row r="871021" spans="25:37" x14ac:dyDescent="0.2">
      <c r="Y871021" s="251"/>
      <c r="AB871021" s="251"/>
      <c r="AE871021" s="251"/>
      <c r="AH871021" s="251"/>
      <c r="AK871021" s="251"/>
    </row>
    <row r="871136" spans="25:37" x14ac:dyDescent="0.2">
      <c r="Y871136" s="5"/>
      <c r="AB871136" s="5"/>
      <c r="AE871136" s="5"/>
      <c r="AH871136" s="5"/>
      <c r="AK871136" s="5"/>
    </row>
    <row r="871146" spans="25:37" x14ac:dyDescent="0.2">
      <c r="Y871146" s="251"/>
      <c r="AB871146" s="251"/>
      <c r="AE871146" s="251"/>
      <c r="AH871146" s="251"/>
      <c r="AK871146" s="251"/>
    </row>
    <row r="871261" spans="25:37" x14ac:dyDescent="0.2">
      <c r="Y871261" s="5"/>
      <c r="AB871261" s="5"/>
      <c r="AE871261" s="5"/>
      <c r="AH871261" s="5"/>
      <c r="AK871261" s="5"/>
    </row>
    <row r="871271" spans="25:37" x14ac:dyDescent="0.2">
      <c r="Y871271" s="251"/>
      <c r="AB871271" s="251"/>
      <c r="AE871271" s="251"/>
      <c r="AH871271" s="251"/>
      <c r="AK871271" s="251"/>
    </row>
    <row r="871386" spans="25:37" x14ac:dyDescent="0.2">
      <c r="Y871386" s="5"/>
      <c r="AB871386" s="5"/>
      <c r="AE871386" s="5"/>
      <c r="AH871386" s="5"/>
      <c r="AK871386" s="5"/>
    </row>
    <row r="871396" spans="25:37" x14ac:dyDescent="0.2">
      <c r="Y871396" s="251"/>
      <c r="AB871396" s="251"/>
      <c r="AE871396" s="251"/>
      <c r="AH871396" s="251"/>
      <c r="AK871396" s="251"/>
    </row>
    <row r="871511" spans="25:37" x14ac:dyDescent="0.2">
      <c r="Y871511" s="5"/>
      <c r="AB871511" s="5"/>
      <c r="AE871511" s="5"/>
      <c r="AH871511" s="5"/>
      <c r="AK871511" s="5"/>
    </row>
    <row r="871521" spans="25:37" x14ac:dyDescent="0.2">
      <c r="Y871521" s="251"/>
      <c r="AB871521" s="251"/>
      <c r="AE871521" s="251"/>
      <c r="AH871521" s="251"/>
      <c r="AK871521" s="251"/>
    </row>
    <row r="871636" spans="25:37" x14ac:dyDescent="0.2">
      <c r="Y871636" s="5"/>
      <c r="AB871636" s="5"/>
      <c r="AE871636" s="5"/>
      <c r="AH871636" s="5"/>
      <c r="AK871636" s="5"/>
    </row>
    <row r="871646" spans="25:37" x14ac:dyDescent="0.2">
      <c r="Y871646" s="251"/>
      <c r="AB871646" s="251"/>
      <c r="AE871646" s="251"/>
      <c r="AH871646" s="251"/>
      <c r="AK871646" s="251"/>
    </row>
    <row r="871761" spans="25:37" x14ac:dyDescent="0.2">
      <c r="Y871761" s="5"/>
      <c r="AB871761" s="5"/>
      <c r="AE871761" s="5"/>
      <c r="AH871761" s="5"/>
      <c r="AK871761" s="5"/>
    </row>
    <row r="871771" spans="25:37" x14ac:dyDescent="0.2">
      <c r="Y871771" s="251"/>
      <c r="AB871771" s="251"/>
      <c r="AE871771" s="251"/>
      <c r="AH871771" s="251"/>
      <c r="AK871771" s="251"/>
    </row>
    <row r="871886" spans="25:37" x14ac:dyDescent="0.2">
      <c r="Y871886" s="5"/>
      <c r="AB871886" s="5"/>
      <c r="AE871886" s="5"/>
      <c r="AH871886" s="5"/>
      <c r="AK871886" s="5"/>
    </row>
    <row r="871896" spans="25:37" x14ac:dyDescent="0.2">
      <c r="Y871896" s="251"/>
      <c r="AB871896" s="251"/>
      <c r="AE871896" s="251"/>
      <c r="AH871896" s="251"/>
      <c r="AK871896" s="251"/>
    </row>
    <row r="872011" spans="25:37" x14ac:dyDescent="0.2">
      <c r="Y872011" s="5"/>
      <c r="AB872011" s="5"/>
      <c r="AE872011" s="5"/>
      <c r="AH872011" s="5"/>
      <c r="AK872011" s="5"/>
    </row>
    <row r="872021" spans="25:37" x14ac:dyDescent="0.2">
      <c r="Y872021" s="251"/>
      <c r="AB872021" s="251"/>
      <c r="AE872021" s="251"/>
      <c r="AH872021" s="251"/>
      <c r="AK872021" s="251"/>
    </row>
    <row r="872136" spans="25:37" x14ac:dyDescent="0.2">
      <c r="Y872136" s="5"/>
      <c r="AB872136" s="5"/>
      <c r="AE872136" s="5"/>
      <c r="AH872136" s="5"/>
      <c r="AK872136" s="5"/>
    </row>
    <row r="872146" spans="25:37" x14ac:dyDescent="0.2">
      <c r="Y872146" s="251"/>
      <c r="AB872146" s="251"/>
      <c r="AE872146" s="251"/>
      <c r="AH872146" s="251"/>
      <c r="AK872146" s="251"/>
    </row>
    <row r="872261" spans="25:37" x14ac:dyDescent="0.2">
      <c r="Y872261" s="5"/>
      <c r="AB872261" s="5"/>
      <c r="AE872261" s="5"/>
      <c r="AH872261" s="5"/>
      <c r="AK872261" s="5"/>
    </row>
    <row r="872271" spans="25:37" x14ac:dyDescent="0.2">
      <c r="Y872271" s="251"/>
      <c r="AB872271" s="251"/>
      <c r="AE872271" s="251"/>
      <c r="AH872271" s="251"/>
      <c r="AK872271" s="251"/>
    </row>
    <row r="872386" spans="25:37" x14ac:dyDescent="0.2">
      <c r="Y872386" s="5"/>
      <c r="AB872386" s="5"/>
      <c r="AE872386" s="5"/>
      <c r="AH872386" s="5"/>
      <c r="AK872386" s="5"/>
    </row>
    <row r="872396" spans="25:37" x14ac:dyDescent="0.2">
      <c r="Y872396" s="251"/>
      <c r="AB872396" s="251"/>
      <c r="AE872396" s="251"/>
      <c r="AH872396" s="251"/>
      <c r="AK872396" s="251"/>
    </row>
    <row r="872511" spans="25:37" x14ac:dyDescent="0.2">
      <c r="Y872511" s="5"/>
      <c r="AB872511" s="5"/>
      <c r="AE872511" s="5"/>
      <c r="AH872511" s="5"/>
      <c r="AK872511" s="5"/>
    </row>
    <row r="872521" spans="25:37" x14ac:dyDescent="0.2">
      <c r="Y872521" s="251"/>
      <c r="AB872521" s="251"/>
      <c r="AE872521" s="251"/>
      <c r="AH872521" s="251"/>
      <c r="AK872521" s="251"/>
    </row>
    <row r="872636" spans="25:37" x14ac:dyDescent="0.2">
      <c r="Y872636" s="5"/>
      <c r="AB872636" s="5"/>
      <c r="AE872636" s="5"/>
      <c r="AH872636" s="5"/>
      <c r="AK872636" s="5"/>
    </row>
    <row r="872646" spans="25:37" x14ac:dyDescent="0.2">
      <c r="Y872646" s="251"/>
      <c r="AB872646" s="251"/>
      <c r="AE872646" s="251"/>
      <c r="AH872646" s="251"/>
      <c r="AK872646" s="251"/>
    </row>
    <row r="872761" spans="25:37" x14ac:dyDescent="0.2">
      <c r="Y872761" s="5"/>
      <c r="AB872761" s="5"/>
      <c r="AE872761" s="5"/>
      <c r="AH872761" s="5"/>
      <c r="AK872761" s="5"/>
    </row>
    <row r="872771" spans="25:37" x14ac:dyDescent="0.2">
      <c r="Y872771" s="251"/>
      <c r="AB872771" s="251"/>
      <c r="AE872771" s="251"/>
      <c r="AH872771" s="251"/>
      <c r="AK872771" s="251"/>
    </row>
    <row r="872886" spans="25:37" x14ac:dyDescent="0.2">
      <c r="Y872886" s="5"/>
      <c r="AB872886" s="5"/>
      <c r="AE872886" s="5"/>
      <c r="AH872886" s="5"/>
      <c r="AK872886" s="5"/>
    </row>
    <row r="872896" spans="25:37" x14ac:dyDescent="0.2">
      <c r="Y872896" s="251"/>
      <c r="AB872896" s="251"/>
      <c r="AE872896" s="251"/>
      <c r="AH872896" s="251"/>
      <c r="AK872896" s="251"/>
    </row>
    <row r="873011" spans="25:37" x14ac:dyDescent="0.2">
      <c r="Y873011" s="5"/>
      <c r="AB873011" s="5"/>
      <c r="AE873011" s="5"/>
      <c r="AH873011" s="5"/>
      <c r="AK873011" s="5"/>
    </row>
    <row r="873021" spans="25:37" x14ac:dyDescent="0.2">
      <c r="Y873021" s="251"/>
      <c r="AB873021" s="251"/>
      <c r="AE873021" s="251"/>
      <c r="AH873021" s="251"/>
      <c r="AK873021" s="251"/>
    </row>
    <row r="873136" spans="25:37" x14ac:dyDescent="0.2">
      <c r="Y873136" s="5"/>
      <c r="AB873136" s="5"/>
      <c r="AE873136" s="5"/>
      <c r="AH873136" s="5"/>
      <c r="AK873136" s="5"/>
    </row>
    <row r="873146" spans="25:37" x14ac:dyDescent="0.2">
      <c r="Y873146" s="251"/>
      <c r="AB873146" s="251"/>
      <c r="AE873146" s="251"/>
      <c r="AH873146" s="251"/>
      <c r="AK873146" s="251"/>
    </row>
    <row r="873261" spans="25:37" x14ac:dyDescent="0.2">
      <c r="Y873261" s="5"/>
      <c r="AB873261" s="5"/>
      <c r="AE873261" s="5"/>
      <c r="AH873261" s="5"/>
      <c r="AK873261" s="5"/>
    </row>
    <row r="873271" spans="25:37" x14ac:dyDescent="0.2">
      <c r="Y873271" s="251"/>
      <c r="AB873271" s="251"/>
      <c r="AE873271" s="251"/>
      <c r="AH873271" s="251"/>
      <c r="AK873271" s="251"/>
    </row>
    <row r="873386" spans="25:37" x14ac:dyDescent="0.2">
      <c r="Y873386" s="5"/>
      <c r="AB873386" s="5"/>
      <c r="AE873386" s="5"/>
      <c r="AH873386" s="5"/>
      <c r="AK873386" s="5"/>
    </row>
    <row r="873396" spans="25:37" x14ac:dyDescent="0.2">
      <c r="Y873396" s="251"/>
      <c r="AB873396" s="251"/>
      <c r="AE873396" s="251"/>
      <c r="AH873396" s="251"/>
      <c r="AK873396" s="251"/>
    </row>
    <row r="873511" spans="25:37" x14ac:dyDescent="0.2">
      <c r="Y873511" s="5"/>
      <c r="AB873511" s="5"/>
      <c r="AE873511" s="5"/>
      <c r="AH873511" s="5"/>
      <c r="AK873511" s="5"/>
    </row>
    <row r="873521" spans="25:37" x14ac:dyDescent="0.2">
      <c r="Y873521" s="251"/>
      <c r="AB873521" s="251"/>
      <c r="AE873521" s="251"/>
      <c r="AH873521" s="251"/>
      <c r="AK873521" s="251"/>
    </row>
    <row r="873636" spans="25:37" x14ac:dyDescent="0.2">
      <c r="Y873636" s="5"/>
      <c r="AB873636" s="5"/>
      <c r="AE873636" s="5"/>
      <c r="AH873636" s="5"/>
      <c r="AK873636" s="5"/>
    </row>
    <row r="873646" spans="25:37" x14ac:dyDescent="0.2">
      <c r="Y873646" s="251"/>
      <c r="AB873646" s="251"/>
      <c r="AE873646" s="251"/>
      <c r="AH873646" s="251"/>
      <c r="AK873646" s="251"/>
    </row>
    <row r="873761" spans="25:37" x14ac:dyDescent="0.2">
      <c r="Y873761" s="5"/>
      <c r="AB873761" s="5"/>
      <c r="AE873761" s="5"/>
      <c r="AH873761" s="5"/>
      <c r="AK873761" s="5"/>
    </row>
    <row r="873771" spans="25:37" x14ac:dyDescent="0.2">
      <c r="Y873771" s="251"/>
      <c r="AB873771" s="251"/>
      <c r="AE873771" s="251"/>
      <c r="AH873771" s="251"/>
      <c r="AK873771" s="251"/>
    </row>
    <row r="873886" spans="25:37" x14ac:dyDescent="0.2">
      <c r="Y873886" s="5"/>
      <c r="AB873886" s="5"/>
      <c r="AE873886" s="5"/>
      <c r="AH873886" s="5"/>
      <c r="AK873886" s="5"/>
    </row>
    <row r="873896" spans="25:37" x14ac:dyDescent="0.2">
      <c r="Y873896" s="251"/>
      <c r="AB873896" s="251"/>
      <c r="AE873896" s="251"/>
      <c r="AH873896" s="251"/>
      <c r="AK873896" s="251"/>
    </row>
    <row r="874011" spans="25:37" x14ac:dyDescent="0.2">
      <c r="Y874011" s="5"/>
      <c r="AB874011" s="5"/>
      <c r="AE874011" s="5"/>
      <c r="AH874011" s="5"/>
      <c r="AK874011" s="5"/>
    </row>
    <row r="874021" spans="25:37" x14ac:dyDescent="0.2">
      <c r="Y874021" s="251"/>
      <c r="AB874021" s="251"/>
      <c r="AE874021" s="251"/>
      <c r="AH874021" s="251"/>
      <c r="AK874021" s="251"/>
    </row>
    <row r="874136" spans="25:37" x14ac:dyDescent="0.2">
      <c r="Y874136" s="5"/>
      <c r="AB874136" s="5"/>
      <c r="AE874136" s="5"/>
      <c r="AH874136" s="5"/>
      <c r="AK874136" s="5"/>
    </row>
    <row r="874146" spans="25:37" x14ac:dyDescent="0.2">
      <c r="Y874146" s="251"/>
      <c r="AB874146" s="251"/>
      <c r="AE874146" s="251"/>
      <c r="AH874146" s="251"/>
      <c r="AK874146" s="251"/>
    </row>
    <row r="874261" spans="25:37" x14ac:dyDescent="0.2">
      <c r="Y874261" s="5"/>
      <c r="AB874261" s="5"/>
      <c r="AE874261" s="5"/>
      <c r="AH874261" s="5"/>
      <c r="AK874261" s="5"/>
    </row>
    <row r="874271" spans="25:37" x14ac:dyDescent="0.2">
      <c r="Y874271" s="251"/>
      <c r="AB874271" s="251"/>
      <c r="AE874271" s="251"/>
      <c r="AH874271" s="251"/>
      <c r="AK874271" s="251"/>
    </row>
    <row r="874386" spans="25:37" x14ac:dyDescent="0.2">
      <c r="Y874386" s="5"/>
      <c r="AB874386" s="5"/>
      <c r="AE874386" s="5"/>
      <c r="AH874386" s="5"/>
      <c r="AK874386" s="5"/>
    </row>
    <row r="874396" spans="25:37" x14ac:dyDescent="0.2">
      <c r="Y874396" s="251"/>
      <c r="AB874396" s="251"/>
      <c r="AE874396" s="251"/>
      <c r="AH874396" s="251"/>
      <c r="AK874396" s="251"/>
    </row>
    <row r="874511" spans="25:37" x14ac:dyDescent="0.2">
      <c r="Y874511" s="5"/>
      <c r="AB874511" s="5"/>
      <c r="AE874511" s="5"/>
      <c r="AH874511" s="5"/>
      <c r="AK874511" s="5"/>
    </row>
    <row r="874521" spans="25:37" x14ac:dyDescent="0.2">
      <c r="Y874521" s="251"/>
      <c r="AB874521" s="251"/>
      <c r="AE874521" s="251"/>
      <c r="AH874521" s="251"/>
      <c r="AK874521" s="251"/>
    </row>
    <row r="874636" spans="25:37" x14ac:dyDescent="0.2">
      <c r="Y874636" s="5"/>
      <c r="AB874636" s="5"/>
      <c r="AE874636" s="5"/>
      <c r="AH874636" s="5"/>
      <c r="AK874636" s="5"/>
    </row>
    <row r="874646" spans="25:37" x14ac:dyDescent="0.2">
      <c r="Y874646" s="251"/>
      <c r="AB874646" s="251"/>
      <c r="AE874646" s="251"/>
      <c r="AH874646" s="251"/>
      <c r="AK874646" s="251"/>
    </row>
    <row r="874761" spans="25:37" x14ac:dyDescent="0.2">
      <c r="Y874761" s="5"/>
      <c r="AB874761" s="5"/>
      <c r="AE874761" s="5"/>
      <c r="AH874761" s="5"/>
      <c r="AK874761" s="5"/>
    </row>
    <row r="874771" spans="25:37" x14ac:dyDescent="0.2">
      <c r="Y874771" s="251"/>
      <c r="AB874771" s="251"/>
      <c r="AE874771" s="251"/>
      <c r="AH874771" s="251"/>
      <c r="AK874771" s="251"/>
    </row>
    <row r="874886" spans="25:37" x14ac:dyDescent="0.2">
      <c r="Y874886" s="5"/>
      <c r="AB874886" s="5"/>
      <c r="AE874886" s="5"/>
      <c r="AH874886" s="5"/>
      <c r="AK874886" s="5"/>
    </row>
    <row r="874896" spans="25:37" x14ac:dyDescent="0.2">
      <c r="Y874896" s="251"/>
      <c r="AB874896" s="251"/>
      <c r="AE874896" s="251"/>
      <c r="AH874896" s="251"/>
      <c r="AK874896" s="251"/>
    </row>
    <row r="875011" spans="25:37" x14ac:dyDescent="0.2">
      <c r="Y875011" s="5"/>
      <c r="AB875011" s="5"/>
      <c r="AE875011" s="5"/>
      <c r="AH875011" s="5"/>
      <c r="AK875011" s="5"/>
    </row>
    <row r="875021" spans="25:37" x14ac:dyDescent="0.2">
      <c r="Y875021" s="251"/>
      <c r="AB875021" s="251"/>
      <c r="AE875021" s="251"/>
      <c r="AH875021" s="251"/>
      <c r="AK875021" s="251"/>
    </row>
    <row r="875136" spans="25:37" x14ac:dyDescent="0.2">
      <c r="Y875136" s="5"/>
      <c r="AB875136" s="5"/>
      <c r="AE875136" s="5"/>
      <c r="AH875136" s="5"/>
      <c r="AK875136" s="5"/>
    </row>
    <row r="875146" spans="25:37" x14ac:dyDescent="0.2">
      <c r="Y875146" s="251"/>
      <c r="AB875146" s="251"/>
      <c r="AE875146" s="251"/>
      <c r="AH875146" s="251"/>
      <c r="AK875146" s="251"/>
    </row>
    <row r="875261" spans="25:37" x14ac:dyDescent="0.2">
      <c r="Y875261" s="5"/>
      <c r="AB875261" s="5"/>
      <c r="AE875261" s="5"/>
      <c r="AH875261" s="5"/>
      <c r="AK875261" s="5"/>
    </row>
    <row r="875271" spans="25:37" x14ac:dyDescent="0.2">
      <c r="Y875271" s="251"/>
      <c r="AB875271" s="251"/>
      <c r="AE875271" s="251"/>
      <c r="AH875271" s="251"/>
      <c r="AK875271" s="251"/>
    </row>
    <row r="875386" spans="25:37" x14ac:dyDescent="0.2">
      <c r="Y875386" s="5"/>
      <c r="AB875386" s="5"/>
      <c r="AE875386" s="5"/>
      <c r="AH875386" s="5"/>
      <c r="AK875386" s="5"/>
    </row>
    <row r="875396" spans="25:37" x14ac:dyDescent="0.2">
      <c r="Y875396" s="251"/>
      <c r="AB875396" s="251"/>
      <c r="AE875396" s="251"/>
      <c r="AH875396" s="251"/>
      <c r="AK875396" s="251"/>
    </row>
    <row r="875511" spans="25:37" x14ac:dyDescent="0.2">
      <c r="Y875511" s="5"/>
      <c r="AB875511" s="5"/>
      <c r="AE875511" s="5"/>
      <c r="AH875511" s="5"/>
      <c r="AK875511" s="5"/>
    </row>
    <row r="875521" spans="25:37" x14ac:dyDescent="0.2">
      <c r="Y875521" s="251"/>
      <c r="AB875521" s="251"/>
      <c r="AE875521" s="251"/>
      <c r="AH875521" s="251"/>
      <c r="AK875521" s="251"/>
    </row>
    <row r="875636" spans="25:37" x14ac:dyDescent="0.2">
      <c r="Y875636" s="5"/>
      <c r="AB875636" s="5"/>
      <c r="AE875636" s="5"/>
      <c r="AH875636" s="5"/>
      <c r="AK875636" s="5"/>
    </row>
    <row r="875646" spans="25:37" x14ac:dyDescent="0.2">
      <c r="Y875646" s="251"/>
      <c r="AB875646" s="251"/>
      <c r="AE875646" s="251"/>
      <c r="AH875646" s="251"/>
      <c r="AK875646" s="251"/>
    </row>
    <row r="875761" spans="25:37" x14ac:dyDescent="0.2">
      <c r="Y875761" s="5"/>
      <c r="AB875761" s="5"/>
      <c r="AE875761" s="5"/>
      <c r="AH875761" s="5"/>
      <c r="AK875761" s="5"/>
    </row>
    <row r="875771" spans="25:37" x14ac:dyDescent="0.2">
      <c r="Y875771" s="251"/>
      <c r="AB875771" s="251"/>
      <c r="AE875771" s="251"/>
      <c r="AH875771" s="251"/>
      <c r="AK875771" s="251"/>
    </row>
    <row r="875886" spans="25:37" x14ac:dyDescent="0.2">
      <c r="Y875886" s="5"/>
      <c r="AB875886" s="5"/>
      <c r="AE875886" s="5"/>
      <c r="AH875886" s="5"/>
      <c r="AK875886" s="5"/>
    </row>
    <row r="875896" spans="25:37" x14ac:dyDescent="0.2">
      <c r="Y875896" s="251"/>
      <c r="AB875896" s="251"/>
      <c r="AE875896" s="251"/>
      <c r="AH875896" s="251"/>
      <c r="AK875896" s="251"/>
    </row>
    <row r="876011" spans="25:37" x14ac:dyDescent="0.2">
      <c r="Y876011" s="5"/>
      <c r="AB876011" s="5"/>
      <c r="AE876011" s="5"/>
      <c r="AH876011" s="5"/>
      <c r="AK876011" s="5"/>
    </row>
    <row r="876021" spans="25:37" x14ac:dyDescent="0.2">
      <c r="Y876021" s="251"/>
      <c r="AB876021" s="251"/>
      <c r="AE876021" s="251"/>
      <c r="AH876021" s="251"/>
      <c r="AK876021" s="251"/>
    </row>
    <row r="876136" spans="25:37" x14ac:dyDescent="0.2">
      <c r="Y876136" s="5"/>
      <c r="AB876136" s="5"/>
      <c r="AE876136" s="5"/>
      <c r="AH876136" s="5"/>
      <c r="AK876136" s="5"/>
    </row>
    <row r="876146" spans="25:37" x14ac:dyDescent="0.2">
      <c r="Y876146" s="251"/>
      <c r="AB876146" s="251"/>
      <c r="AE876146" s="251"/>
      <c r="AH876146" s="251"/>
      <c r="AK876146" s="251"/>
    </row>
    <row r="876261" spans="25:37" x14ac:dyDescent="0.2">
      <c r="Y876261" s="5"/>
      <c r="AB876261" s="5"/>
      <c r="AE876261" s="5"/>
      <c r="AH876261" s="5"/>
      <c r="AK876261" s="5"/>
    </row>
    <row r="876271" spans="25:37" x14ac:dyDescent="0.2">
      <c r="Y876271" s="251"/>
      <c r="AB876271" s="251"/>
      <c r="AE876271" s="251"/>
      <c r="AH876271" s="251"/>
      <c r="AK876271" s="251"/>
    </row>
    <row r="876386" spans="25:37" x14ac:dyDescent="0.2">
      <c r="Y876386" s="5"/>
      <c r="AB876386" s="5"/>
      <c r="AE876386" s="5"/>
      <c r="AH876386" s="5"/>
      <c r="AK876386" s="5"/>
    </row>
    <row r="876396" spans="25:37" x14ac:dyDescent="0.2">
      <c r="Y876396" s="251"/>
      <c r="AB876396" s="251"/>
      <c r="AE876396" s="251"/>
      <c r="AH876396" s="251"/>
      <c r="AK876396" s="251"/>
    </row>
    <row r="876511" spans="25:37" x14ac:dyDescent="0.2">
      <c r="Y876511" s="5"/>
      <c r="AB876511" s="5"/>
      <c r="AE876511" s="5"/>
      <c r="AH876511" s="5"/>
      <c r="AK876511" s="5"/>
    </row>
    <row r="876521" spans="25:37" x14ac:dyDescent="0.2">
      <c r="Y876521" s="251"/>
      <c r="AB876521" s="251"/>
      <c r="AE876521" s="251"/>
      <c r="AH876521" s="251"/>
      <c r="AK876521" s="251"/>
    </row>
    <row r="876636" spans="25:37" x14ac:dyDescent="0.2">
      <c r="Y876636" s="5"/>
      <c r="AB876636" s="5"/>
      <c r="AE876636" s="5"/>
      <c r="AH876636" s="5"/>
      <c r="AK876636" s="5"/>
    </row>
    <row r="876646" spans="25:37" x14ac:dyDescent="0.2">
      <c r="Y876646" s="251"/>
      <c r="AB876646" s="251"/>
      <c r="AE876646" s="251"/>
      <c r="AH876646" s="251"/>
      <c r="AK876646" s="251"/>
    </row>
    <row r="876761" spans="25:37" x14ac:dyDescent="0.2">
      <c r="Y876761" s="5"/>
      <c r="AB876761" s="5"/>
      <c r="AE876761" s="5"/>
      <c r="AH876761" s="5"/>
      <c r="AK876761" s="5"/>
    </row>
    <row r="876771" spans="25:37" x14ac:dyDescent="0.2">
      <c r="Y876771" s="251"/>
      <c r="AB876771" s="251"/>
      <c r="AE876771" s="251"/>
      <c r="AH876771" s="251"/>
      <c r="AK876771" s="251"/>
    </row>
    <row r="876886" spans="25:37" x14ac:dyDescent="0.2">
      <c r="Y876886" s="5"/>
      <c r="AB876886" s="5"/>
      <c r="AE876886" s="5"/>
      <c r="AH876886" s="5"/>
      <c r="AK876886" s="5"/>
    </row>
    <row r="876896" spans="25:37" x14ac:dyDescent="0.2">
      <c r="Y876896" s="251"/>
      <c r="AB876896" s="251"/>
      <c r="AE876896" s="251"/>
      <c r="AH876896" s="251"/>
      <c r="AK876896" s="251"/>
    </row>
    <row r="877011" spans="25:37" x14ac:dyDescent="0.2">
      <c r="Y877011" s="5"/>
      <c r="AB877011" s="5"/>
      <c r="AE877011" s="5"/>
      <c r="AH877011" s="5"/>
      <c r="AK877011" s="5"/>
    </row>
    <row r="877021" spans="25:37" x14ac:dyDescent="0.2">
      <c r="Y877021" s="251"/>
      <c r="AB877021" s="251"/>
      <c r="AE877021" s="251"/>
      <c r="AH877021" s="251"/>
      <c r="AK877021" s="251"/>
    </row>
    <row r="877136" spans="25:37" x14ac:dyDescent="0.2">
      <c r="Y877136" s="5"/>
      <c r="AB877136" s="5"/>
      <c r="AE877136" s="5"/>
      <c r="AH877136" s="5"/>
      <c r="AK877136" s="5"/>
    </row>
    <row r="877146" spans="25:37" x14ac:dyDescent="0.2">
      <c r="Y877146" s="251"/>
      <c r="AB877146" s="251"/>
      <c r="AE877146" s="251"/>
      <c r="AH877146" s="251"/>
      <c r="AK877146" s="251"/>
    </row>
    <row r="877261" spans="25:37" x14ac:dyDescent="0.2">
      <c r="Y877261" s="5"/>
      <c r="AB877261" s="5"/>
      <c r="AE877261" s="5"/>
      <c r="AH877261" s="5"/>
      <c r="AK877261" s="5"/>
    </row>
    <row r="877271" spans="25:37" x14ac:dyDescent="0.2">
      <c r="Y877271" s="251"/>
      <c r="AB877271" s="251"/>
      <c r="AE877271" s="251"/>
      <c r="AH877271" s="251"/>
      <c r="AK877271" s="251"/>
    </row>
    <row r="877386" spans="25:37" x14ac:dyDescent="0.2">
      <c r="Y877386" s="5"/>
      <c r="AB877386" s="5"/>
      <c r="AE877386" s="5"/>
      <c r="AH877386" s="5"/>
      <c r="AK877386" s="5"/>
    </row>
    <row r="877396" spans="25:37" x14ac:dyDescent="0.2">
      <c r="Y877396" s="251"/>
      <c r="AB877396" s="251"/>
      <c r="AE877396" s="251"/>
      <c r="AH877396" s="251"/>
      <c r="AK877396" s="251"/>
    </row>
    <row r="877511" spans="25:37" x14ac:dyDescent="0.2">
      <c r="Y877511" s="5"/>
      <c r="AB877511" s="5"/>
      <c r="AE877511" s="5"/>
      <c r="AH877511" s="5"/>
      <c r="AK877511" s="5"/>
    </row>
    <row r="877521" spans="25:37" x14ac:dyDescent="0.2">
      <c r="Y877521" s="251"/>
      <c r="AB877521" s="251"/>
      <c r="AE877521" s="251"/>
      <c r="AH877521" s="251"/>
      <c r="AK877521" s="251"/>
    </row>
    <row r="877636" spans="25:37" x14ac:dyDescent="0.2">
      <c r="Y877636" s="5"/>
      <c r="AB877636" s="5"/>
      <c r="AE877636" s="5"/>
      <c r="AH877636" s="5"/>
      <c r="AK877636" s="5"/>
    </row>
    <row r="877646" spans="25:37" x14ac:dyDescent="0.2">
      <c r="Y877646" s="251"/>
      <c r="AB877646" s="251"/>
      <c r="AE877646" s="251"/>
      <c r="AH877646" s="251"/>
      <c r="AK877646" s="251"/>
    </row>
    <row r="877761" spans="25:37" x14ac:dyDescent="0.2">
      <c r="Y877761" s="5"/>
      <c r="AB877761" s="5"/>
      <c r="AE877761" s="5"/>
      <c r="AH877761" s="5"/>
      <c r="AK877761" s="5"/>
    </row>
    <row r="877771" spans="25:37" x14ac:dyDescent="0.2">
      <c r="Y877771" s="251"/>
      <c r="AB877771" s="251"/>
      <c r="AE877771" s="251"/>
      <c r="AH877771" s="251"/>
      <c r="AK877771" s="251"/>
    </row>
    <row r="877886" spans="25:37" x14ac:dyDescent="0.2">
      <c r="Y877886" s="5"/>
      <c r="AB877886" s="5"/>
      <c r="AE877886" s="5"/>
      <c r="AH877886" s="5"/>
      <c r="AK877886" s="5"/>
    </row>
    <row r="877896" spans="25:37" x14ac:dyDescent="0.2">
      <c r="Y877896" s="251"/>
      <c r="AB877896" s="251"/>
      <c r="AE877896" s="251"/>
      <c r="AH877896" s="251"/>
      <c r="AK877896" s="251"/>
    </row>
    <row r="878011" spans="25:37" x14ac:dyDescent="0.2">
      <c r="Y878011" s="5"/>
      <c r="AB878011" s="5"/>
      <c r="AE878011" s="5"/>
      <c r="AH878011" s="5"/>
      <c r="AK878011" s="5"/>
    </row>
    <row r="878021" spans="25:37" x14ac:dyDescent="0.2">
      <c r="Y878021" s="251"/>
      <c r="AB878021" s="251"/>
      <c r="AE878021" s="251"/>
      <c r="AH878021" s="251"/>
      <c r="AK878021" s="251"/>
    </row>
    <row r="878136" spans="25:37" x14ac:dyDescent="0.2">
      <c r="Y878136" s="5"/>
      <c r="AB878136" s="5"/>
      <c r="AE878136" s="5"/>
      <c r="AH878136" s="5"/>
      <c r="AK878136" s="5"/>
    </row>
    <row r="878146" spans="25:37" x14ac:dyDescent="0.2">
      <c r="Y878146" s="251"/>
      <c r="AB878146" s="251"/>
      <c r="AE878146" s="251"/>
      <c r="AH878146" s="251"/>
      <c r="AK878146" s="251"/>
    </row>
    <row r="878261" spans="25:37" x14ac:dyDescent="0.2">
      <c r="Y878261" s="5"/>
      <c r="AB878261" s="5"/>
      <c r="AE878261" s="5"/>
      <c r="AH878261" s="5"/>
      <c r="AK878261" s="5"/>
    </row>
    <row r="878271" spans="25:37" x14ac:dyDescent="0.2">
      <c r="Y878271" s="251"/>
      <c r="AB878271" s="251"/>
      <c r="AE878271" s="251"/>
      <c r="AH878271" s="251"/>
      <c r="AK878271" s="251"/>
    </row>
    <row r="878386" spans="25:37" x14ac:dyDescent="0.2">
      <c r="Y878386" s="5"/>
      <c r="AB878386" s="5"/>
      <c r="AE878386" s="5"/>
      <c r="AH878386" s="5"/>
      <c r="AK878386" s="5"/>
    </row>
    <row r="878396" spans="25:37" x14ac:dyDescent="0.2">
      <c r="Y878396" s="251"/>
      <c r="AB878396" s="251"/>
      <c r="AE878396" s="251"/>
      <c r="AH878396" s="251"/>
      <c r="AK878396" s="251"/>
    </row>
    <row r="878511" spans="25:37" x14ac:dyDescent="0.2">
      <c r="Y878511" s="5"/>
      <c r="AB878511" s="5"/>
      <c r="AE878511" s="5"/>
      <c r="AH878511" s="5"/>
      <c r="AK878511" s="5"/>
    </row>
    <row r="878521" spans="25:37" x14ac:dyDescent="0.2">
      <c r="Y878521" s="251"/>
      <c r="AB878521" s="251"/>
      <c r="AE878521" s="251"/>
      <c r="AH878521" s="251"/>
      <c r="AK878521" s="251"/>
    </row>
    <row r="878636" spans="25:37" x14ac:dyDescent="0.2">
      <c r="Y878636" s="5"/>
      <c r="AB878636" s="5"/>
      <c r="AE878636" s="5"/>
      <c r="AH878636" s="5"/>
      <c r="AK878636" s="5"/>
    </row>
    <row r="878646" spans="25:37" x14ac:dyDescent="0.2">
      <c r="Y878646" s="251"/>
      <c r="AB878646" s="251"/>
      <c r="AE878646" s="251"/>
      <c r="AH878646" s="251"/>
      <c r="AK878646" s="251"/>
    </row>
    <row r="878761" spans="25:37" x14ac:dyDescent="0.2">
      <c r="Y878761" s="5"/>
      <c r="AB878761" s="5"/>
      <c r="AE878761" s="5"/>
      <c r="AH878761" s="5"/>
      <c r="AK878761" s="5"/>
    </row>
    <row r="878771" spans="25:37" x14ac:dyDescent="0.2">
      <c r="Y878771" s="251"/>
      <c r="AB878771" s="251"/>
      <c r="AE878771" s="251"/>
      <c r="AH878771" s="251"/>
      <c r="AK878771" s="251"/>
    </row>
    <row r="878886" spans="25:37" x14ac:dyDescent="0.2">
      <c r="Y878886" s="5"/>
      <c r="AB878886" s="5"/>
      <c r="AE878886" s="5"/>
      <c r="AH878886" s="5"/>
      <c r="AK878886" s="5"/>
    </row>
    <row r="878896" spans="25:37" x14ac:dyDescent="0.2">
      <c r="Y878896" s="251"/>
      <c r="AB878896" s="251"/>
      <c r="AE878896" s="251"/>
      <c r="AH878896" s="251"/>
      <c r="AK878896" s="251"/>
    </row>
    <row r="879011" spans="25:37" x14ac:dyDescent="0.2">
      <c r="Y879011" s="5"/>
      <c r="AB879011" s="5"/>
      <c r="AE879011" s="5"/>
      <c r="AH879011" s="5"/>
      <c r="AK879011" s="5"/>
    </row>
    <row r="879021" spans="25:37" x14ac:dyDescent="0.2">
      <c r="Y879021" s="251"/>
      <c r="AB879021" s="251"/>
      <c r="AE879021" s="251"/>
      <c r="AH879021" s="251"/>
      <c r="AK879021" s="251"/>
    </row>
    <row r="879136" spans="25:37" x14ac:dyDescent="0.2">
      <c r="Y879136" s="5"/>
      <c r="AB879136" s="5"/>
      <c r="AE879136" s="5"/>
      <c r="AH879136" s="5"/>
      <c r="AK879136" s="5"/>
    </row>
    <row r="879146" spans="25:37" x14ac:dyDescent="0.2">
      <c r="Y879146" s="251"/>
      <c r="AB879146" s="251"/>
      <c r="AE879146" s="251"/>
      <c r="AH879146" s="251"/>
      <c r="AK879146" s="251"/>
    </row>
    <row r="879261" spans="25:37" x14ac:dyDescent="0.2">
      <c r="Y879261" s="5"/>
      <c r="AB879261" s="5"/>
      <c r="AE879261" s="5"/>
      <c r="AH879261" s="5"/>
      <c r="AK879261" s="5"/>
    </row>
    <row r="879271" spans="25:37" x14ac:dyDescent="0.2">
      <c r="Y879271" s="251"/>
      <c r="AB879271" s="251"/>
      <c r="AE879271" s="251"/>
      <c r="AH879271" s="251"/>
      <c r="AK879271" s="251"/>
    </row>
    <row r="879386" spans="25:37" x14ac:dyDescent="0.2">
      <c r="Y879386" s="5"/>
      <c r="AB879386" s="5"/>
      <c r="AE879386" s="5"/>
      <c r="AH879386" s="5"/>
      <c r="AK879386" s="5"/>
    </row>
    <row r="879396" spans="25:37" x14ac:dyDescent="0.2">
      <c r="Y879396" s="251"/>
      <c r="AB879396" s="251"/>
      <c r="AE879396" s="251"/>
      <c r="AH879396" s="251"/>
      <c r="AK879396" s="251"/>
    </row>
    <row r="879511" spans="25:37" x14ac:dyDescent="0.2">
      <c r="Y879511" s="5"/>
      <c r="AB879511" s="5"/>
      <c r="AE879511" s="5"/>
      <c r="AH879511" s="5"/>
      <c r="AK879511" s="5"/>
    </row>
    <row r="879521" spans="25:37" x14ac:dyDescent="0.2">
      <c r="Y879521" s="251"/>
      <c r="AB879521" s="251"/>
      <c r="AE879521" s="251"/>
      <c r="AH879521" s="251"/>
      <c r="AK879521" s="251"/>
    </row>
    <row r="879636" spans="25:37" x14ac:dyDescent="0.2">
      <c r="Y879636" s="5"/>
      <c r="AB879636" s="5"/>
      <c r="AE879636" s="5"/>
      <c r="AH879636" s="5"/>
      <c r="AK879636" s="5"/>
    </row>
    <row r="879646" spans="25:37" x14ac:dyDescent="0.2">
      <c r="Y879646" s="251"/>
      <c r="AB879646" s="251"/>
      <c r="AE879646" s="251"/>
      <c r="AH879646" s="251"/>
      <c r="AK879646" s="251"/>
    </row>
    <row r="879761" spans="25:37" x14ac:dyDescent="0.2">
      <c r="Y879761" s="5"/>
      <c r="AB879761" s="5"/>
      <c r="AE879761" s="5"/>
      <c r="AH879761" s="5"/>
      <c r="AK879761" s="5"/>
    </row>
    <row r="879771" spans="25:37" x14ac:dyDescent="0.2">
      <c r="Y879771" s="251"/>
      <c r="AB879771" s="251"/>
      <c r="AE879771" s="251"/>
      <c r="AH879771" s="251"/>
      <c r="AK879771" s="251"/>
    </row>
    <row r="879886" spans="25:37" x14ac:dyDescent="0.2">
      <c r="Y879886" s="5"/>
      <c r="AB879886" s="5"/>
      <c r="AE879886" s="5"/>
      <c r="AH879886" s="5"/>
      <c r="AK879886" s="5"/>
    </row>
    <row r="879896" spans="25:37" x14ac:dyDescent="0.2">
      <c r="Y879896" s="251"/>
      <c r="AB879896" s="251"/>
      <c r="AE879896" s="251"/>
      <c r="AH879896" s="251"/>
      <c r="AK879896" s="251"/>
    </row>
    <row r="880011" spans="25:37" x14ac:dyDescent="0.2">
      <c r="Y880011" s="5"/>
      <c r="AB880011" s="5"/>
      <c r="AE880011" s="5"/>
      <c r="AH880011" s="5"/>
      <c r="AK880011" s="5"/>
    </row>
    <row r="880021" spans="25:37" x14ac:dyDescent="0.2">
      <c r="Y880021" s="251"/>
      <c r="AB880021" s="251"/>
      <c r="AE880021" s="251"/>
      <c r="AH880021" s="251"/>
      <c r="AK880021" s="251"/>
    </row>
    <row r="880136" spans="25:37" x14ac:dyDescent="0.2">
      <c r="Y880136" s="5"/>
      <c r="AB880136" s="5"/>
      <c r="AE880136" s="5"/>
      <c r="AH880136" s="5"/>
      <c r="AK880136" s="5"/>
    </row>
    <row r="880146" spans="25:37" x14ac:dyDescent="0.2">
      <c r="Y880146" s="251"/>
      <c r="AB880146" s="251"/>
      <c r="AE880146" s="251"/>
      <c r="AH880146" s="251"/>
      <c r="AK880146" s="251"/>
    </row>
    <row r="880261" spans="25:37" x14ac:dyDescent="0.2">
      <c r="Y880261" s="5"/>
      <c r="AB880261" s="5"/>
      <c r="AE880261" s="5"/>
      <c r="AH880261" s="5"/>
      <c r="AK880261" s="5"/>
    </row>
    <row r="880271" spans="25:37" x14ac:dyDescent="0.2">
      <c r="Y880271" s="251"/>
      <c r="AB880271" s="251"/>
      <c r="AE880271" s="251"/>
      <c r="AH880271" s="251"/>
      <c r="AK880271" s="251"/>
    </row>
    <row r="880386" spans="25:37" x14ac:dyDescent="0.2">
      <c r="Y880386" s="5"/>
      <c r="AB880386" s="5"/>
      <c r="AE880386" s="5"/>
      <c r="AH880386" s="5"/>
      <c r="AK880386" s="5"/>
    </row>
    <row r="880396" spans="25:37" x14ac:dyDescent="0.2">
      <c r="Y880396" s="251"/>
      <c r="AB880396" s="251"/>
      <c r="AE880396" s="251"/>
      <c r="AH880396" s="251"/>
      <c r="AK880396" s="251"/>
    </row>
    <row r="880511" spans="25:37" x14ac:dyDescent="0.2">
      <c r="Y880511" s="5"/>
      <c r="AB880511" s="5"/>
      <c r="AE880511" s="5"/>
      <c r="AH880511" s="5"/>
      <c r="AK880511" s="5"/>
    </row>
    <row r="880521" spans="25:37" x14ac:dyDescent="0.2">
      <c r="Y880521" s="251"/>
      <c r="AB880521" s="251"/>
      <c r="AE880521" s="251"/>
      <c r="AH880521" s="251"/>
      <c r="AK880521" s="251"/>
    </row>
    <row r="880636" spans="25:37" x14ac:dyDescent="0.2">
      <c r="Y880636" s="5"/>
      <c r="AB880636" s="5"/>
      <c r="AE880636" s="5"/>
      <c r="AH880636" s="5"/>
      <c r="AK880636" s="5"/>
    </row>
    <row r="880646" spans="25:37" x14ac:dyDescent="0.2">
      <c r="Y880646" s="251"/>
      <c r="AB880646" s="251"/>
      <c r="AE880646" s="251"/>
      <c r="AH880646" s="251"/>
      <c r="AK880646" s="251"/>
    </row>
    <row r="880761" spans="25:37" x14ac:dyDescent="0.2">
      <c r="Y880761" s="5"/>
      <c r="AB880761" s="5"/>
      <c r="AE880761" s="5"/>
      <c r="AH880761" s="5"/>
      <c r="AK880761" s="5"/>
    </row>
    <row r="880771" spans="25:37" x14ac:dyDescent="0.2">
      <c r="Y880771" s="251"/>
      <c r="AB880771" s="251"/>
      <c r="AE880771" s="251"/>
      <c r="AH880771" s="251"/>
      <c r="AK880771" s="251"/>
    </row>
    <row r="880886" spans="25:37" x14ac:dyDescent="0.2">
      <c r="Y880886" s="5"/>
      <c r="AB880886" s="5"/>
      <c r="AE880886" s="5"/>
      <c r="AH880886" s="5"/>
      <c r="AK880886" s="5"/>
    </row>
    <row r="880896" spans="25:37" x14ac:dyDescent="0.2">
      <c r="Y880896" s="251"/>
      <c r="AB880896" s="251"/>
      <c r="AE880896" s="251"/>
      <c r="AH880896" s="251"/>
      <c r="AK880896" s="251"/>
    </row>
    <row r="881011" spans="25:37" x14ac:dyDescent="0.2">
      <c r="Y881011" s="5"/>
      <c r="AB881011" s="5"/>
      <c r="AE881011" s="5"/>
      <c r="AH881011" s="5"/>
      <c r="AK881011" s="5"/>
    </row>
    <row r="881021" spans="25:37" x14ac:dyDescent="0.2">
      <c r="Y881021" s="251"/>
      <c r="AB881021" s="251"/>
      <c r="AE881021" s="251"/>
      <c r="AH881021" s="251"/>
      <c r="AK881021" s="251"/>
    </row>
    <row r="881136" spans="25:37" x14ac:dyDescent="0.2">
      <c r="Y881136" s="5"/>
      <c r="AB881136" s="5"/>
      <c r="AE881136" s="5"/>
      <c r="AH881136" s="5"/>
      <c r="AK881136" s="5"/>
    </row>
    <row r="881146" spans="25:37" x14ac:dyDescent="0.2">
      <c r="Y881146" s="251"/>
      <c r="AB881146" s="251"/>
      <c r="AE881146" s="251"/>
      <c r="AH881146" s="251"/>
      <c r="AK881146" s="251"/>
    </row>
    <row r="881261" spans="25:37" x14ac:dyDescent="0.2">
      <c r="Y881261" s="5"/>
      <c r="AB881261" s="5"/>
      <c r="AE881261" s="5"/>
      <c r="AH881261" s="5"/>
      <c r="AK881261" s="5"/>
    </row>
    <row r="881271" spans="25:37" x14ac:dyDescent="0.2">
      <c r="Y881271" s="251"/>
      <c r="AB881271" s="251"/>
      <c r="AE881271" s="251"/>
      <c r="AH881271" s="251"/>
      <c r="AK881271" s="251"/>
    </row>
    <row r="881386" spans="25:37" x14ac:dyDescent="0.2">
      <c r="Y881386" s="5"/>
      <c r="AB881386" s="5"/>
      <c r="AE881386" s="5"/>
      <c r="AH881386" s="5"/>
      <c r="AK881386" s="5"/>
    </row>
    <row r="881396" spans="25:37" x14ac:dyDescent="0.2">
      <c r="Y881396" s="251"/>
      <c r="AB881396" s="251"/>
      <c r="AE881396" s="251"/>
      <c r="AH881396" s="251"/>
      <c r="AK881396" s="251"/>
    </row>
    <row r="881511" spans="25:37" x14ac:dyDescent="0.2">
      <c r="Y881511" s="5"/>
      <c r="AB881511" s="5"/>
      <c r="AE881511" s="5"/>
      <c r="AH881511" s="5"/>
      <c r="AK881511" s="5"/>
    </row>
    <row r="881521" spans="25:37" x14ac:dyDescent="0.2">
      <c r="Y881521" s="251"/>
      <c r="AB881521" s="251"/>
      <c r="AE881521" s="251"/>
      <c r="AH881521" s="251"/>
      <c r="AK881521" s="251"/>
    </row>
    <row r="881636" spans="25:37" x14ac:dyDescent="0.2">
      <c r="Y881636" s="5"/>
      <c r="AB881636" s="5"/>
      <c r="AE881636" s="5"/>
      <c r="AH881636" s="5"/>
      <c r="AK881636" s="5"/>
    </row>
    <row r="881646" spans="25:37" x14ac:dyDescent="0.2">
      <c r="Y881646" s="251"/>
      <c r="AB881646" s="251"/>
      <c r="AE881646" s="251"/>
      <c r="AH881646" s="251"/>
      <c r="AK881646" s="251"/>
    </row>
    <row r="881761" spans="25:37" x14ac:dyDescent="0.2">
      <c r="Y881761" s="5"/>
      <c r="AB881761" s="5"/>
      <c r="AE881761" s="5"/>
      <c r="AH881761" s="5"/>
      <c r="AK881761" s="5"/>
    </row>
    <row r="881771" spans="25:37" x14ac:dyDescent="0.2">
      <c r="Y881771" s="251"/>
      <c r="AB881771" s="251"/>
      <c r="AE881771" s="251"/>
      <c r="AH881771" s="251"/>
      <c r="AK881771" s="251"/>
    </row>
    <row r="881886" spans="25:37" x14ac:dyDescent="0.2">
      <c r="Y881886" s="5"/>
      <c r="AB881886" s="5"/>
      <c r="AE881886" s="5"/>
      <c r="AH881886" s="5"/>
      <c r="AK881886" s="5"/>
    </row>
    <row r="881896" spans="25:37" x14ac:dyDescent="0.2">
      <c r="Y881896" s="251"/>
      <c r="AB881896" s="251"/>
      <c r="AE881896" s="251"/>
      <c r="AH881896" s="251"/>
      <c r="AK881896" s="251"/>
    </row>
    <row r="882011" spans="25:37" x14ac:dyDescent="0.2">
      <c r="Y882011" s="5"/>
      <c r="AB882011" s="5"/>
      <c r="AE882011" s="5"/>
      <c r="AH882011" s="5"/>
      <c r="AK882011" s="5"/>
    </row>
    <row r="882021" spans="25:37" x14ac:dyDescent="0.2">
      <c r="Y882021" s="251"/>
      <c r="AB882021" s="251"/>
      <c r="AE882021" s="251"/>
      <c r="AH882021" s="251"/>
      <c r="AK882021" s="251"/>
    </row>
    <row r="882136" spans="25:37" x14ac:dyDescent="0.2">
      <c r="Y882136" s="5"/>
      <c r="AB882136" s="5"/>
      <c r="AE882136" s="5"/>
      <c r="AH882136" s="5"/>
      <c r="AK882136" s="5"/>
    </row>
    <row r="882146" spans="25:37" x14ac:dyDescent="0.2">
      <c r="Y882146" s="251"/>
      <c r="AB882146" s="251"/>
      <c r="AE882146" s="251"/>
      <c r="AH882146" s="251"/>
      <c r="AK882146" s="251"/>
    </row>
    <row r="882261" spans="25:37" x14ac:dyDescent="0.2">
      <c r="Y882261" s="5"/>
      <c r="AB882261" s="5"/>
      <c r="AE882261" s="5"/>
      <c r="AH882261" s="5"/>
      <c r="AK882261" s="5"/>
    </row>
    <row r="882271" spans="25:37" x14ac:dyDescent="0.2">
      <c r="Y882271" s="251"/>
      <c r="AB882271" s="251"/>
      <c r="AE882271" s="251"/>
      <c r="AH882271" s="251"/>
      <c r="AK882271" s="251"/>
    </row>
    <row r="882386" spans="25:37" x14ac:dyDescent="0.2">
      <c r="Y882386" s="5"/>
      <c r="AB882386" s="5"/>
      <c r="AE882386" s="5"/>
      <c r="AH882386" s="5"/>
      <c r="AK882386" s="5"/>
    </row>
    <row r="882396" spans="25:37" x14ac:dyDescent="0.2">
      <c r="Y882396" s="251"/>
      <c r="AB882396" s="251"/>
      <c r="AE882396" s="251"/>
      <c r="AH882396" s="251"/>
      <c r="AK882396" s="251"/>
    </row>
    <row r="882511" spans="25:37" x14ac:dyDescent="0.2">
      <c r="Y882511" s="5"/>
      <c r="AB882511" s="5"/>
      <c r="AE882511" s="5"/>
      <c r="AH882511" s="5"/>
      <c r="AK882511" s="5"/>
    </row>
    <row r="882521" spans="25:37" x14ac:dyDescent="0.2">
      <c r="Y882521" s="251"/>
      <c r="AB882521" s="251"/>
      <c r="AE882521" s="251"/>
      <c r="AH882521" s="251"/>
      <c r="AK882521" s="251"/>
    </row>
    <row r="882636" spans="25:37" x14ac:dyDescent="0.2">
      <c r="Y882636" s="5"/>
      <c r="AB882636" s="5"/>
      <c r="AE882636" s="5"/>
      <c r="AH882636" s="5"/>
      <c r="AK882636" s="5"/>
    </row>
    <row r="882646" spans="25:37" x14ac:dyDescent="0.2">
      <c r="Y882646" s="251"/>
      <c r="AB882646" s="251"/>
      <c r="AE882646" s="251"/>
      <c r="AH882646" s="251"/>
      <c r="AK882646" s="251"/>
    </row>
    <row r="882761" spans="25:37" x14ac:dyDescent="0.2">
      <c r="Y882761" s="5"/>
      <c r="AB882761" s="5"/>
      <c r="AE882761" s="5"/>
      <c r="AH882761" s="5"/>
      <c r="AK882761" s="5"/>
    </row>
    <row r="882771" spans="25:37" x14ac:dyDescent="0.2">
      <c r="Y882771" s="251"/>
      <c r="AB882771" s="251"/>
      <c r="AE882771" s="251"/>
      <c r="AH882771" s="251"/>
      <c r="AK882771" s="251"/>
    </row>
    <row r="882886" spans="25:37" x14ac:dyDescent="0.2">
      <c r="Y882886" s="5"/>
      <c r="AB882886" s="5"/>
      <c r="AE882886" s="5"/>
      <c r="AH882886" s="5"/>
      <c r="AK882886" s="5"/>
    </row>
    <row r="882896" spans="25:37" x14ac:dyDescent="0.2">
      <c r="Y882896" s="251"/>
      <c r="AB882896" s="251"/>
      <c r="AE882896" s="251"/>
      <c r="AH882896" s="251"/>
      <c r="AK882896" s="251"/>
    </row>
    <row r="883011" spans="25:37" x14ac:dyDescent="0.2">
      <c r="Y883011" s="5"/>
      <c r="AB883011" s="5"/>
      <c r="AE883011" s="5"/>
      <c r="AH883011" s="5"/>
      <c r="AK883011" s="5"/>
    </row>
    <row r="883021" spans="25:37" x14ac:dyDescent="0.2">
      <c r="Y883021" s="251"/>
      <c r="AB883021" s="251"/>
      <c r="AE883021" s="251"/>
      <c r="AH883021" s="251"/>
      <c r="AK883021" s="251"/>
    </row>
    <row r="883136" spans="25:37" x14ac:dyDescent="0.2">
      <c r="Y883136" s="5"/>
      <c r="AB883136" s="5"/>
      <c r="AE883136" s="5"/>
      <c r="AH883136" s="5"/>
      <c r="AK883136" s="5"/>
    </row>
    <row r="883146" spans="25:37" x14ac:dyDescent="0.2">
      <c r="Y883146" s="251"/>
      <c r="AB883146" s="251"/>
      <c r="AE883146" s="251"/>
      <c r="AH883146" s="251"/>
      <c r="AK883146" s="251"/>
    </row>
    <row r="883261" spans="25:37" x14ac:dyDescent="0.2">
      <c r="Y883261" s="5"/>
      <c r="AB883261" s="5"/>
      <c r="AE883261" s="5"/>
      <c r="AH883261" s="5"/>
      <c r="AK883261" s="5"/>
    </row>
    <row r="883271" spans="25:37" x14ac:dyDescent="0.2">
      <c r="Y883271" s="251"/>
      <c r="AB883271" s="251"/>
      <c r="AE883271" s="251"/>
      <c r="AH883271" s="251"/>
      <c r="AK883271" s="251"/>
    </row>
    <row r="883386" spans="25:37" x14ac:dyDescent="0.2">
      <c r="Y883386" s="5"/>
      <c r="AB883386" s="5"/>
      <c r="AE883386" s="5"/>
      <c r="AH883386" s="5"/>
      <c r="AK883386" s="5"/>
    </row>
    <row r="883396" spans="25:37" x14ac:dyDescent="0.2">
      <c r="Y883396" s="251"/>
      <c r="AB883396" s="251"/>
      <c r="AE883396" s="251"/>
      <c r="AH883396" s="251"/>
      <c r="AK883396" s="251"/>
    </row>
    <row r="883511" spans="25:37" x14ac:dyDescent="0.2">
      <c r="Y883511" s="5"/>
      <c r="AB883511" s="5"/>
      <c r="AE883511" s="5"/>
      <c r="AH883511" s="5"/>
      <c r="AK883511" s="5"/>
    </row>
    <row r="883521" spans="25:37" x14ac:dyDescent="0.2">
      <c r="Y883521" s="251"/>
      <c r="AB883521" s="251"/>
      <c r="AE883521" s="251"/>
      <c r="AH883521" s="251"/>
      <c r="AK883521" s="251"/>
    </row>
    <row r="883636" spans="25:37" x14ac:dyDescent="0.2">
      <c r="Y883636" s="5"/>
      <c r="AB883636" s="5"/>
      <c r="AE883636" s="5"/>
      <c r="AH883636" s="5"/>
      <c r="AK883636" s="5"/>
    </row>
    <row r="883646" spans="25:37" x14ac:dyDescent="0.2">
      <c r="Y883646" s="251"/>
      <c r="AB883646" s="251"/>
      <c r="AE883646" s="251"/>
      <c r="AH883646" s="251"/>
      <c r="AK883646" s="251"/>
    </row>
    <row r="883761" spans="25:37" x14ac:dyDescent="0.2">
      <c r="Y883761" s="5"/>
      <c r="AB883761" s="5"/>
      <c r="AE883761" s="5"/>
      <c r="AH883761" s="5"/>
      <c r="AK883761" s="5"/>
    </row>
    <row r="883771" spans="25:37" x14ac:dyDescent="0.2">
      <c r="Y883771" s="251"/>
      <c r="AB883771" s="251"/>
      <c r="AE883771" s="251"/>
      <c r="AH883771" s="251"/>
      <c r="AK883771" s="251"/>
    </row>
    <row r="883886" spans="25:37" x14ac:dyDescent="0.2">
      <c r="Y883886" s="5"/>
      <c r="AB883886" s="5"/>
      <c r="AE883886" s="5"/>
      <c r="AH883886" s="5"/>
      <c r="AK883886" s="5"/>
    </row>
    <row r="883896" spans="25:37" x14ac:dyDescent="0.2">
      <c r="Y883896" s="251"/>
      <c r="AB883896" s="251"/>
      <c r="AE883896" s="251"/>
      <c r="AH883896" s="251"/>
      <c r="AK883896" s="251"/>
    </row>
    <row r="884011" spans="25:37" x14ac:dyDescent="0.2">
      <c r="Y884011" s="5"/>
      <c r="AB884011" s="5"/>
      <c r="AE884011" s="5"/>
      <c r="AH884011" s="5"/>
      <c r="AK884011" s="5"/>
    </row>
    <row r="884021" spans="25:37" x14ac:dyDescent="0.2">
      <c r="Y884021" s="251"/>
      <c r="AB884021" s="251"/>
      <c r="AE884021" s="251"/>
      <c r="AH884021" s="251"/>
      <c r="AK884021" s="251"/>
    </row>
    <row r="884136" spans="25:37" x14ac:dyDescent="0.2">
      <c r="Y884136" s="5"/>
      <c r="AB884136" s="5"/>
      <c r="AE884136" s="5"/>
      <c r="AH884136" s="5"/>
      <c r="AK884136" s="5"/>
    </row>
    <row r="884146" spans="25:37" x14ac:dyDescent="0.2">
      <c r="Y884146" s="251"/>
      <c r="AB884146" s="251"/>
      <c r="AE884146" s="251"/>
      <c r="AH884146" s="251"/>
      <c r="AK884146" s="251"/>
    </row>
    <row r="884261" spans="25:37" x14ac:dyDescent="0.2">
      <c r="Y884261" s="5"/>
      <c r="AB884261" s="5"/>
      <c r="AE884261" s="5"/>
      <c r="AH884261" s="5"/>
      <c r="AK884261" s="5"/>
    </row>
    <row r="884271" spans="25:37" x14ac:dyDescent="0.2">
      <c r="Y884271" s="251"/>
      <c r="AB884271" s="251"/>
      <c r="AE884271" s="251"/>
      <c r="AH884271" s="251"/>
      <c r="AK884271" s="251"/>
    </row>
    <row r="884386" spans="25:37" x14ac:dyDescent="0.2">
      <c r="Y884386" s="5"/>
      <c r="AB884386" s="5"/>
      <c r="AE884386" s="5"/>
      <c r="AH884386" s="5"/>
      <c r="AK884386" s="5"/>
    </row>
    <row r="884396" spans="25:37" x14ac:dyDescent="0.2">
      <c r="Y884396" s="251"/>
      <c r="AB884396" s="251"/>
      <c r="AE884396" s="251"/>
      <c r="AH884396" s="251"/>
      <c r="AK884396" s="251"/>
    </row>
    <row r="884511" spans="25:37" x14ac:dyDescent="0.2">
      <c r="Y884511" s="5"/>
      <c r="AB884511" s="5"/>
      <c r="AE884511" s="5"/>
      <c r="AH884511" s="5"/>
      <c r="AK884511" s="5"/>
    </row>
    <row r="884521" spans="25:37" x14ac:dyDescent="0.2">
      <c r="Y884521" s="251"/>
      <c r="AB884521" s="251"/>
      <c r="AE884521" s="251"/>
      <c r="AH884521" s="251"/>
      <c r="AK884521" s="251"/>
    </row>
    <row r="884636" spans="25:37" x14ac:dyDescent="0.2">
      <c r="Y884636" s="5"/>
      <c r="AB884636" s="5"/>
      <c r="AE884636" s="5"/>
      <c r="AH884636" s="5"/>
      <c r="AK884636" s="5"/>
    </row>
    <row r="884646" spans="25:37" x14ac:dyDescent="0.2">
      <c r="Y884646" s="251"/>
      <c r="AB884646" s="251"/>
      <c r="AE884646" s="251"/>
      <c r="AH884646" s="251"/>
      <c r="AK884646" s="251"/>
    </row>
    <row r="884761" spans="25:37" x14ac:dyDescent="0.2">
      <c r="Y884761" s="5"/>
      <c r="AB884761" s="5"/>
      <c r="AE884761" s="5"/>
      <c r="AH884761" s="5"/>
      <c r="AK884761" s="5"/>
    </row>
    <row r="884771" spans="25:37" x14ac:dyDescent="0.2">
      <c r="Y884771" s="251"/>
      <c r="AB884771" s="251"/>
      <c r="AE884771" s="251"/>
      <c r="AH884771" s="251"/>
      <c r="AK884771" s="251"/>
    </row>
    <row r="884886" spans="25:37" x14ac:dyDescent="0.2">
      <c r="Y884886" s="5"/>
      <c r="AB884886" s="5"/>
      <c r="AE884886" s="5"/>
      <c r="AH884886" s="5"/>
      <c r="AK884886" s="5"/>
    </row>
    <row r="884896" spans="25:37" x14ac:dyDescent="0.2">
      <c r="Y884896" s="251"/>
      <c r="AB884896" s="251"/>
      <c r="AE884896" s="251"/>
      <c r="AH884896" s="251"/>
      <c r="AK884896" s="251"/>
    </row>
    <row r="885011" spans="25:37" x14ac:dyDescent="0.2">
      <c r="Y885011" s="5"/>
      <c r="AB885011" s="5"/>
      <c r="AE885011" s="5"/>
      <c r="AH885011" s="5"/>
      <c r="AK885011" s="5"/>
    </row>
    <row r="885021" spans="25:37" x14ac:dyDescent="0.2">
      <c r="Y885021" s="251"/>
      <c r="AB885021" s="251"/>
      <c r="AE885021" s="251"/>
      <c r="AH885021" s="251"/>
      <c r="AK885021" s="251"/>
    </row>
    <row r="885136" spans="25:37" x14ac:dyDescent="0.2">
      <c r="Y885136" s="5"/>
      <c r="AB885136" s="5"/>
      <c r="AE885136" s="5"/>
      <c r="AH885136" s="5"/>
      <c r="AK885136" s="5"/>
    </row>
    <row r="885146" spans="25:37" x14ac:dyDescent="0.2">
      <c r="Y885146" s="251"/>
      <c r="AB885146" s="251"/>
      <c r="AE885146" s="251"/>
      <c r="AH885146" s="251"/>
      <c r="AK885146" s="251"/>
    </row>
    <row r="885261" spans="25:37" x14ac:dyDescent="0.2">
      <c r="Y885261" s="5"/>
      <c r="AB885261" s="5"/>
      <c r="AE885261" s="5"/>
      <c r="AH885261" s="5"/>
      <c r="AK885261" s="5"/>
    </row>
    <row r="885271" spans="25:37" x14ac:dyDescent="0.2">
      <c r="Y885271" s="251"/>
      <c r="AB885271" s="251"/>
      <c r="AE885271" s="251"/>
      <c r="AH885271" s="251"/>
      <c r="AK885271" s="251"/>
    </row>
    <row r="885386" spans="25:37" x14ac:dyDescent="0.2">
      <c r="Y885386" s="5"/>
      <c r="AB885386" s="5"/>
      <c r="AE885386" s="5"/>
      <c r="AH885386" s="5"/>
      <c r="AK885386" s="5"/>
    </row>
    <row r="885396" spans="25:37" x14ac:dyDescent="0.2">
      <c r="Y885396" s="251"/>
      <c r="AB885396" s="251"/>
      <c r="AE885396" s="251"/>
      <c r="AH885396" s="251"/>
      <c r="AK885396" s="251"/>
    </row>
    <row r="885511" spans="25:37" x14ac:dyDescent="0.2">
      <c r="Y885511" s="5"/>
      <c r="AB885511" s="5"/>
      <c r="AE885511" s="5"/>
      <c r="AH885511" s="5"/>
      <c r="AK885511" s="5"/>
    </row>
    <row r="885521" spans="25:37" x14ac:dyDescent="0.2">
      <c r="Y885521" s="251"/>
      <c r="AB885521" s="251"/>
      <c r="AE885521" s="251"/>
      <c r="AH885521" s="251"/>
      <c r="AK885521" s="251"/>
    </row>
    <row r="885636" spans="25:37" x14ac:dyDescent="0.2">
      <c r="Y885636" s="5"/>
      <c r="AB885636" s="5"/>
      <c r="AE885636" s="5"/>
      <c r="AH885636" s="5"/>
      <c r="AK885636" s="5"/>
    </row>
    <row r="885646" spans="25:37" x14ac:dyDescent="0.2">
      <c r="Y885646" s="251"/>
      <c r="AB885646" s="251"/>
      <c r="AE885646" s="251"/>
      <c r="AH885646" s="251"/>
      <c r="AK885646" s="251"/>
    </row>
    <row r="885761" spans="25:37" x14ac:dyDescent="0.2">
      <c r="Y885761" s="5"/>
      <c r="AB885761" s="5"/>
      <c r="AE885761" s="5"/>
      <c r="AH885761" s="5"/>
      <c r="AK885761" s="5"/>
    </row>
    <row r="885771" spans="25:37" x14ac:dyDescent="0.2">
      <c r="Y885771" s="251"/>
      <c r="AB885771" s="251"/>
      <c r="AE885771" s="251"/>
      <c r="AH885771" s="251"/>
      <c r="AK885771" s="251"/>
    </row>
    <row r="885886" spans="25:37" x14ac:dyDescent="0.2">
      <c r="Y885886" s="5"/>
      <c r="AB885886" s="5"/>
      <c r="AE885886" s="5"/>
      <c r="AH885886" s="5"/>
      <c r="AK885886" s="5"/>
    </row>
    <row r="885896" spans="25:37" x14ac:dyDescent="0.2">
      <c r="Y885896" s="251"/>
      <c r="AB885896" s="251"/>
      <c r="AE885896" s="251"/>
      <c r="AH885896" s="251"/>
      <c r="AK885896" s="251"/>
    </row>
    <row r="886011" spans="25:37" x14ac:dyDescent="0.2">
      <c r="Y886011" s="5"/>
      <c r="AB886011" s="5"/>
      <c r="AE886011" s="5"/>
      <c r="AH886011" s="5"/>
      <c r="AK886011" s="5"/>
    </row>
    <row r="886021" spans="25:37" x14ac:dyDescent="0.2">
      <c r="Y886021" s="251"/>
      <c r="AB886021" s="251"/>
      <c r="AE886021" s="251"/>
      <c r="AH886021" s="251"/>
      <c r="AK886021" s="251"/>
    </row>
    <row r="886136" spans="25:37" x14ac:dyDescent="0.2">
      <c r="Y886136" s="5"/>
      <c r="AB886136" s="5"/>
      <c r="AE886136" s="5"/>
      <c r="AH886136" s="5"/>
      <c r="AK886136" s="5"/>
    </row>
    <row r="886146" spans="25:37" x14ac:dyDescent="0.2">
      <c r="Y886146" s="251"/>
      <c r="AB886146" s="251"/>
      <c r="AE886146" s="251"/>
      <c r="AH886146" s="251"/>
      <c r="AK886146" s="251"/>
    </row>
    <row r="886261" spans="25:37" x14ac:dyDescent="0.2">
      <c r="Y886261" s="5"/>
      <c r="AB886261" s="5"/>
      <c r="AE886261" s="5"/>
      <c r="AH886261" s="5"/>
      <c r="AK886261" s="5"/>
    </row>
    <row r="886271" spans="25:37" x14ac:dyDescent="0.2">
      <c r="Y886271" s="251"/>
      <c r="AB886271" s="251"/>
      <c r="AE886271" s="251"/>
      <c r="AH886271" s="251"/>
      <c r="AK886271" s="251"/>
    </row>
    <row r="886386" spans="25:37" x14ac:dyDescent="0.2">
      <c r="Y886386" s="5"/>
      <c r="AB886386" s="5"/>
      <c r="AE886386" s="5"/>
      <c r="AH886386" s="5"/>
      <c r="AK886386" s="5"/>
    </row>
    <row r="886396" spans="25:37" x14ac:dyDescent="0.2">
      <c r="Y886396" s="251"/>
      <c r="AB886396" s="251"/>
      <c r="AE886396" s="251"/>
      <c r="AH886396" s="251"/>
      <c r="AK886396" s="251"/>
    </row>
    <row r="886511" spans="25:37" x14ac:dyDescent="0.2">
      <c r="Y886511" s="5"/>
      <c r="AB886511" s="5"/>
      <c r="AE886511" s="5"/>
      <c r="AH886511" s="5"/>
      <c r="AK886511" s="5"/>
    </row>
    <row r="886521" spans="25:37" x14ac:dyDescent="0.2">
      <c r="Y886521" s="251"/>
      <c r="AB886521" s="251"/>
      <c r="AE886521" s="251"/>
      <c r="AH886521" s="251"/>
      <c r="AK886521" s="251"/>
    </row>
    <row r="886636" spans="25:37" x14ac:dyDescent="0.2">
      <c r="Y886636" s="5"/>
      <c r="AB886636" s="5"/>
      <c r="AE886636" s="5"/>
      <c r="AH886636" s="5"/>
      <c r="AK886636" s="5"/>
    </row>
    <row r="886646" spans="25:37" x14ac:dyDescent="0.2">
      <c r="Y886646" s="251"/>
      <c r="AB886646" s="251"/>
      <c r="AE886646" s="251"/>
      <c r="AH886646" s="251"/>
      <c r="AK886646" s="251"/>
    </row>
    <row r="886761" spans="25:37" x14ac:dyDescent="0.2">
      <c r="Y886761" s="5"/>
      <c r="AB886761" s="5"/>
      <c r="AE886761" s="5"/>
      <c r="AH886761" s="5"/>
      <c r="AK886761" s="5"/>
    </row>
    <row r="886771" spans="25:37" x14ac:dyDescent="0.2">
      <c r="Y886771" s="251"/>
      <c r="AB886771" s="251"/>
      <c r="AE886771" s="251"/>
      <c r="AH886771" s="251"/>
      <c r="AK886771" s="251"/>
    </row>
    <row r="886886" spans="25:37" x14ac:dyDescent="0.2">
      <c r="Y886886" s="5"/>
      <c r="AB886886" s="5"/>
      <c r="AE886886" s="5"/>
      <c r="AH886886" s="5"/>
      <c r="AK886886" s="5"/>
    </row>
    <row r="886896" spans="25:37" x14ac:dyDescent="0.2">
      <c r="Y886896" s="251"/>
      <c r="AB886896" s="251"/>
      <c r="AE886896" s="251"/>
      <c r="AH886896" s="251"/>
      <c r="AK886896" s="251"/>
    </row>
    <row r="887011" spans="25:37" x14ac:dyDescent="0.2">
      <c r="Y887011" s="5"/>
      <c r="AB887011" s="5"/>
      <c r="AE887011" s="5"/>
      <c r="AH887011" s="5"/>
      <c r="AK887011" s="5"/>
    </row>
    <row r="887021" spans="25:37" x14ac:dyDescent="0.2">
      <c r="Y887021" s="251"/>
      <c r="AB887021" s="251"/>
      <c r="AE887021" s="251"/>
      <c r="AH887021" s="251"/>
      <c r="AK887021" s="251"/>
    </row>
    <row r="887136" spans="25:37" x14ac:dyDescent="0.2">
      <c r="Y887136" s="5"/>
      <c r="AB887136" s="5"/>
      <c r="AE887136" s="5"/>
      <c r="AH887136" s="5"/>
      <c r="AK887136" s="5"/>
    </row>
    <row r="887146" spans="25:37" x14ac:dyDescent="0.2">
      <c r="Y887146" s="251"/>
      <c r="AB887146" s="251"/>
      <c r="AE887146" s="251"/>
      <c r="AH887146" s="251"/>
      <c r="AK887146" s="251"/>
    </row>
    <row r="887261" spans="25:37" x14ac:dyDescent="0.2">
      <c r="Y887261" s="5"/>
      <c r="AB887261" s="5"/>
      <c r="AE887261" s="5"/>
      <c r="AH887261" s="5"/>
      <c r="AK887261" s="5"/>
    </row>
    <row r="887271" spans="25:37" x14ac:dyDescent="0.2">
      <c r="Y887271" s="251"/>
      <c r="AB887271" s="251"/>
      <c r="AE887271" s="251"/>
      <c r="AH887271" s="251"/>
      <c r="AK887271" s="251"/>
    </row>
    <row r="887386" spans="25:37" x14ac:dyDescent="0.2">
      <c r="Y887386" s="5"/>
      <c r="AB887386" s="5"/>
      <c r="AE887386" s="5"/>
      <c r="AH887386" s="5"/>
      <c r="AK887386" s="5"/>
    </row>
    <row r="887396" spans="25:37" x14ac:dyDescent="0.2">
      <c r="Y887396" s="251"/>
      <c r="AB887396" s="251"/>
      <c r="AE887396" s="251"/>
      <c r="AH887396" s="251"/>
      <c r="AK887396" s="251"/>
    </row>
    <row r="887511" spans="25:37" x14ac:dyDescent="0.2">
      <c r="Y887511" s="5"/>
      <c r="AB887511" s="5"/>
      <c r="AE887511" s="5"/>
      <c r="AH887511" s="5"/>
      <c r="AK887511" s="5"/>
    </row>
    <row r="887521" spans="25:37" x14ac:dyDescent="0.2">
      <c r="Y887521" s="251"/>
      <c r="AB887521" s="251"/>
      <c r="AE887521" s="251"/>
      <c r="AH887521" s="251"/>
      <c r="AK887521" s="251"/>
    </row>
    <row r="887636" spans="25:37" x14ac:dyDescent="0.2">
      <c r="Y887636" s="5"/>
      <c r="AB887636" s="5"/>
      <c r="AE887636" s="5"/>
      <c r="AH887636" s="5"/>
      <c r="AK887636" s="5"/>
    </row>
    <row r="887646" spans="25:37" x14ac:dyDescent="0.2">
      <c r="Y887646" s="251"/>
      <c r="AB887646" s="251"/>
      <c r="AE887646" s="251"/>
      <c r="AH887646" s="251"/>
      <c r="AK887646" s="251"/>
    </row>
    <row r="887761" spans="25:37" x14ac:dyDescent="0.2">
      <c r="Y887761" s="5"/>
      <c r="AB887761" s="5"/>
      <c r="AE887761" s="5"/>
      <c r="AH887761" s="5"/>
      <c r="AK887761" s="5"/>
    </row>
    <row r="887771" spans="25:37" x14ac:dyDescent="0.2">
      <c r="Y887771" s="251"/>
      <c r="AB887771" s="251"/>
      <c r="AE887771" s="251"/>
      <c r="AH887771" s="251"/>
      <c r="AK887771" s="251"/>
    </row>
    <row r="887886" spans="25:37" x14ac:dyDescent="0.2">
      <c r="Y887886" s="5"/>
      <c r="AB887886" s="5"/>
      <c r="AE887886" s="5"/>
      <c r="AH887886" s="5"/>
      <c r="AK887886" s="5"/>
    </row>
    <row r="887896" spans="25:37" x14ac:dyDescent="0.2">
      <c r="Y887896" s="251"/>
      <c r="AB887896" s="251"/>
      <c r="AE887896" s="251"/>
      <c r="AH887896" s="251"/>
      <c r="AK887896" s="251"/>
    </row>
    <row r="888011" spans="25:37" x14ac:dyDescent="0.2">
      <c r="Y888011" s="5"/>
      <c r="AB888011" s="5"/>
      <c r="AE888011" s="5"/>
      <c r="AH888011" s="5"/>
      <c r="AK888011" s="5"/>
    </row>
    <row r="888021" spans="25:37" x14ac:dyDescent="0.2">
      <c r="Y888021" s="251"/>
      <c r="AB888021" s="251"/>
      <c r="AE888021" s="251"/>
      <c r="AH888021" s="251"/>
      <c r="AK888021" s="251"/>
    </row>
    <row r="888136" spans="25:37" x14ac:dyDescent="0.2">
      <c r="Y888136" s="5"/>
      <c r="AB888136" s="5"/>
      <c r="AE888136" s="5"/>
      <c r="AH888136" s="5"/>
      <c r="AK888136" s="5"/>
    </row>
    <row r="888146" spans="25:37" x14ac:dyDescent="0.2">
      <c r="Y888146" s="251"/>
      <c r="AB888146" s="251"/>
      <c r="AE888146" s="251"/>
      <c r="AH888146" s="251"/>
      <c r="AK888146" s="251"/>
    </row>
    <row r="888261" spans="25:37" x14ac:dyDescent="0.2">
      <c r="Y888261" s="5"/>
      <c r="AB888261" s="5"/>
      <c r="AE888261" s="5"/>
      <c r="AH888261" s="5"/>
      <c r="AK888261" s="5"/>
    </row>
    <row r="888271" spans="25:37" x14ac:dyDescent="0.2">
      <c r="Y888271" s="251"/>
      <c r="AB888271" s="251"/>
      <c r="AE888271" s="251"/>
      <c r="AH888271" s="251"/>
      <c r="AK888271" s="251"/>
    </row>
    <row r="888386" spans="25:37" x14ac:dyDescent="0.2">
      <c r="Y888386" s="5"/>
      <c r="AB888386" s="5"/>
      <c r="AE888386" s="5"/>
      <c r="AH888386" s="5"/>
      <c r="AK888386" s="5"/>
    </row>
    <row r="888396" spans="25:37" x14ac:dyDescent="0.2">
      <c r="Y888396" s="251"/>
      <c r="AB888396" s="251"/>
      <c r="AE888396" s="251"/>
      <c r="AH888396" s="251"/>
      <c r="AK888396" s="251"/>
    </row>
    <row r="888511" spans="25:37" x14ac:dyDescent="0.2">
      <c r="Y888511" s="5"/>
      <c r="AB888511" s="5"/>
      <c r="AE888511" s="5"/>
      <c r="AH888511" s="5"/>
      <c r="AK888511" s="5"/>
    </row>
    <row r="888521" spans="25:37" x14ac:dyDescent="0.2">
      <c r="Y888521" s="251"/>
      <c r="AB888521" s="251"/>
      <c r="AE888521" s="251"/>
      <c r="AH888521" s="251"/>
      <c r="AK888521" s="251"/>
    </row>
    <row r="888636" spans="25:37" x14ac:dyDescent="0.2">
      <c r="Y888636" s="5"/>
      <c r="AB888636" s="5"/>
      <c r="AE888636" s="5"/>
      <c r="AH888636" s="5"/>
      <c r="AK888636" s="5"/>
    </row>
    <row r="888646" spans="25:37" x14ac:dyDescent="0.2">
      <c r="Y888646" s="251"/>
      <c r="AB888646" s="251"/>
      <c r="AE888646" s="251"/>
      <c r="AH888646" s="251"/>
      <c r="AK888646" s="251"/>
    </row>
    <row r="888761" spans="25:37" x14ac:dyDescent="0.2">
      <c r="Y888761" s="5"/>
      <c r="AB888761" s="5"/>
      <c r="AE888761" s="5"/>
      <c r="AH888761" s="5"/>
      <c r="AK888761" s="5"/>
    </row>
    <row r="888771" spans="25:37" x14ac:dyDescent="0.2">
      <c r="Y888771" s="251"/>
      <c r="AB888771" s="251"/>
      <c r="AE888771" s="251"/>
      <c r="AH888771" s="251"/>
      <c r="AK888771" s="251"/>
    </row>
    <row r="888886" spans="25:37" x14ac:dyDescent="0.2">
      <c r="Y888886" s="5"/>
      <c r="AB888886" s="5"/>
      <c r="AE888886" s="5"/>
      <c r="AH888886" s="5"/>
      <c r="AK888886" s="5"/>
    </row>
    <row r="888896" spans="25:37" x14ac:dyDescent="0.2">
      <c r="Y888896" s="251"/>
      <c r="AB888896" s="251"/>
      <c r="AE888896" s="251"/>
      <c r="AH888896" s="251"/>
      <c r="AK888896" s="251"/>
    </row>
    <row r="889011" spans="25:37" x14ac:dyDescent="0.2">
      <c r="Y889011" s="5"/>
      <c r="AB889011" s="5"/>
      <c r="AE889011" s="5"/>
      <c r="AH889011" s="5"/>
      <c r="AK889011" s="5"/>
    </row>
    <row r="889021" spans="25:37" x14ac:dyDescent="0.2">
      <c r="Y889021" s="251"/>
      <c r="AB889021" s="251"/>
      <c r="AE889021" s="251"/>
      <c r="AH889021" s="251"/>
      <c r="AK889021" s="251"/>
    </row>
    <row r="889136" spans="25:37" x14ac:dyDescent="0.2">
      <c r="Y889136" s="5"/>
      <c r="AB889136" s="5"/>
      <c r="AE889136" s="5"/>
      <c r="AH889136" s="5"/>
      <c r="AK889136" s="5"/>
    </row>
    <row r="889146" spans="25:37" x14ac:dyDescent="0.2">
      <c r="Y889146" s="251"/>
      <c r="AB889146" s="251"/>
      <c r="AE889146" s="251"/>
      <c r="AH889146" s="251"/>
      <c r="AK889146" s="251"/>
    </row>
    <row r="889261" spans="25:37" x14ac:dyDescent="0.2">
      <c r="Y889261" s="5"/>
      <c r="AB889261" s="5"/>
      <c r="AE889261" s="5"/>
      <c r="AH889261" s="5"/>
      <c r="AK889261" s="5"/>
    </row>
    <row r="889271" spans="25:37" x14ac:dyDescent="0.2">
      <c r="Y889271" s="251"/>
      <c r="AB889271" s="251"/>
      <c r="AE889271" s="251"/>
      <c r="AH889271" s="251"/>
      <c r="AK889271" s="251"/>
    </row>
    <row r="889386" spans="25:37" x14ac:dyDescent="0.2">
      <c r="Y889386" s="5"/>
      <c r="AB889386" s="5"/>
      <c r="AE889386" s="5"/>
      <c r="AH889386" s="5"/>
      <c r="AK889386" s="5"/>
    </row>
    <row r="889396" spans="25:37" x14ac:dyDescent="0.2">
      <c r="Y889396" s="251"/>
      <c r="AB889396" s="251"/>
      <c r="AE889396" s="251"/>
      <c r="AH889396" s="251"/>
      <c r="AK889396" s="251"/>
    </row>
    <row r="889511" spans="25:37" x14ac:dyDescent="0.2">
      <c r="Y889511" s="5"/>
      <c r="AB889511" s="5"/>
      <c r="AE889511" s="5"/>
      <c r="AH889511" s="5"/>
      <c r="AK889511" s="5"/>
    </row>
    <row r="889521" spans="25:37" x14ac:dyDescent="0.2">
      <c r="Y889521" s="251"/>
      <c r="AB889521" s="251"/>
      <c r="AE889521" s="251"/>
      <c r="AH889521" s="251"/>
      <c r="AK889521" s="251"/>
    </row>
    <row r="889636" spans="25:37" x14ac:dyDescent="0.2">
      <c r="Y889636" s="5"/>
      <c r="AB889636" s="5"/>
      <c r="AE889636" s="5"/>
      <c r="AH889636" s="5"/>
      <c r="AK889636" s="5"/>
    </row>
    <row r="889646" spans="25:37" x14ac:dyDescent="0.2">
      <c r="Y889646" s="251"/>
      <c r="AB889646" s="251"/>
      <c r="AE889646" s="251"/>
      <c r="AH889646" s="251"/>
      <c r="AK889646" s="251"/>
    </row>
    <row r="889761" spans="25:37" x14ac:dyDescent="0.2">
      <c r="Y889761" s="5"/>
      <c r="AB889761" s="5"/>
      <c r="AE889761" s="5"/>
      <c r="AH889761" s="5"/>
      <c r="AK889761" s="5"/>
    </row>
    <row r="889771" spans="25:37" x14ac:dyDescent="0.2">
      <c r="Y889771" s="251"/>
      <c r="AB889771" s="251"/>
      <c r="AE889771" s="251"/>
      <c r="AH889771" s="251"/>
      <c r="AK889771" s="251"/>
    </row>
    <row r="889886" spans="25:37" x14ac:dyDescent="0.2">
      <c r="Y889886" s="5"/>
      <c r="AB889886" s="5"/>
      <c r="AE889886" s="5"/>
      <c r="AH889886" s="5"/>
      <c r="AK889886" s="5"/>
    </row>
    <row r="889896" spans="25:37" x14ac:dyDescent="0.2">
      <c r="Y889896" s="251"/>
      <c r="AB889896" s="251"/>
      <c r="AE889896" s="251"/>
      <c r="AH889896" s="251"/>
      <c r="AK889896" s="251"/>
    </row>
    <row r="890011" spans="25:37" x14ac:dyDescent="0.2">
      <c r="Y890011" s="5"/>
      <c r="AB890011" s="5"/>
      <c r="AE890011" s="5"/>
      <c r="AH890011" s="5"/>
      <c r="AK890011" s="5"/>
    </row>
    <row r="890021" spans="25:37" x14ac:dyDescent="0.2">
      <c r="Y890021" s="251"/>
      <c r="AB890021" s="251"/>
      <c r="AE890021" s="251"/>
      <c r="AH890021" s="251"/>
      <c r="AK890021" s="251"/>
    </row>
    <row r="890136" spans="25:37" x14ac:dyDescent="0.2">
      <c r="Y890136" s="5"/>
      <c r="AB890136" s="5"/>
      <c r="AE890136" s="5"/>
      <c r="AH890136" s="5"/>
      <c r="AK890136" s="5"/>
    </row>
    <row r="890146" spans="25:37" x14ac:dyDescent="0.2">
      <c r="Y890146" s="251"/>
      <c r="AB890146" s="251"/>
      <c r="AE890146" s="251"/>
      <c r="AH890146" s="251"/>
      <c r="AK890146" s="251"/>
    </row>
    <row r="890261" spans="25:37" x14ac:dyDescent="0.2">
      <c r="Y890261" s="5"/>
      <c r="AB890261" s="5"/>
      <c r="AE890261" s="5"/>
      <c r="AH890261" s="5"/>
      <c r="AK890261" s="5"/>
    </row>
    <row r="890271" spans="25:37" x14ac:dyDescent="0.2">
      <c r="Y890271" s="251"/>
      <c r="AB890271" s="251"/>
      <c r="AE890271" s="251"/>
      <c r="AH890271" s="251"/>
      <c r="AK890271" s="251"/>
    </row>
    <row r="890386" spans="25:37" x14ac:dyDescent="0.2">
      <c r="Y890386" s="5"/>
      <c r="AB890386" s="5"/>
      <c r="AE890386" s="5"/>
      <c r="AH890386" s="5"/>
      <c r="AK890386" s="5"/>
    </row>
    <row r="890396" spans="25:37" x14ac:dyDescent="0.2">
      <c r="Y890396" s="251"/>
      <c r="AB890396" s="251"/>
      <c r="AE890396" s="251"/>
      <c r="AH890396" s="251"/>
      <c r="AK890396" s="251"/>
    </row>
    <row r="890511" spans="25:37" x14ac:dyDescent="0.2">
      <c r="Y890511" s="5"/>
      <c r="AB890511" s="5"/>
      <c r="AE890511" s="5"/>
      <c r="AH890511" s="5"/>
      <c r="AK890511" s="5"/>
    </row>
    <row r="890521" spans="25:37" x14ac:dyDescent="0.2">
      <c r="Y890521" s="251"/>
      <c r="AB890521" s="251"/>
      <c r="AE890521" s="251"/>
      <c r="AH890521" s="251"/>
      <c r="AK890521" s="251"/>
    </row>
    <row r="890636" spans="25:37" x14ac:dyDescent="0.2">
      <c r="Y890636" s="5"/>
      <c r="AB890636" s="5"/>
      <c r="AE890636" s="5"/>
      <c r="AH890636" s="5"/>
      <c r="AK890636" s="5"/>
    </row>
    <row r="890646" spans="25:37" x14ac:dyDescent="0.2">
      <c r="Y890646" s="251"/>
      <c r="AB890646" s="251"/>
      <c r="AE890646" s="251"/>
      <c r="AH890646" s="251"/>
      <c r="AK890646" s="251"/>
    </row>
    <row r="890761" spans="25:37" x14ac:dyDescent="0.2">
      <c r="Y890761" s="5"/>
      <c r="AB890761" s="5"/>
      <c r="AE890761" s="5"/>
      <c r="AH890761" s="5"/>
      <c r="AK890761" s="5"/>
    </row>
    <row r="890771" spans="25:37" x14ac:dyDescent="0.2">
      <c r="Y890771" s="251"/>
      <c r="AB890771" s="251"/>
      <c r="AE890771" s="251"/>
      <c r="AH890771" s="251"/>
      <c r="AK890771" s="251"/>
    </row>
    <row r="890886" spans="25:37" x14ac:dyDescent="0.2">
      <c r="Y890886" s="5"/>
      <c r="AB890886" s="5"/>
      <c r="AE890886" s="5"/>
      <c r="AH890886" s="5"/>
      <c r="AK890886" s="5"/>
    </row>
    <row r="890896" spans="25:37" x14ac:dyDescent="0.2">
      <c r="Y890896" s="251"/>
      <c r="AB890896" s="251"/>
      <c r="AE890896" s="251"/>
      <c r="AH890896" s="251"/>
      <c r="AK890896" s="251"/>
    </row>
    <row r="891011" spans="25:37" x14ac:dyDescent="0.2">
      <c r="Y891011" s="5"/>
      <c r="AB891011" s="5"/>
      <c r="AE891011" s="5"/>
      <c r="AH891011" s="5"/>
      <c r="AK891011" s="5"/>
    </row>
    <row r="891021" spans="25:37" x14ac:dyDescent="0.2">
      <c r="Y891021" s="251"/>
      <c r="AB891021" s="251"/>
      <c r="AE891021" s="251"/>
      <c r="AH891021" s="251"/>
      <c r="AK891021" s="251"/>
    </row>
    <row r="891136" spans="25:37" x14ac:dyDescent="0.2">
      <c r="Y891136" s="5"/>
      <c r="AB891136" s="5"/>
      <c r="AE891136" s="5"/>
      <c r="AH891136" s="5"/>
      <c r="AK891136" s="5"/>
    </row>
    <row r="891146" spans="25:37" x14ac:dyDescent="0.2">
      <c r="Y891146" s="251"/>
      <c r="AB891146" s="251"/>
      <c r="AE891146" s="251"/>
      <c r="AH891146" s="251"/>
      <c r="AK891146" s="251"/>
    </row>
    <row r="891261" spans="25:37" x14ac:dyDescent="0.2">
      <c r="Y891261" s="5"/>
      <c r="AB891261" s="5"/>
      <c r="AE891261" s="5"/>
      <c r="AH891261" s="5"/>
      <c r="AK891261" s="5"/>
    </row>
    <row r="891271" spans="25:37" x14ac:dyDescent="0.2">
      <c r="Y891271" s="251"/>
      <c r="AB891271" s="251"/>
      <c r="AE891271" s="251"/>
      <c r="AH891271" s="251"/>
      <c r="AK891271" s="251"/>
    </row>
    <row r="891386" spans="25:37" x14ac:dyDescent="0.2">
      <c r="Y891386" s="5"/>
      <c r="AB891386" s="5"/>
      <c r="AE891386" s="5"/>
      <c r="AH891386" s="5"/>
      <c r="AK891386" s="5"/>
    </row>
    <row r="891396" spans="25:37" x14ac:dyDescent="0.2">
      <c r="Y891396" s="251"/>
      <c r="AB891396" s="251"/>
      <c r="AE891396" s="251"/>
      <c r="AH891396" s="251"/>
      <c r="AK891396" s="251"/>
    </row>
    <row r="891511" spans="25:37" x14ac:dyDescent="0.2">
      <c r="Y891511" s="5"/>
      <c r="AB891511" s="5"/>
      <c r="AE891511" s="5"/>
      <c r="AH891511" s="5"/>
      <c r="AK891511" s="5"/>
    </row>
    <row r="891521" spans="25:37" x14ac:dyDescent="0.2">
      <c r="Y891521" s="251"/>
      <c r="AB891521" s="251"/>
      <c r="AE891521" s="251"/>
      <c r="AH891521" s="251"/>
      <c r="AK891521" s="251"/>
    </row>
    <row r="891636" spans="25:37" x14ac:dyDescent="0.2">
      <c r="Y891636" s="5"/>
      <c r="AB891636" s="5"/>
      <c r="AE891636" s="5"/>
      <c r="AH891636" s="5"/>
      <c r="AK891636" s="5"/>
    </row>
    <row r="891646" spans="25:37" x14ac:dyDescent="0.2">
      <c r="Y891646" s="251"/>
      <c r="AB891646" s="251"/>
      <c r="AE891646" s="251"/>
      <c r="AH891646" s="251"/>
      <c r="AK891646" s="251"/>
    </row>
    <row r="891761" spans="25:37" x14ac:dyDescent="0.2">
      <c r="Y891761" s="5"/>
      <c r="AB891761" s="5"/>
      <c r="AE891761" s="5"/>
      <c r="AH891761" s="5"/>
      <c r="AK891761" s="5"/>
    </row>
    <row r="891771" spans="25:37" x14ac:dyDescent="0.2">
      <c r="Y891771" s="251"/>
      <c r="AB891771" s="251"/>
      <c r="AE891771" s="251"/>
      <c r="AH891771" s="251"/>
      <c r="AK891771" s="251"/>
    </row>
    <row r="891886" spans="25:37" x14ac:dyDescent="0.2">
      <c r="Y891886" s="5"/>
      <c r="AB891886" s="5"/>
      <c r="AE891886" s="5"/>
      <c r="AH891886" s="5"/>
      <c r="AK891886" s="5"/>
    </row>
    <row r="891896" spans="25:37" x14ac:dyDescent="0.2">
      <c r="Y891896" s="251"/>
      <c r="AB891896" s="251"/>
      <c r="AE891896" s="251"/>
      <c r="AH891896" s="251"/>
      <c r="AK891896" s="251"/>
    </row>
    <row r="892011" spans="25:37" x14ac:dyDescent="0.2">
      <c r="Y892011" s="5"/>
      <c r="AB892011" s="5"/>
      <c r="AE892011" s="5"/>
      <c r="AH892011" s="5"/>
      <c r="AK892011" s="5"/>
    </row>
    <row r="892021" spans="25:37" x14ac:dyDescent="0.2">
      <c r="Y892021" s="251"/>
      <c r="AB892021" s="251"/>
      <c r="AE892021" s="251"/>
      <c r="AH892021" s="251"/>
      <c r="AK892021" s="251"/>
    </row>
    <row r="892136" spans="25:37" x14ac:dyDescent="0.2">
      <c r="Y892136" s="5"/>
      <c r="AB892136" s="5"/>
      <c r="AE892136" s="5"/>
      <c r="AH892136" s="5"/>
      <c r="AK892136" s="5"/>
    </row>
    <row r="892146" spans="25:37" x14ac:dyDescent="0.2">
      <c r="Y892146" s="251"/>
      <c r="AB892146" s="251"/>
      <c r="AE892146" s="251"/>
      <c r="AH892146" s="251"/>
      <c r="AK892146" s="251"/>
    </row>
    <row r="892261" spans="25:37" x14ac:dyDescent="0.2">
      <c r="Y892261" s="5"/>
      <c r="AB892261" s="5"/>
      <c r="AE892261" s="5"/>
      <c r="AH892261" s="5"/>
      <c r="AK892261" s="5"/>
    </row>
    <row r="892271" spans="25:37" x14ac:dyDescent="0.2">
      <c r="Y892271" s="251"/>
      <c r="AB892271" s="251"/>
      <c r="AE892271" s="251"/>
      <c r="AH892271" s="251"/>
      <c r="AK892271" s="251"/>
    </row>
    <row r="892386" spans="25:37" x14ac:dyDescent="0.2">
      <c r="Y892386" s="5"/>
      <c r="AB892386" s="5"/>
      <c r="AE892386" s="5"/>
      <c r="AH892386" s="5"/>
      <c r="AK892386" s="5"/>
    </row>
    <row r="892396" spans="25:37" x14ac:dyDescent="0.2">
      <c r="Y892396" s="251"/>
      <c r="AB892396" s="251"/>
      <c r="AE892396" s="251"/>
      <c r="AH892396" s="251"/>
      <c r="AK892396" s="251"/>
    </row>
    <row r="892511" spans="25:37" x14ac:dyDescent="0.2">
      <c r="Y892511" s="5"/>
      <c r="AB892511" s="5"/>
      <c r="AE892511" s="5"/>
      <c r="AH892511" s="5"/>
      <c r="AK892511" s="5"/>
    </row>
    <row r="892521" spans="25:37" x14ac:dyDescent="0.2">
      <c r="Y892521" s="251"/>
      <c r="AB892521" s="251"/>
      <c r="AE892521" s="251"/>
      <c r="AH892521" s="251"/>
      <c r="AK892521" s="251"/>
    </row>
    <row r="892636" spans="25:37" x14ac:dyDescent="0.2">
      <c r="Y892636" s="5"/>
      <c r="AB892636" s="5"/>
      <c r="AE892636" s="5"/>
      <c r="AH892636" s="5"/>
      <c r="AK892636" s="5"/>
    </row>
    <row r="892646" spans="25:37" x14ac:dyDescent="0.2">
      <c r="Y892646" s="251"/>
      <c r="AB892646" s="251"/>
      <c r="AE892646" s="251"/>
      <c r="AH892646" s="251"/>
      <c r="AK892646" s="251"/>
    </row>
    <row r="892761" spans="25:37" x14ac:dyDescent="0.2">
      <c r="Y892761" s="5"/>
      <c r="AB892761" s="5"/>
      <c r="AE892761" s="5"/>
      <c r="AH892761" s="5"/>
      <c r="AK892761" s="5"/>
    </row>
    <row r="892771" spans="25:37" x14ac:dyDescent="0.2">
      <c r="Y892771" s="251"/>
      <c r="AB892771" s="251"/>
      <c r="AE892771" s="251"/>
      <c r="AH892771" s="251"/>
      <c r="AK892771" s="251"/>
    </row>
    <row r="892886" spans="25:37" x14ac:dyDescent="0.2">
      <c r="Y892886" s="5"/>
      <c r="AB892886" s="5"/>
      <c r="AE892886" s="5"/>
      <c r="AH892886" s="5"/>
      <c r="AK892886" s="5"/>
    </row>
    <row r="892896" spans="25:37" x14ac:dyDescent="0.2">
      <c r="Y892896" s="251"/>
      <c r="AB892896" s="251"/>
      <c r="AE892896" s="251"/>
      <c r="AH892896" s="251"/>
      <c r="AK892896" s="251"/>
    </row>
    <row r="893011" spans="25:37" x14ac:dyDescent="0.2">
      <c r="Y893011" s="5"/>
      <c r="AB893011" s="5"/>
      <c r="AE893011" s="5"/>
      <c r="AH893011" s="5"/>
      <c r="AK893011" s="5"/>
    </row>
    <row r="893021" spans="25:37" x14ac:dyDescent="0.2">
      <c r="Y893021" s="251"/>
      <c r="AB893021" s="251"/>
      <c r="AE893021" s="251"/>
      <c r="AH893021" s="251"/>
      <c r="AK893021" s="251"/>
    </row>
    <row r="893136" spans="25:37" x14ac:dyDescent="0.2">
      <c r="Y893136" s="5"/>
      <c r="AB893136" s="5"/>
      <c r="AE893136" s="5"/>
      <c r="AH893136" s="5"/>
      <c r="AK893136" s="5"/>
    </row>
    <row r="893146" spans="25:37" x14ac:dyDescent="0.2">
      <c r="Y893146" s="251"/>
      <c r="AB893146" s="251"/>
      <c r="AE893146" s="251"/>
      <c r="AH893146" s="251"/>
      <c r="AK893146" s="251"/>
    </row>
    <row r="893261" spans="25:37" x14ac:dyDescent="0.2">
      <c r="Y893261" s="5"/>
      <c r="AB893261" s="5"/>
      <c r="AE893261" s="5"/>
      <c r="AH893261" s="5"/>
      <c r="AK893261" s="5"/>
    </row>
    <row r="893271" spans="25:37" x14ac:dyDescent="0.2">
      <c r="Y893271" s="251"/>
      <c r="AB893271" s="251"/>
      <c r="AE893271" s="251"/>
      <c r="AH893271" s="251"/>
      <c r="AK893271" s="251"/>
    </row>
    <row r="893386" spans="25:37" x14ac:dyDescent="0.2">
      <c r="Y893386" s="5"/>
      <c r="AB893386" s="5"/>
      <c r="AE893386" s="5"/>
      <c r="AH893386" s="5"/>
      <c r="AK893386" s="5"/>
    </row>
    <row r="893396" spans="25:37" x14ac:dyDescent="0.2">
      <c r="Y893396" s="251"/>
      <c r="AB893396" s="251"/>
      <c r="AE893396" s="251"/>
      <c r="AH893396" s="251"/>
      <c r="AK893396" s="251"/>
    </row>
    <row r="893511" spans="25:37" x14ac:dyDescent="0.2">
      <c r="Y893511" s="5"/>
      <c r="AB893511" s="5"/>
      <c r="AE893511" s="5"/>
      <c r="AH893511" s="5"/>
      <c r="AK893511" s="5"/>
    </row>
    <row r="893521" spans="25:37" x14ac:dyDescent="0.2">
      <c r="Y893521" s="251"/>
      <c r="AB893521" s="251"/>
      <c r="AE893521" s="251"/>
      <c r="AH893521" s="251"/>
      <c r="AK893521" s="251"/>
    </row>
    <row r="893636" spans="25:37" x14ac:dyDescent="0.2">
      <c r="Y893636" s="5"/>
      <c r="AB893636" s="5"/>
      <c r="AE893636" s="5"/>
      <c r="AH893636" s="5"/>
      <c r="AK893636" s="5"/>
    </row>
    <row r="893646" spans="25:37" x14ac:dyDescent="0.2">
      <c r="Y893646" s="251"/>
      <c r="AB893646" s="251"/>
      <c r="AE893646" s="251"/>
      <c r="AH893646" s="251"/>
      <c r="AK893646" s="251"/>
    </row>
    <row r="893761" spans="25:37" x14ac:dyDescent="0.2">
      <c r="Y893761" s="5"/>
      <c r="AB893761" s="5"/>
      <c r="AE893761" s="5"/>
      <c r="AH893761" s="5"/>
      <c r="AK893761" s="5"/>
    </row>
    <row r="893771" spans="25:37" x14ac:dyDescent="0.2">
      <c r="Y893771" s="251"/>
      <c r="AB893771" s="251"/>
      <c r="AE893771" s="251"/>
      <c r="AH893771" s="251"/>
      <c r="AK893771" s="251"/>
    </row>
    <row r="893886" spans="25:37" x14ac:dyDescent="0.2">
      <c r="Y893886" s="5"/>
      <c r="AB893886" s="5"/>
      <c r="AE893886" s="5"/>
      <c r="AH893886" s="5"/>
      <c r="AK893886" s="5"/>
    </row>
    <row r="893896" spans="25:37" x14ac:dyDescent="0.2">
      <c r="Y893896" s="251"/>
      <c r="AB893896" s="251"/>
      <c r="AE893896" s="251"/>
      <c r="AH893896" s="251"/>
      <c r="AK893896" s="251"/>
    </row>
    <row r="894011" spans="25:37" x14ac:dyDescent="0.2">
      <c r="Y894011" s="5"/>
      <c r="AB894011" s="5"/>
      <c r="AE894011" s="5"/>
      <c r="AH894011" s="5"/>
      <c r="AK894011" s="5"/>
    </row>
    <row r="894021" spans="25:37" x14ac:dyDescent="0.2">
      <c r="Y894021" s="251"/>
      <c r="AB894021" s="251"/>
      <c r="AE894021" s="251"/>
      <c r="AH894021" s="251"/>
      <c r="AK894021" s="251"/>
    </row>
    <row r="894136" spans="25:37" x14ac:dyDescent="0.2">
      <c r="Y894136" s="5"/>
      <c r="AB894136" s="5"/>
      <c r="AE894136" s="5"/>
      <c r="AH894136" s="5"/>
      <c r="AK894136" s="5"/>
    </row>
    <row r="894146" spans="25:37" x14ac:dyDescent="0.2">
      <c r="Y894146" s="251"/>
      <c r="AB894146" s="251"/>
      <c r="AE894146" s="251"/>
      <c r="AH894146" s="251"/>
      <c r="AK894146" s="251"/>
    </row>
    <row r="894261" spans="25:37" x14ac:dyDescent="0.2">
      <c r="Y894261" s="5"/>
      <c r="AB894261" s="5"/>
      <c r="AE894261" s="5"/>
      <c r="AH894261" s="5"/>
      <c r="AK894261" s="5"/>
    </row>
    <row r="894271" spans="25:37" x14ac:dyDescent="0.2">
      <c r="Y894271" s="251"/>
      <c r="AB894271" s="251"/>
      <c r="AE894271" s="251"/>
      <c r="AH894271" s="251"/>
      <c r="AK894271" s="251"/>
    </row>
    <row r="894386" spans="25:37" x14ac:dyDescent="0.2">
      <c r="Y894386" s="5"/>
      <c r="AB894386" s="5"/>
      <c r="AE894386" s="5"/>
      <c r="AH894386" s="5"/>
      <c r="AK894386" s="5"/>
    </row>
    <row r="894396" spans="25:37" x14ac:dyDescent="0.2">
      <c r="Y894396" s="251"/>
      <c r="AB894396" s="251"/>
      <c r="AE894396" s="251"/>
      <c r="AH894396" s="251"/>
      <c r="AK894396" s="251"/>
    </row>
    <row r="894511" spans="25:37" x14ac:dyDescent="0.2">
      <c r="Y894511" s="5"/>
      <c r="AB894511" s="5"/>
      <c r="AE894511" s="5"/>
      <c r="AH894511" s="5"/>
      <c r="AK894511" s="5"/>
    </row>
    <row r="894521" spans="25:37" x14ac:dyDescent="0.2">
      <c r="Y894521" s="251"/>
      <c r="AB894521" s="251"/>
      <c r="AE894521" s="251"/>
      <c r="AH894521" s="251"/>
      <c r="AK894521" s="251"/>
    </row>
    <row r="894636" spans="25:37" x14ac:dyDescent="0.2">
      <c r="Y894636" s="5"/>
      <c r="AB894636" s="5"/>
      <c r="AE894636" s="5"/>
      <c r="AH894636" s="5"/>
      <c r="AK894636" s="5"/>
    </row>
    <row r="894646" spans="25:37" x14ac:dyDescent="0.2">
      <c r="Y894646" s="251"/>
      <c r="AB894646" s="251"/>
      <c r="AE894646" s="251"/>
      <c r="AH894646" s="251"/>
      <c r="AK894646" s="251"/>
    </row>
    <row r="894761" spans="25:37" x14ac:dyDescent="0.2">
      <c r="Y894761" s="5"/>
      <c r="AB894761" s="5"/>
      <c r="AE894761" s="5"/>
      <c r="AH894761" s="5"/>
      <c r="AK894761" s="5"/>
    </row>
    <row r="894771" spans="25:37" x14ac:dyDescent="0.2">
      <c r="Y894771" s="251"/>
      <c r="AB894771" s="251"/>
      <c r="AE894771" s="251"/>
      <c r="AH894771" s="251"/>
      <c r="AK894771" s="251"/>
    </row>
    <row r="894886" spans="25:37" x14ac:dyDescent="0.2">
      <c r="Y894886" s="5"/>
      <c r="AB894886" s="5"/>
      <c r="AE894886" s="5"/>
      <c r="AH894886" s="5"/>
      <c r="AK894886" s="5"/>
    </row>
    <row r="894896" spans="25:37" x14ac:dyDescent="0.2">
      <c r="Y894896" s="251"/>
      <c r="AB894896" s="251"/>
      <c r="AE894896" s="251"/>
      <c r="AH894896" s="251"/>
      <c r="AK894896" s="251"/>
    </row>
    <row r="895011" spans="25:37" x14ac:dyDescent="0.2">
      <c r="Y895011" s="5"/>
      <c r="AB895011" s="5"/>
      <c r="AE895011" s="5"/>
      <c r="AH895011" s="5"/>
      <c r="AK895011" s="5"/>
    </row>
    <row r="895021" spans="25:37" x14ac:dyDescent="0.2">
      <c r="Y895021" s="251"/>
      <c r="AB895021" s="251"/>
      <c r="AE895021" s="251"/>
      <c r="AH895021" s="251"/>
      <c r="AK895021" s="251"/>
    </row>
    <row r="895136" spans="25:37" x14ac:dyDescent="0.2">
      <c r="Y895136" s="5"/>
      <c r="AB895136" s="5"/>
      <c r="AE895136" s="5"/>
      <c r="AH895136" s="5"/>
      <c r="AK895136" s="5"/>
    </row>
    <row r="895146" spans="25:37" x14ac:dyDescent="0.2">
      <c r="Y895146" s="251"/>
      <c r="AB895146" s="251"/>
      <c r="AE895146" s="251"/>
      <c r="AH895146" s="251"/>
      <c r="AK895146" s="251"/>
    </row>
    <row r="895261" spans="25:37" x14ac:dyDescent="0.2">
      <c r="Y895261" s="5"/>
      <c r="AB895261" s="5"/>
      <c r="AE895261" s="5"/>
      <c r="AH895261" s="5"/>
      <c r="AK895261" s="5"/>
    </row>
    <row r="895271" spans="25:37" x14ac:dyDescent="0.2">
      <c r="Y895271" s="251"/>
      <c r="AB895271" s="251"/>
      <c r="AE895271" s="251"/>
      <c r="AH895271" s="251"/>
      <c r="AK895271" s="251"/>
    </row>
    <row r="895386" spans="25:37" x14ac:dyDescent="0.2">
      <c r="Y895386" s="5"/>
      <c r="AB895386" s="5"/>
      <c r="AE895386" s="5"/>
      <c r="AH895386" s="5"/>
      <c r="AK895386" s="5"/>
    </row>
    <row r="895396" spans="25:37" x14ac:dyDescent="0.2">
      <c r="Y895396" s="251"/>
      <c r="AB895396" s="251"/>
      <c r="AE895396" s="251"/>
      <c r="AH895396" s="251"/>
      <c r="AK895396" s="251"/>
    </row>
    <row r="895511" spans="25:37" x14ac:dyDescent="0.2">
      <c r="Y895511" s="5"/>
      <c r="AB895511" s="5"/>
      <c r="AE895511" s="5"/>
      <c r="AH895511" s="5"/>
      <c r="AK895511" s="5"/>
    </row>
    <row r="895521" spans="25:37" x14ac:dyDescent="0.2">
      <c r="Y895521" s="251"/>
      <c r="AB895521" s="251"/>
      <c r="AE895521" s="251"/>
      <c r="AH895521" s="251"/>
      <c r="AK895521" s="251"/>
    </row>
    <row r="895636" spans="25:37" x14ac:dyDescent="0.2">
      <c r="Y895636" s="5"/>
      <c r="AB895636" s="5"/>
      <c r="AE895636" s="5"/>
      <c r="AH895636" s="5"/>
      <c r="AK895636" s="5"/>
    </row>
    <row r="895646" spans="25:37" x14ac:dyDescent="0.2">
      <c r="Y895646" s="251"/>
      <c r="AB895646" s="251"/>
      <c r="AE895646" s="251"/>
      <c r="AH895646" s="251"/>
      <c r="AK895646" s="251"/>
    </row>
    <row r="895761" spans="25:37" x14ac:dyDescent="0.2">
      <c r="Y895761" s="5"/>
      <c r="AB895761" s="5"/>
      <c r="AE895761" s="5"/>
      <c r="AH895761" s="5"/>
      <c r="AK895761" s="5"/>
    </row>
    <row r="895771" spans="25:37" x14ac:dyDescent="0.2">
      <c r="Y895771" s="251"/>
      <c r="AB895771" s="251"/>
      <c r="AE895771" s="251"/>
      <c r="AH895771" s="251"/>
      <c r="AK895771" s="251"/>
    </row>
    <row r="895886" spans="25:37" x14ac:dyDescent="0.2">
      <c r="Y895886" s="5"/>
      <c r="AB895886" s="5"/>
      <c r="AE895886" s="5"/>
      <c r="AH895886" s="5"/>
      <c r="AK895886" s="5"/>
    </row>
    <row r="895896" spans="25:37" x14ac:dyDescent="0.2">
      <c r="Y895896" s="251"/>
      <c r="AB895896" s="251"/>
      <c r="AE895896" s="251"/>
      <c r="AH895896" s="251"/>
      <c r="AK895896" s="251"/>
    </row>
    <row r="896011" spans="25:37" x14ac:dyDescent="0.2">
      <c r="Y896011" s="5"/>
      <c r="AB896011" s="5"/>
      <c r="AE896011" s="5"/>
      <c r="AH896011" s="5"/>
      <c r="AK896011" s="5"/>
    </row>
    <row r="896021" spans="25:37" x14ac:dyDescent="0.2">
      <c r="Y896021" s="251"/>
      <c r="AB896021" s="251"/>
      <c r="AE896021" s="251"/>
      <c r="AH896021" s="251"/>
      <c r="AK896021" s="251"/>
    </row>
    <row r="896136" spans="25:37" x14ac:dyDescent="0.2">
      <c r="Y896136" s="5"/>
      <c r="AB896136" s="5"/>
      <c r="AE896136" s="5"/>
      <c r="AH896136" s="5"/>
      <c r="AK896136" s="5"/>
    </row>
    <row r="896146" spans="25:37" x14ac:dyDescent="0.2">
      <c r="Y896146" s="251"/>
      <c r="AB896146" s="251"/>
      <c r="AE896146" s="251"/>
      <c r="AH896146" s="251"/>
      <c r="AK896146" s="251"/>
    </row>
    <row r="896261" spans="25:37" x14ac:dyDescent="0.2">
      <c r="Y896261" s="5"/>
      <c r="AB896261" s="5"/>
      <c r="AE896261" s="5"/>
      <c r="AH896261" s="5"/>
      <c r="AK896261" s="5"/>
    </row>
    <row r="896271" spans="25:37" x14ac:dyDescent="0.2">
      <c r="Y896271" s="251"/>
      <c r="AB896271" s="251"/>
      <c r="AE896271" s="251"/>
      <c r="AH896271" s="251"/>
      <c r="AK896271" s="251"/>
    </row>
    <row r="896386" spans="25:37" x14ac:dyDescent="0.2">
      <c r="Y896386" s="5"/>
      <c r="AB896386" s="5"/>
      <c r="AE896386" s="5"/>
      <c r="AH896386" s="5"/>
      <c r="AK896386" s="5"/>
    </row>
    <row r="896396" spans="25:37" x14ac:dyDescent="0.2">
      <c r="Y896396" s="251"/>
      <c r="AB896396" s="251"/>
      <c r="AE896396" s="251"/>
      <c r="AH896396" s="251"/>
      <c r="AK896396" s="251"/>
    </row>
    <row r="896511" spans="25:37" x14ac:dyDescent="0.2">
      <c r="Y896511" s="5"/>
      <c r="AB896511" s="5"/>
      <c r="AE896511" s="5"/>
      <c r="AH896511" s="5"/>
      <c r="AK896511" s="5"/>
    </row>
    <row r="896521" spans="25:37" x14ac:dyDescent="0.2">
      <c r="Y896521" s="251"/>
      <c r="AB896521" s="251"/>
      <c r="AE896521" s="251"/>
      <c r="AH896521" s="251"/>
      <c r="AK896521" s="251"/>
    </row>
    <row r="896636" spans="25:37" x14ac:dyDescent="0.2">
      <c r="Y896636" s="5"/>
      <c r="AB896636" s="5"/>
      <c r="AE896636" s="5"/>
      <c r="AH896636" s="5"/>
      <c r="AK896636" s="5"/>
    </row>
    <row r="896646" spans="25:37" x14ac:dyDescent="0.2">
      <c r="Y896646" s="251"/>
      <c r="AB896646" s="251"/>
      <c r="AE896646" s="251"/>
      <c r="AH896646" s="251"/>
      <c r="AK896646" s="251"/>
    </row>
    <row r="896761" spans="25:37" x14ac:dyDescent="0.2">
      <c r="Y896761" s="5"/>
      <c r="AB896761" s="5"/>
      <c r="AE896761" s="5"/>
      <c r="AH896761" s="5"/>
      <c r="AK896761" s="5"/>
    </row>
    <row r="896771" spans="25:37" x14ac:dyDescent="0.2">
      <c r="Y896771" s="251"/>
      <c r="AB896771" s="251"/>
      <c r="AE896771" s="251"/>
      <c r="AH896771" s="251"/>
      <c r="AK896771" s="251"/>
    </row>
    <row r="896886" spans="25:37" x14ac:dyDescent="0.2">
      <c r="Y896886" s="5"/>
      <c r="AB896886" s="5"/>
      <c r="AE896886" s="5"/>
      <c r="AH896886" s="5"/>
      <c r="AK896886" s="5"/>
    </row>
    <row r="896896" spans="25:37" x14ac:dyDescent="0.2">
      <c r="Y896896" s="251"/>
      <c r="AB896896" s="251"/>
      <c r="AE896896" s="251"/>
      <c r="AH896896" s="251"/>
      <c r="AK896896" s="251"/>
    </row>
    <row r="897011" spans="25:37" x14ac:dyDescent="0.2">
      <c r="Y897011" s="5"/>
      <c r="AB897011" s="5"/>
      <c r="AE897011" s="5"/>
      <c r="AH897011" s="5"/>
      <c r="AK897011" s="5"/>
    </row>
    <row r="897021" spans="25:37" x14ac:dyDescent="0.2">
      <c r="Y897021" s="251"/>
      <c r="AB897021" s="251"/>
      <c r="AE897021" s="251"/>
      <c r="AH897021" s="251"/>
      <c r="AK897021" s="251"/>
    </row>
    <row r="897136" spans="25:37" x14ac:dyDescent="0.2">
      <c r="Y897136" s="5"/>
      <c r="AB897136" s="5"/>
      <c r="AE897136" s="5"/>
      <c r="AH897136" s="5"/>
      <c r="AK897136" s="5"/>
    </row>
    <row r="897146" spans="25:37" x14ac:dyDescent="0.2">
      <c r="Y897146" s="251"/>
      <c r="AB897146" s="251"/>
      <c r="AE897146" s="251"/>
      <c r="AH897146" s="251"/>
      <c r="AK897146" s="251"/>
    </row>
    <row r="897261" spans="25:37" x14ac:dyDescent="0.2">
      <c r="Y897261" s="5"/>
      <c r="AB897261" s="5"/>
      <c r="AE897261" s="5"/>
      <c r="AH897261" s="5"/>
      <c r="AK897261" s="5"/>
    </row>
    <row r="897271" spans="25:37" x14ac:dyDescent="0.2">
      <c r="Y897271" s="251"/>
      <c r="AB897271" s="251"/>
      <c r="AE897271" s="251"/>
      <c r="AH897271" s="251"/>
      <c r="AK897271" s="251"/>
    </row>
    <row r="897386" spans="25:37" x14ac:dyDescent="0.2">
      <c r="Y897386" s="5"/>
      <c r="AB897386" s="5"/>
      <c r="AE897386" s="5"/>
      <c r="AH897386" s="5"/>
      <c r="AK897386" s="5"/>
    </row>
    <row r="897396" spans="25:37" x14ac:dyDescent="0.2">
      <c r="Y897396" s="251"/>
      <c r="AB897396" s="251"/>
      <c r="AE897396" s="251"/>
      <c r="AH897396" s="251"/>
      <c r="AK897396" s="251"/>
    </row>
    <row r="897511" spans="25:37" x14ac:dyDescent="0.2">
      <c r="Y897511" s="5"/>
      <c r="AB897511" s="5"/>
      <c r="AE897511" s="5"/>
      <c r="AH897511" s="5"/>
      <c r="AK897511" s="5"/>
    </row>
    <row r="897521" spans="25:37" x14ac:dyDescent="0.2">
      <c r="Y897521" s="251"/>
      <c r="AB897521" s="251"/>
      <c r="AE897521" s="251"/>
      <c r="AH897521" s="251"/>
      <c r="AK897521" s="251"/>
    </row>
    <row r="897636" spans="25:37" x14ac:dyDescent="0.2">
      <c r="Y897636" s="5"/>
      <c r="AB897636" s="5"/>
      <c r="AE897636" s="5"/>
      <c r="AH897636" s="5"/>
      <c r="AK897636" s="5"/>
    </row>
    <row r="897646" spans="25:37" x14ac:dyDescent="0.2">
      <c r="Y897646" s="251"/>
      <c r="AB897646" s="251"/>
      <c r="AE897646" s="251"/>
      <c r="AH897646" s="251"/>
      <c r="AK897646" s="251"/>
    </row>
    <row r="897761" spans="25:37" x14ac:dyDescent="0.2">
      <c r="Y897761" s="5"/>
      <c r="AB897761" s="5"/>
      <c r="AE897761" s="5"/>
      <c r="AH897761" s="5"/>
      <c r="AK897761" s="5"/>
    </row>
    <row r="897771" spans="25:37" x14ac:dyDescent="0.2">
      <c r="Y897771" s="251"/>
      <c r="AB897771" s="251"/>
      <c r="AE897771" s="251"/>
      <c r="AH897771" s="251"/>
      <c r="AK897771" s="251"/>
    </row>
    <row r="897886" spans="25:37" x14ac:dyDescent="0.2">
      <c r="Y897886" s="5"/>
      <c r="AB897886" s="5"/>
      <c r="AE897886" s="5"/>
      <c r="AH897886" s="5"/>
      <c r="AK897886" s="5"/>
    </row>
    <row r="897896" spans="25:37" x14ac:dyDescent="0.2">
      <c r="Y897896" s="251"/>
      <c r="AB897896" s="251"/>
      <c r="AE897896" s="251"/>
      <c r="AH897896" s="251"/>
      <c r="AK897896" s="251"/>
    </row>
    <row r="898011" spans="25:37" x14ac:dyDescent="0.2">
      <c r="Y898011" s="5"/>
      <c r="AB898011" s="5"/>
      <c r="AE898011" s="5"/>
      <c r="AH898011" s="5"/>
      <c r="AK898011" s="5"/>
    </row>
    <row r="898021" spans="25:37" x14ac:dyDescent="0.2">
      <c r="Y898021" s="251"/>
      <c r="AB898021" s="251"/>
      <c r="AE898021" s="251"/>
      <c r="AH898021" s="251"/>
      <c r="AK898021" s="251"/>
    </row>
    <row r="898136" spans="25:37" x14ac:dyDescent="0.2">
      <c r="Y898136" s="5"/>
      <c r="AB898136" s="5"/>
      <c r="AE898136" s="5"/>
      <c r="AH898136" s="5"/>
      <c r="AK898136" s="5"/>
    </row>
    <row r="898146" spans="25:37" x14ac:dyDescent="0.2">
      <c r="Y898146" s="251"/>
      <c r="AB898146" s="251"/>
      <c r="AE898146" s="251"/>
      <c r="AH898146" s="251"/>
      <c r="AK898146" s="251"/>
    </row>
    <row r="898261" spans="25:37" x14ac:dyDescent="0.2">
      <c r="Y898261" s="5"/>
      <c r="AB898261" s="5"/>
      <c r="AE898261" s="5"/>
      <c r="AH898261" s="5"/>
      <c r="AK898261" s="5"/>
    </row>
    <row r="898271" spans="25:37" x14ac:dyDescent="0.2">
      <c r="Y898271" s="251"/>
      <c r="AB898271" s="251"/>
      <c r="AE898271" s="251"/>
      <c r="AH898271" s="251"/>
      <c r="AK898271" s="251"/>
    </row>
    <row r="898386" spans="25:37" x14ac:dyDescent="0.2">
      <c r="Y898386" s="5"/>
      <c r="AB898386" s="5"/>
      <c r="AE898386" s="5"/>
      <c r="AH898386" s="5"/>
      <c r="AK898386" s="5"/>
    </row>
    <row r="898396" spans="25:37" x14ac:dyDescent="0.2">
      <c r="Y898396" s="251"/>
      <c r="AB898396" s="251"/>
      <c r="AE898396" s="251"/>
      <c r="AH898396" s="251"/>
      <c r="AK898396" s="251"/>
    </row>
    <row r="898511" spans="25:37" x14ac:dyDescent="0.2">
      <c r="Y898511" s="5"/>
      <c r="AB898511" s="5"/>
      <c r="AE898511" s="5"/>
      <c r="AH898511" s="5"/>
      <c r="AK898511" s="5"/>
    </row>
    <row r="898521" spans="25:37" x14ac:dyDescent="0.2">
      <c r="Y898521" s="251"/>
      <c r="AB898521" s="251"/>
      <c r="AE898521" s="251"/>
      <c r="AH898521" s="251"/>
      <c r="AK898521" s="251"/>
    </row>
    <row r="898636" spans="25:37" x14ac:dyDescent="0.2">
      <c r="Y898636" s="5"/>
      <c r="AB898636" s="5"/>
      <c r="AE898636" s="5"/>
      <c r="AH898636" s="5"/>
      <c r="AK898636" s="5"/>
    </row>
    <row r="898646" spans="25:37" x14ac:dyDescent="0.2">
      <c r="Y898646" s="251"/>
      <c r="AB898646" s="251"/>
      <c r="AE898646" s="251"/>
      <c r="AH898646" s="251"/>
      <c r="AK898646" s="251"/>
    </row>
    <row r="898761" spans="25:37" x14ac:dyDescent="0.2">
      <c r="Y898761" s="5"/>
      <c r="AB898761" s="5"/>
      <c r="AE898761" s="5"/>
      <c r="AH898761" s="5"/>
      <c r="AK898761" s="5"/>
    </row>
    <row r="898771" spans="25:37" x14ac:dyDescent="0.2">
      <c r="Y898771" s="251"/>
      <c r="AB898771" s="251"/>
      <c r="AE898771" s="251"/>
      <c r="AH898771" s="251"/>
      <c r="AK898771" s="251"/>
    </row>
    <row r="898886" spans="25:37" x14ac:dyDescent="0.2">
      <c r="Y898886" s="5"/>
      <c r="AB898886" s="5"/>
      <c r="AE898886" s="5"/>
      <c r="AH898886" s="5"/>
      <c r="AK898886" s="5"/>
    </row>
    <row r="898896" spans="25:37" x14ac:dyDescent="0.2">
      <c r="Y898896" s="251"/>
      <c r="AB898896" s="251"/>
      <c r="AE898896" s="251"/>
      <c r="AH898896" s="251"/>
      <c r="AK898896" s="251"/>
    </row>
    <row r="899011" spans="25:37" x14ac:dyDescent="0.2">
      <c r="Y899011" s="5"/>
      <c r="AB899011" s="5"/>
      <c r="AE899011" s="5"/>
      <c r="AH899011" s="5"/>
      <c r="AK899011" s="5"/>
    </row>
    <row r="899021" spans="25:37" x14ac:dyDescent="0.2">
      <c r="Y899021" s="251"/>
      <c r="AB899021" s="251"/>
      <c r="AE899021" s="251"/>
      <c r="AH899021" s="251"/>
      <c r="AK899021" s="251"/>
    </row>
    <row r="899136" spans="25:37" x14ac:dyDescent="0.2">
      <c r="Y899136" s="5"/>
      <c r="AB899136" s="5"/>
      <c r="AE899136" s="5"/>
      <c r="AH899136" s="5"/>
      <c r="AK899136" s="5"/>
    </row>
    <row r="899146" spans="25:37" x14ac:dyDescent="0.2">
      <c r="Y899146" s="251"/>
      <c r="AB899146" s="251"/>
      <c r="AE899146" s="251"/>
      <c r="AH899146" s="251"/>
      <c r="AK899146" s="251"/>
    </row>
    <row r="899261" spans="25:37" x14ac:dyDescent="0.2">
      <c r="Y899261" s="5"/>
      <c r="AB899261" s="5"/>
      <c r="AE899261" s="5"/>
      <c r="AH899261" s="5"/>
      <c r="AK899261" s="5"/>
    </row>
    <row r="899271" spans="25:37" x14ac:dyDescent="0.2">
      <c r="Y899271" s="251"/>
      <c r="AB899271" s="251"/>
      <c r="AE899271" s="251"/>
      <c r="AH899271" s="251"/>
      <c r="AK899271" s="251"/>
    </row>
    <row r="899386" spans="25:37" x14ac:dyDescent="0.2">
      <c r="Y899386" s="5"/>
      <c r="AB899386" s="5"/>
      <c r="AE899386" s="5"/>
      <c r="AH899386" s="5"/>
      <c r="AK899386" s="5"/>
    </row>
    <row r="899396" spans="25:37" x14ac:dyDescent="0.2">
      <c r="Y899396" s="251"/>
      <c r="AB899396" s="251"/>
      <c r="AE899396" s="251"/>
      <c r="AH899396" s="251"/>
      <c r="AK899396" s="251"/>
    </row>
    <row r="899511" spans="25:37" x14ac:dyDescent="0.2">
      <c r="Y899511" s="5"/>
      <c r="AB899511" s="5"/>
      <c r="AE899511" s="5"/>
      <c r="AH899511" s="5"/>
      <c r="AK899511" s="5"/>
    </row>
    <row r="899521" spans="25:37" x14ac:dyDescent="0.2">
      <c r="Y899521" s="251"/>
      <c r="AB899521" s="251"/>
      <c r="AE899521" s="251"/>
      <c r="AH899521" s="251"/>
      <c r="AK899521" s="251"/>
    </row>
    <row r="899636" spans="25:37" x14ac:dyDescent="0.2">
      <c r="Y899636" s="5"/>
      <c r="AB899636" s="5"/>
      <c r="AE899636" s="5"/>
      <c r="AH899636" s="5"/>
      <c r="AK899636" s="5"/>
    </row>
    <row r="899646" spans="25:37" x14ac:dyDescent="0.2">
      <c r="Y899646" s="251"/>
      <c r="AB899646" s="251"/>
      <c r="AE899646" s="251"/>
      <c r="AH899646" s="251"/>
      <c r="AK899646" s="251"/>
    </row>
    <row r="899761" spans="25:37" x14ac:dyDescent="0.2">
      <c r="Y899761" s="5"/>
      <c r="AB899761" s="5"/>
      <c r="AE899761" s="5"/>
      <c r="AH899761" s="5"/>
      <c r="AK899761" s="5"/>
    </row>
    <row r="899771" spans="25:37" x14ac:dyDescent="0.2">
      <c r="Y899771" s="251"/>
      <c r="AB899771" s="251"/>
      <c r="AE899771" s="251"/>
      <c r="AH899771" s="251"/>
      <c r="AK899771" s="251"/>
    </row>
    <row r="899886" spans="25:37" x14ac:dyDescent="0.2">
      <c r="Y899886" s="5"/>
      <c r="AB899886" s="5"/>
      <c r="AE899886" s="5"/>
      <c r="AH899886" s="5"/>
      <c r="AK899886" s="5"/>
    </row>
    <row r="899896" spans="25:37" x14ac:dyDescent="0.2">
      <c r="Y899896" s="251"/>
      <c r="AB899896" s="251"/>
      <c r="AE899896" s="251"/>
      <c r="AH899896" s="251"/>
      <c r="AK899896" s="251"/>
    </row>
    <row r="900011" spans="25:37" x14ac:dyDescent="0.2">
      <c r="Y900011" s="5"/>
      <c r="AB900011" s="5"/>
      <c r="AE900011" s="5"/>
      <c r="AH900011" s="5"/>
      <c r="AK900011" s="5"/>
    </row>
    <row r="900021" spans="25:37" x14ac:dyDescent="0.2">
      <c r="Y900021" s="251"/>
      <c r="AB900021" s="251"/>
      <c r="AE900021" s="251"/>
      <c r="AH900021" s="251"/>
      <c r="AK900021" s="251"/>
    </row>
    <row r="900136" spans="25:37" x14ac:dyDescent="0.2">
      <c r="Y900136" s="5"/>
      <c r="AB900136" s="5"/>
      <c r="AE900136" s="5"/>
      <c r="AH900136" s="5"/>
      <c r="AK900136" s="5"/>
    </row>
    <row r="900146" spans="25:37" x14ac:dyDescent="0.2">
      <c r="Y900146" s="251"/>
      <c r="AB900146" s="251"/>
      <c r="AE900146" s="251"/>
      <c r="AH900146" s="251"/>
      <c r="AK900146" s="251"/>
    </row>
    <row r="900261" spans="25:37" x14ac:dyDescent="0.2">
      <c r="Y900261" s="5"/>
      <c r="AB900261" s="5"/>
      <c r="AE900261" s="5"/>
      <c r="AH900261" s="5"/>
      <c r="AK900261" s="5"/>
    </row>
    <row r="900271" spans="25:37" x14ac:dyDescent="0.2">
      <c r="Y900271" s="251"/>
      <c r="AB900271" s="251"/>
      <c r="AE900271" s="251"/>
      <c r="AH900271" s="251"/>
      <c r="AK900271" s="251"/>
    </row>
    <row r="900386" spans="25:37" x14ac:dyDescent="0.2">
      <c r="Y900386" s="5"/>
      <c r="AB900386" s="5"/>
      <c r="AE900386" s="5"/>
      <c r="AH900386" s="5"/>
      <c r="AK900386" s="5"/>
    </row>
    <row r="900396" spans="25:37" x14ac:dyDescent="0.2">
      <c r="Y900396" s="251"/>
      <c r="AB900396" s="251"/>
      <c r="AE900396" s="251"/>
      <c r="AH900396" s="251"/>
      <c r="AK900396" s="251"/>
    </row>
    <row r="900511" spans="25:37" x14ac:dyDescent="0.2">
      <c r="Y900511" s="5"/>
      <c r="AB900511" s="5"/>
      <c r="AE900511" s="5"/>
      <c r="AH900511" s="5"/>
      <c r="AK900511" s="5"/>
    </row>
    <row r="900521" spans="25:37" x14ac:dyDescent="0.2">
      <c r="Y900521" s="251"/>
      <c r="AB900521" s="251"/>
      <c r="AE900521" s="251"/>
      <c r="AH900521" s="251"/>
      <c r="AK900521" s="251"/>
    </row>
    <row r="900636" spans="25:37" x14ac:dyDescent="0.2">
      <c r="Y900636" s="5"/>
      <c r="AB900636" s="5"/>
      <c r="AE900636" s="5"/>
      <c r="AH900636" s="5"/>
      <c r="AK900636" s="5"/>
    </row>
    <row r="900646" spans="25:37" x14ac:dyDescent="0.2">
      <c r="Y900646" s="251"/>
      <c r="AB900646" s="251"/>
      <c r="AE900646" s="251"/>
      <c r="AH900646" s="251"/>
      <c r="AK900646" s="251"/>
    </row>
    <row r="900761" spans="25:37" x14ac:dyDescent="0.2">
      <c r="Y900761" s="5"/>
      <c r="AB900761" s="5"/>
      <c r="AE900761" s="5"/>
      <c r="AH900761" s="5"/>
      <c r="AK900761" s="5"/>
    </row>
    <row r="900771" spans="25:37" x14ac:dyDescent="0.2">
      <c r="Y900771" s="251"/>
      <c r="AB900771" s="251"/>
      <c r="AE900771" s="251"/>
      <c r="AH900771" s="251"/>
      <c r="AK900771" s="251"/>
    </row>
    <row r="900886" spans="25:37" x14ac:dyDescent="0.2">
      <c r="Y900886" s="5"/>
      <c r="AB900886" s="5"/>
      <c r="AE900886" s="5"/>
      <c r="AH900886" s="5"/>
      <c r="AK900886" s="5"/>
    </row>
    <row r="900896" spans="25:37" x14ac:dyDescent="0.2">
      <c r="Y900896" s="251"/>
      <c r="AB900896" s="251"/>
      <c r="AE900896" s="251"/>
      <c r="AH900896" s="251"/>
      <c r="AK900896" s="251"/>
    </row>
    <row r="901011" spans="25:37" x14ac:dyDescent="0.2">
      <c r="Y901011" s="5"/>
      <c r="AB901011" s="5"/>
      <c r="AE901011" s="5"/>
      <c r="AH901011" s="5"/>
      <c r="AK901011" s="5"/>
    </row>
    <row r="901021" spans="25:37" x14ac:dyDescent="0.2">
      <c r="Y901021" s="251"/>
      <c r="AB901021" s="251"/>
      <c r="AE901021" s="251"/>
      <c r="AH901021" s="251"/>
      <c r="AK901021" s="251"/>
    </row>
    <row r="901136" spans="25:37" x14ac:dyDescent="0.2">
      <c r="Y901136" s="5"/>
      <c r="AB901136" s="5"/>
      <c r="AE901136" s="5"/>
      <c r="AH901136" s="5"/>
      <c r="AK901136" s="5"/>
    </row>
    <row r="901146" spans="25:37" x14ac:dyDescent="0.2">
      <c r="Y901146" s="251"/>
      <c r="AB901146" s="251"/>
      <c r="AE901146" s="251"/>
      <c r="AH901146" s="251"/>
      <c r="AK901146" s="251"/>
    </row>
    <row r="901261" spans="25:37" x14ac:dyDescent="0.2">
      <c r="Y901261" s="5"/>
      <c r="AB901261" s="5"/>
      <c r="AE901261" s="5"/>
      <c r="AH901261" s="5"/>
      <c r="AK901261" s="5"/>
    </row>
    <row r="901271" spans="25:37" x14ac:dyDescent="0.2">
      <c r="Y901271" s="251"/>
      <c r="AB901271" s="251"/>
      <c r="AE901271" s="251"/>
      <c r="AH901271" s="251"/>
      <c r="AK901271" s="251"/>
    </row>
    <row r="901386" spans="25:37" x14ac:dyDescent="0.2">
      <c r="Y901386" s="5"/>
      <c r="AB901386" s="5"/>
      <c r="AE901386" s="5"/>
      <c r="AH901386" s="5"/>
      <c r="AK901386" s="5"/>
    </row>
    <row r="901396" spans="25:37" x14ac:dyDescent="0.2">
      <c r="Y901396" s="251"/>
      <c r="AB901396" s="251"/>
      <c r="AE901396" s="251"/>
      <c r="AH901396" s="251"/>
      <c r="AK901396" s="251"/>
    </row>
    <row r="901511" spans="25:37" x14ac:dyDescent="0.2">
      <c r="Y901511" s="5"/>
      <c r="AB901511" s="5"/>
      <c r="AE901511" s="5"/>
      <c r="AH901511" s="5"/>
      <c r="AK901511" s="5"/>
    </row>
    <row r="901521" spans="25:37" x14ac:dyDescent="0.2">
      <c r="Y901521" s="251"/>
      <c r="AB901521" s="251"/>
      <c r="AE901521" s="251"/>
      <c r="AH901521" s="251"/>
      <c r="AK901521" s="251"/>
    </row>
    <row r="901636" spans="25:37" x14ac:dyDescent="0.2">
      <c r="Y901636" s="5"/>
      <c r="AB901636" s="5"/>
      <c r="AE901636" s="5"/>
      <c r="AH901636" s="5"/>
      <c r="AK901636" s="5"/>
    </row>
    <row r="901646" spans="25:37" x14ac:dyDescent="0.2">
      <c r="Y901646" s="251"/>
      <c r="AB901646" s="251"/>
      <c r="AE901646" s="251"/>
      <c r="AH901646" s="251"/>
      <c r="AK901646" s="251"/>
    </row>
    <row r="901761" spans="25:37" x14ac:dyDescent="0.2">
      <c r="Y901761" s="5"/>
      <c r="AB901761" s="5"/>
      <c r="AE901761" s="5"/>
      <c r="AH901761" s="5"/>
      <c r="AK901761" s="5"/>
    </row>
    <row r="901771" spans="25:37" x14ac:dyDescent="0.2">
      <c r="Y901771" s="251"/>
      <c r="AB901771" s="251"/>
      <c r="AE901771" s="251"/>
      <c r="AH901771" s="251"/>
      <c r="AK901771" s="251"/>
    </row>
    <row r="901886" spans="25:37" x14ac:dyDescent="0.2">
      <c r="Y901886" s="5"/>
      <c r="AB901886" s="5"/>
      <c r="AE901886" s="5"/>
      <c r="AH901886" s="5"/>
      <c r="AK901886" s="5"/>
    </row>
    <row r="901896" spans="25:37" x14ac:dyDescent="0.2">
      <c r="Y901896" s="251"/>
      <c r="AB901896" s="251"/>
      <c r="AE901896" s="251"/>
      <c r="AH901896" s="251"/>
      <c r="AK901896" s="251"/>
    </row>
    <row r="902011" spans="25:37" x14ac:dyDescent="0.2">
      <c r="Y902011" s="5"/>
      <c r="AB902011" s="5"/>
      <c r="AE902011" s="5"/>
      <c r="AH902011" s="5"/>
      <c r="AK902011" s="5"/>
    </row>
    <row r="902021" spans="25:37" x14ac:dyDescent="0.2">
      <c r="Y902021" s="251"/>
      <c r="AB902021" s="251"/>
      <c r="AE902021" s="251"/>
      <c r="AH902021" s="251"/>
      <c r="AK902021" s="251"/>
    </row>
    <row r="902136" spans="25:37" x14ac:dyDescent="0.2">
      <c r="Y902136" s="5"/>
      <c r="AB902136" s="5"/>
      <c r="AE902136" s="5"/>
      <c r="AH902136" s="5"/>
      <c r="AK902136" s="5"/>
    </row>
    <row r="902146" spans="25:37" x14ac:dyDescent="0.2">
      <c r="Y902146" s="251"/>
      <c r="AB902146" s="251"/>
      <c r="AE902146" s="251"/>
      <c r="AH902146" s="251"/>
      <c r="AK902146" s="251"/>
    </row>
    <row r="902261" spans="25:37" x14ac:dyDescent="0.2">
      <c r="Y902261" s="5"/>
      <c r="AB902261" s="5"/>
      <c r="AE902261" s="5"/>
      <c r="AH902261" s="5"/>
      <c r="AK902261" s="5"/>
    </row>
    <row r="902271" spans="25:37" x14ac:dyDescent="0.2">
      <c r="Y902271" s="251"/>
      <c r="AB902271" s="251"/>
      <c r="AE902271" s="251"/>
      <c r="AH902271" s="251"/>
      <c r="AK902271" s="251"/>
    </row>
    <row r="902386" spans="25:37" x14ac:dyDescent="0.2">
      <c r="Y902386" s="5"/>
      <c r="AB902386" s="5"/>
      <c r="AE902386" s="5"/>
      <c r="AH902386" s="5"/>
      <c r="AK902386" s="5"/>
    </row>
    <row r="902396" spans="25:37" x14ac:dyDescent="0.2">
      <c r="Y902396" s="251"/>
      <c r="AB902396" s="251"/>
      <c r="AE902396" s="251"/>
      <c r="AH902396" s="251"/>
      <c r="AK902396" s="251"/>
    </row>
    <row r="902511" spans="25:37" x14ac:dyDescent="0.2">
      <c r="Y902511" s="5"/>
      <c r="AB902511" s="5"/>
      <c r="AE902511" s="5"/>
      <c r="AH902511" s="5"/>
      <c r="AK902511" s="5"/>
    </row>
    <row r="902521" spans="25:37" x14ac:dyDescent="0.2">
      <c r="Y902521" s="251"/>
      <c r="AB902521" s="251"/>
      <c r="AE902521" s="251"/>
      <c r="AH902521" s="251"/>
      <c r="AK902521" s="251"/>
    </row>
    <row r="902636" spans="25:37" x14ac:dyDescent="0.2">
      <c r="Y902636" s="5"/>
      <c r="AB902636" s="5"/>
      <c r="AE902636" s="5"/>
      <c r="AH902636" s="5"/>
      <c r="AK902636" s="5"/>
    </row>
    <row r="902646" spans="25:37" x14ac:dyDescent="0.2">
      <c r="Y902646" s="251"/>
      <c r="AB902646" s="251"/>
      <c r="AE902646" s="251"/>
      <c r="AH902646" s="251"/>
      <c r="AK902646" s="251"/>
    </row>
    <row r="902761" spans="25:37" x14ac:dyDescent="0.2">
      <c r="Y902761" s="5"/>
      <c r="AB902761" s="5"/>
      <c r="AE902761" s="5"/>
      <c r="AH902761" s="5"/>
      <c r="AK902761" s="5"/>
    </row>
    <row r="902771" spans="25:37" x14ac:dyDescent="0.2">
      <c r="Y902771" s="251"/>
      <c r="AB902771" s="251"/>
      <c r="AE902771" s="251"/>
      <c r="AH902771" s="251"/>
      <c r="AK902771" s="251"/>
    </row>
    <row r="902886" spans="25:37" x14ac:dyDescent="0.2">
      <c r="Y902886" s="5"/>
      <c r="AB902886" s="5"/>
      <c r="AE902886" s="5"/>
      <c r="AH902886" s="5"/>
      <c r="AK902886" s="5"/>
    </row>
    <row r="902896" spans="25:37" x14ac:dyDescent="0.2">
      <c r="Y902896" s="251"/>
      <c r="AB902896" s="251"/>
      <c r="AE902896" s="251"/>
      <c r="AH902896" s="251"/>
      <c r="AK902896" s="251"/>
    </row>
    <row r="903011" spans="25:37" x14ac:dyDescent="0.2">
      <c r="Y903011" s="5"/>
      <c r="AB903011" s="5"/>
      <c r="AE903011" s="5"/>
      <c r="AH903011" s="5"/>
      <c r="AK903011" s="5"/>
    </row>
    <row r="903021" spans="25:37" x14ac:dyDescent="0.2">
      <c r="Y903021" s="251"/>
      <c r="AB903021" s="251"/>
      <c r="AE903021" s="251"/>
      <c r="AH903021" s="251"/>
      <c r="AK903021" s="251"/>
    </row>
    <row r="903136" spans="25:37" x14ac:dyDescent="0.2">
      <c r="Y903136" s="5"/>
      <c r="AB903136" s="5"/>
      <c r="AE903136" s="5"/>
      <c r="AH903136" s="5"/>
      <c r="AK903136" s="5"/>
    </row>
    <row r="903146" spans="25:37" x14ac:dyDescent="0.2">
      <c r="Y903146" s="251"/>
      <c r="AB903146" s="251"/>
      <c r="AE903146" s="251"/>
      <c r="AH903146" s="251"/>
      <c r="AK903146" s="251"/>
    </row>
    <row r="903261" spans="25:37" x14ac:dyDescent="0.2">
      <c r="Y903261" s="5"/>
      <c r="AB903261" s="5"/>
      <c r="AE903261" s="5"/>
      <c r="AH903261" s="5"/>
      <c r="AK903261" s="5"/>
    </row>
    <row r="903271" spans="25:37" x14ac:dyDescent="0.2">
      <c r="Y903271" s="251"/>
      <c r="AB903271" s="251"/>
      <c r="AE903271" s="251"/>
      <c r="AH903271" s="251"/>
      <c r="AK903271" s="251"/>
    </row>
    <row r="903386" spans="25:37" x14ac:dyDescent="0.2">
      <c r="Y903386" s="5"/>
      <c r="AB903386" s="5"/>
      <c r="AE903386" s="5"/>
      <c r="AH903386" s="5"/>
      <c r="AK903386" s="5"/>
    </row>
    <row r="903396" spans="25:37" x14ac:dyDescent="0.2">
      <c r="Y903396" s="251"/>
      <c r="AB903396" s="251"/>
      <c r="AE903396" s="251"/>
      <c r="AH903396" s="251"/>
      <c r="AK903396" s="251"/>
    </row>
    <row r="903511" spans="25:37" x14ac:dyDescent="0.2">
      <c r="Y903511" s="5"/>
      <c r="AB903511" s="5"/>
      <c r="AE903511" s="5"/>
      <c r="AH903511" s="5"/>
      <c r="AK903511" s="5"/>
    </row>
    <row r="903521" spans="25:37" x14ac:dyDescent="0.2">
      <c r="Y903521" s="251"/>
      <c r="AB903521" s="251"/>
      <c r="AE903521" s="251"/>
      <c r="AH903521" s="251"/>
      <c r="AK903521" s="251"/>
    </row>
    <row r="903636" spans="25:37" x14ac:dyDescent="0.2">
      <c r="Y903636" s="5"/>
      <c r="AB903636" s="5"/>
      <c r="AE903636" s="5"/>
      <c r="AH903636" s="5"/>
      <c r="AK903636" s="5"/>
    </row>
    <row r="903646" spans="25:37" x14ac:dyDescent="0.2">
      <c r="Y903646" s="251"/>
      <c r="AB903646" s="251"/>
      <c r="AE903646" s="251"/>
      <c r="AH903646" s="251"/>
      <c r="AK903646" s="251"/>
    </row>
    <row r="903761" spans="25:37" x14ac:dyDescent="0.2">
      <c r="Y903761" s="5"/>
      <c r="AB903761" s="5"/>
      <c r="AE903761" s="5"/>
      <c r="AH903761" s="5"/>
      <c r="AK903761" s="5"/>
    </row>
    <row r="903771" spans="25:37" x14ac:dyDescent="0.2">
      <c r="Y903771" s="251"/>
      <c r="AB903771" s="251"/>
      <c r="AE903771" s="251"/>
      <c r="AH903771" s="251"/>
      <c r="AK903771" s="251"/>
    </row>
    <row r="903886" spans="25:37" x14ac:dyDescent="0.2">
      <c r="Y903886" s="5"/>
      <c r="AB903886" s="5"/>
      <c r="AE903886" s="5"/>
      <c r="AH903886" s="5"/>
      <c r="AK903886" s="5"/>
    </row>
    <row r="903896" spans="25:37" x14ac:dyDescent="0.2">
      <c r="Y903896" s="251"/>
      <c r="AB903896" s="251"/>
      <c r="AE903896" s="251"/>
      <c r="AH903896" s="251"/>
      <c r="AK903896" s="251"/>
    </row>
    <row r="904011" spans="25:37" x14ac:dyDescent="0.2">
      <c r="Y904011" s="5"/>
      <c r="AB904011" s="5"/>
      <c r="AE904011" s="5"/>
      <c r="AH904011" s="5"/>
      <c r="AK904011" s="5"/>
    </row>
    <row r="904021" spans="25:37" x14ac:dyDescent="0.2">
      <c r="Y904021" s="251"/>
      <c r="AB904021" s="251"/>
      <c r="AE904021" s="251"/>
      <c r="AH904021" s="251"/>
      <c r="AK904021" s="251"/>
    </row>
    <row r="904136" spans="25:37" x14ac:dyDescent="0.2">
      <c r="Y904136" s="5"/>
      <c r="AB904136" s="5"/>
      <c r="AE904136" s="5"/>
      <c r="AH904136" s="5"/>
      <c r="AK904136" s="5"/>
    </row>
    <row r="904146" spans="25:37" x14ac:dyDescent="0.2">
      <c r="Y904146" s="251"/>
      <c r="AB904146" s="251"/>
      <c r="AE904146" s="251"/>
      <c r="AH904146" s="251"/>
      <c r="AK904146" s="251"/>
    </row>
    <row r="904261" spans="25:37" x14ac:dyDescent="0.2">
      <c r="Y904261" s="5"/>
      <c r="AB904261" s="5"/>
      <c r="AE904261" s="5"/>
      <c r="AH904261" s="5"/>
      <c r="AK904261" s="5"/>
    </row>
    <row r="904271" spans="25:37" x14ac:dyDescent="0.2">
      <c r="Y904271" s="251"/>
      <c r="AB904271" s="251"/>
      <c r="AE904271" s="251"/>
      <c r="AH904271" s="251"/>
      <c r="AK904271" s="251"/>
    </row>
    <row r="904386" spans="25:37" x14ac:dyDescent="0.2">
      <c r="Y904386" s="5"/>
      <c r="AB904386" s="5"/>
      <c r="AE904386" s="5"/>
      <c r="AH904386" s="5"/>
      <c r="AK904386" s="5"/>
    </row>
    <row r="904396" spans="25:37" x14ac:dyDescent="0.2">
      <c r="Y904396" s="251"/>
      <c r="AB904396" s="251"/>
      <c r="AE904396" s="251"/>
      <c r="AH904396" s="251"/>
      <c r="AK904396" s="251"/>
    </row>
    <row r="904511" spans="25:37" x14ac:dyDescent="0.2">
      <c r="Y904511" s="5"/>
      <c r="AB904511" s="5"/>
      <c r="AE904511" s="5"/>
      <c r="AH904511" s="5"/>
      <c r="AK904511" s="5"/>
    </row>
    <row r="904521" spans="25:37" x14ac:dyDescent="0.2">
      <c r="Y904521" s="251"/>
      <c r="AB904521" s="251"/>
      <c r="AE904521" s="251"/>
      <c r="AH904521" s="251"/>
      <c r="AK904521" s="251"/>
    </row>
    <row r="904636" spans="25:37" x14ac:dyDescent="0.2">
      <c r="Y904636" s="5"/>
      <c r="AB904636" s="5"/>
      <c r="AE904636" s="5"/>
      <c r="AH904636" s="5"/>
      <c r="AK904636" s="5"/>
    </row>
    <row r="904646" spans="25:37" x14ac:dyDescent="0.2">
      <c r="Y904646" s="251"/>
      <c r="AB904646" s="251"/>
      <c r="AE904646" s="251"/>
      <c r="AH904646" s="251"/>
      <c r="AK904646" s="251"/>
    </row>
    <row r="904761" spans="25:37" x14ac:dyDescent="0.2">
      <c r="Y904761" s="5"/>
      <c r="AB904761" s="5"/>
      <c r="AE904761" s="5"/>
      <c r="AH904761" s="5"/>
      <c r="AK904761" s="5"/>
    </row>
    <row r="904771" spans="25:37" x14ac:dyDescent="0.2">
      <c r="Y904771" s="251"/>
      <c r="AB904771" s="251"/>
      <c r="AE904771" s="251"/>
      <c r="AH904771" s="251"/>
      <c r="AK904771" s="251"/>
    </row>
    <row r="904886" spans="25:37" x14ac:dyDescent="0.2">
      <c r="Y904886" s="5"/>
      <c r="AB904886" s="5"/>
      <c r="AE904886" s="5"/>
      <c r="AH904886" s="5"/>
      <c r="AK904886" s="5"/>
    </row>
    <row r="904896" spans="25:37" x14ac:dyDescent="0.2">
      <c r="Y904896" s="251"/>
      <c r="AB904896" s="251"/>
      <c r="AE904896" s="251"/>
      <c r="AH904896" s="251"/>
      <c r="AK904896" s="251"/>
    </row>
    <row r="905011" spans="25:37" x14ac:dyDescent="0.2">
      <c r="Y905011" s="5"/>
      <c r="AB905011" s="5"/>
      <c r="AE905011" s="5"/>
      <c r="AH905011" s="5"/>
      <c r="AK905011" s="5"/>
    </row>
    <row r="905021" spans="25:37" x14ac:dyDescent="0.2">
      <c r="Y905021" s="251"/>
      <c r="AB905021" s="251"/>
      <c r="AE905021" s="251"/>
      <c r="AH905021" s="251"/>
      <c r="AK905021" s="251"/>
    </row>
    <row r="905136" spans="25:37" x14ac:dyDescent="0.2">
      <c r="Y905136" s="5"/>
      <c r="AB905136" s="5"/>
      <c r="AE905136" s="5"/>
      <c r="AH905136" s="5"/>
      <c r="AK905136" s="5"/>
    </row>
    <row r="905146" spans="25:37" x14ac:dyDescent="0.2">
      <c r="Y905146" s="251"/>
      <c r="AB905146" s="251"/>
      <c r="AE905146" s="251"/>
      <c r="AH905146" s="251"/>
      <c r="AK905146" s="251"/>
    </row>
    <row r="905261" spans="25:37" x14ac:dyDescent="0.2">
      <c r="Y905261" s="5"/>
      <c r="AB905261" s="5"/>
      <c r="AE905261" s="5"/>
      <c r="AH905261" s="5"/>
      <c r="AK905261" s="5"/>
    </row>
    <row r="905271" spans="25:37" x14ac:dyDescent="0.2">
      <c r="Y905271" s="251"/>
      <c r="AB905271" s="251"/>
      <c r="AE905271" s="251"/>
      <c r="AH905271" s="251"/>
      <c r="AK905271" s="251"/>
    </row>
    <row r="905386" spans="25:37" x14ac:dyDescent="0.2">
      <c r="Y905386" s="5"/>
      <c r="AB905386" s="5"/>
      <c r="AE905386" s="5"/>
      <c r="AH905386" s="5"/>
      <c r="AK905386" s="5"/>
    </row>
    <row r="905396" spans="25:37" x14ac:dyDescent="0.2">
      <c r="Y905396" s="251"/>
      <c r="AB905396" s="251"/>
      <c r="AE905396" s="251"/>
      <c r="AH905396" s="251"/>
      <c r="AK905396" s="251"/>
    </row>
    <row r="905511" spans="25:37" x14ac:dyDescent="0.2">
      <c r="Y905511" s="5"/>
      <c r="AB905511" s="5"/>
      <c r="AE905511" s="5"/>
      <c r="AH905511" s="5"/>
      <c r="AK905511" s="5"/>
    </row>
    <row r="905521" spans="25:37" x14ac:dyDescent="0.2">
      <c r="Y905521" s="251"/>
      <c r="AB905521" s="251"/>
      <c r="AE905521" s="251"/>
      <c r="AH905521" s="251"/>
      <c r="AK905521" s="251"/>
    </row>
    <row r="905636" spans="25:37" x14ac:dyDescent="0.2">
      <c r="Y905636" s="5"/>
      <c r="AB905636" s="5"/>
      <c r="AE905636" s="5"/>
      <c r="AH905636" s="5"/>
      <c r="AK905636" s="5"/>
    </row>
    <row r="905646" spans="25:37" x14ac:dyDescent="0.2">
      <c r="Y905646" s="251"/>
      <c r="AB905646" s="251"/>
      <c r="AE905646" s="251"/>
      <c r="AH905646" s="251"/>
      <c r="AK905646" s="251"/>
    </row>
    <row r="905761" spans="25:37" x14ac:dyDescent="0.2">
      <c r="Y905761" s="5"/>
      <c r="AB905761" s="5"/>
      <c r="AE905761" s="5"/>
      <c r="AH905761" s="5"/>
      <c r="AK905761" s="5"/>
    </row>
    <row r="905771" spans="25:37" x14ac:dyDescent="0.2">
      <c r="Y905771" s="251"/>
      <c r="AB905771" s="251"/>
      <c r="AE905771" s="251"/>
      <c r="AH905771" s="251"/>
      <c r="AK905771" s="251"/>
    </row>
    <row r="905886" spans="25:37" x14ac:dyDescent="0.2">
      <c r="Y905886" s="5"/>
      <c r="AB905886" s="5"/>
      <c r="AE905886" s="5"/>
      <c r="AH905886" s="5"/>
      <c r="AK905886" s="5"/>
    </row>
    <row r="905896" spans="25:37" x14ac:dyDescent="0.2">
      <c r="Y905896" s="251"/>
      <c r="AB905896" s="251"/>
      <c r="AE905896" s="251"/>
      <c r="AH905896" s="251"/>
      <c r="AK905896" s="251"/>
    </row>
    <row r="906011" spans="25:37" x14ac:dyDescent="0.2">
      <c r="Y906011" s="5"/>
      <c r="AB906011" s="5"/>
      <c r="AE906011" s="5"/>
      <c r="AH906011" s="5"/>
      <c r="AK906011" s="5"/>
    </row>
    <row r="906021" spans="25:37" x14ac:dyDescent="0.2">
      <c r="Y906021" s="251"/>
      <c r="AB906021" s="251"/>
      <c r="AE906021" s="251"/>
      <c r="AH906021" s="251"/>
      <c r="AK906021" s="251"/>
    </row>
    <row r="906136" spans="25:37" x14ac:dyDescent="0.2">
      <c r="Y906136" s="5"/>
      <c r="AB906136" s="5"/>
      <c r="AE906136" s="5"/>
      <c r="AH906136" s="5"/>
      <c r="AK906136" s="5"/>
    </row>
    <row r="906146" spans="25:37" x14ac:dyDescent="0.2">
      <c r="Y906146" s="251"/>
      <c r="AB906146" s="251"/>
      <c r="AE906146" s="251"/>
      <c r="AH906146" s="251"/>
      <c r="AK906146" s="251"/>
    </row>
    <row r="906261" spans="25:37" x14ac:dyDescent="0.2">
      <c r="Y906261" s="5"/>
      <c r="AB906261" s="5"/>
      <c r="AE906261" s="5"/>
      <c r="AH906261" s="5"/>
      <c r="AK906261" s="5"/>
    </row>
    <row r="906271" spans="25:37" x14ac:dyDescent="0.2">
      <c r="Y906271" s="251"/>
      <c r="AB906271" s="251"/>
      <c r="AE906271" s="251"/>
      <c r="AH906271" s="251"/>
      <c r="AK906271" s="251"/>
    </row>
    <row r="906386" spans="25:37" x14ac:dyDescent="0.2">
      <c r="Y906386" s="5"/>
      <c r="AB906386" s="5"/>
      <c r="AE906386" s="5"/>
      <c r="AH906386" s="5"/>
      <c r="AK906386" s="5"/>
    </row>
    <row r="906396" spans="25:37" x14ac:dyDescent="0.2">
      <c r="Y906396" s="251"/>
      <c r="AB906396" s="251"/>
      <c r="AE906396" s="251"/>
      <c r="AH906396" s="251"/>
      <c r="AK906396" s="251"/>
    </row>
    <row r="906511" spans="25:37" x14ac:dyDescent="0.2">
      <c r="Y906511" s="5"/>
      <c r="AB906511" s="5"/>
      <c r="AE906511" s="5"/>
      <c r="AH906511" s="5"/>
      <c r="AK906511" s="5"/>
    </row>
    <row r="906521" spans="25:37" x14ac:dyDescent="0.2">
      <c r="Y906521" s="251"/>
      <c r="AB906521" s="251"/>
      <c r="AE906521" s="251"/>
      <c r="AH906521" s="251"/>
      <c r="AK906521" s="251"/>
    </row>
    <row r="906636" spans="25:37" x14ac:dyDescent="0.2">
      <c r="Y906636" s="5"/>
      <c r="AB906636" s="5"/>
      <c r="AE906636" s="5"/>
      <c r="AH906636" s="5"/>
      <c r="AK906636" s="5"/>
    </row>
    <row r="906646" spans="25:37" x14ac:dyDescent="0.2">
      <c r="Y906646" s="251"/>
      <c r="AB906646" s="251"/>
      <c r="AE906646" s="251"/>
      <c r="AH906646" s="251"/>
      <c r="AK906646" s="251"/>
    </row>
    <row r="906761" spans="25:37" x14ac:dyDescent="0.2">
      <c r="Y906761" s="5"/>
      <c r="AB906761" s="5"/>
      <c r="AE906761" s="5"/>
      <c r="AH906761" s="5"/>
      <c r="AK906761" s="5"/>
    </row>
    <row r="906771" spans="25:37" x14ac:dyDescent="0.2">
      <c r="Y906771" s="251"/>
      <c r="AB906771" s="251"/>
      <c r="AE906771" s="251"/>
      <c r="AH906771" s="251"/>
      <c r="AK906771" s="251"/>
    </row>
    <row r="906886" spans="25:37" x14ac:dyDescent="0.2">
      <c r="Y906886" s="5"/>
      <c r="AB906886" s="5"/>
      <c r="AE906886" s="5"/>
      <c r="AH906886" s="5"/>
      <c r="AK906886" s="5"/>
    </row>
    <row r="906896" spans="25:37" x14ac:dyDescent="0.2">
      <c r="Y906896" s="251"/>
      <c r="AB906896" s="251"/>
      <c r="AE906896" s="251"/>
      <c r="AH906896" s="251"/>
      <c r="AK906896" s="251"/>
    </row>
    <row r="907011" spans="25:37" x14ac:dyDescent="0.2">
      <c r="Y907011" s="5"/>
      <c r="AB907011" s="5"/>
      <c r="AE907011" s="5"/>
      <c r="AH907011" s="5"/>
      <c r="AK907011" s="5"/>
    </row>
    <row r="907021" spans="25:37" x14ac:dyDescent="0.2">
      <c r="Y907021" s="251"/>
      <c r="AB907021" s="251"/>
      <c r="AE907021" s="251"/>
      <c r="AH907021" s="251"/>
      <c r="AK907021" s="251"/>
    </row>
    <row r="907136" spans="25:37" x14ac:dyDescent="0.2">
      <c r="Y907136" s="5"/>
      <c r="AB907136" s="5"/>
      <c r="AE907136" s="5"/>
      <c r="AH907136" s="5"/>
      <c r="AK907136" s="5"/>
    </row>
    <row r="907146" spans="25:37" x14ac:dyDescent="0.2">
      <c r="Y907146" s="251"/>
      <c r="AB907146" s="251"/>
      <c r="AE907146" s="251"/>
      <c r="AH907146" s="251"/>
      <c r="AK907146" s="251"/>
    </row>
    <row r="907261" spans="25:37" x14ac:dyDescent="0.2">
      <c r="Y907261" s="5"/>
      <c r="AB907261" s="5"/>
      <c r="AE907261" s="5"/>
      <c r="AH907261" s="5"/>
      <c r="AK907261" s="5"/>
    </row>
    <row r="907271" spans="25:37" x14ac:dyDescent="0.2">
      <c r="Y907271" s="251"/>
      <c r="AB907271" s="251"/>
      <c r="AE907271" s="251"/>
      <c r="AH907271" s="251"/>
      <c r="AK907271" s="251"/>
    </row>
    <row r="907386" spans="25:37" x14ac:dyDescent="0.2">
      <c r="Y907386" s="5"/>
      <c r="AB907386" s="5"/>
      <c r="AE907386" s="5"/>
      <c r="AH907386" s="5"/>
      <c r="AK907386" s="5"/>
    </row>
    <row r="907396" spans="25:37" x14ac:dyDescent="0.2">
      <c r="Y907396" s="251"/>
      <c r="AB907396" s="251"/>
      <c r="AE907396" s="251"/>
      <c r="AH907396" s="251"/>
      <c r="AK907396" s="251"/>
    </row>
    <row r="907511" spans="25:37" x14ac:dyDescent="0.2">
      <c r="Y907511" s="5"/>
      <c r="AB907511" s="5"/>
      <c r="AE907511" s="5"/>
      <c r="AH907511" s="5"/>
      <c r="AK907511" s="5"/>
    </row>
    <row r="907521" spans="25:37" x14ac:dyDescent="0.2">
      <c r="Y907521" s="251"/>
      <c r="AB907521" s="251"/>
      <c r="AE907521" s="251"/>
      <c r="AH907521" s="251"/>
      <c r="AK907521" s="251"/>
    </row>
    <row r="907636" spans="25:37" x14ac:dyDescent="0.2">
      <c r="Y907636" s="5"/>
      <c r="AB907636" s="5"/>
      <c r="AE907636" s="5"/>
      <c r="AH907636" s="5"/>
      <c r="AK907636" s="5"/>
    </row>
    <row r="907646" spans="25:37" x14ac:dyDescent="0.2">
      <c r="Y907646" s="251"/>
      <c r="AB907646" s="251"/>
      <c r="AE907646" s="251"/>
      <c r="AH907646" s="251"/>
      <c r="AK907646" s="251"/>
    </row>
    <row r="907761" spans="25:37" x14ac:dyDescent="0.2">
      <c r="Y907761" s="5"/>
      <c r="AB907761" s="5"/>
      <c r="AE907761" s="5"/>
      <c r="AH907761" s="5"/>
      <c r="AK907761" s="5"/>
    </row>
    <row r="907771" spans="25:37" x14ac:dyDescent="0.2">
      <c r="Y907771" s="251"/>
      <c r="AB907771" s="251"/>
      <c r="AE907771" s="251"/>
      <c r="AH907771" s="251"/>
      <c r="AK907771" s="251"/>
    </row>
    <row r="907886" spans="25:37" x14ac:dyDescent="0.2">
      <c r="Y907886" s="5"/>
      <c r="AB907886" s="5"/>
      <c r="AE907886" s="5"/>
      <c r="AH907886" s="5"/>
      <c r="AK907886" s="5"/>
    </row>
    <row r="907896" spans="25:37" x14ac:dyDescent="0.2">
      <c r="Y907896" s="251"/>
      <c r="AB907896" s="251"/>
      <c r="AE907896" s="251"/>
      <c r="AH907896" s="251"/>
      <c r="AK907896" s="251"/>
    </row>
    <row r="908011" spans="25:37" x14ac:dyDescent="0.2">
      <c r="Y908011" s="5"/>
      <c r="AB908011" s="5"/>
      <c r="AE908011" s="5"/>
      <c r="AH908011" s="5"/>
      <c r="AK908011" s="5"/>
    </row>
    <row r="908021" spans="25:37" x14ac:dyDescent="0.2">
      <c r="Y908021" s="251"/>
      <c r="AB908021" s="251"/>
      <c r="AE908021" s="251"/>
      <c r="AH908021" s="251"/>
      <c r="AK908021" s="251"/>
    </row>
    <row r="908136" spans="25:37" x14ac:dyDescent="0.2">
      <c r="Y908136" s="5"/>
      <c r="AB908136" s="5"/>
      <c r="AE908136" s="5"/>
      <c r="AH908136" s="5"/>
      <c r="AK908136" s="5"/>
    </row>
    <row r="908146" spans="25:37" x14ac:dyDescent="0.2">
      <c r="Y908146" s="251"/>
      <c r="AB908146" s="251"/>
      <c r="AE908146" s="251"/>
      <c r="AH908146" s="251"/>
      <c r="AK908146" s="251"/>
    </row>
    <row r="908261" spans="25:37" x14ac:dyDescent="0.2">
      <c r="Y908261" s="5"/>
      <c r="AB908261" s="5"/>
      <c r="AE908261" s="5"/>
      <c r="AH908261" s="5"/>
      <c r="AK908261" s="5"/>
    </row>
    <row r="908271" spans="25:37" x14ac:dyDescent="0.2">
      <c r="Y908271" s="251"/>
      <c r="AB908271" s="251"/>
      <c r="AE908271" s="251"/>
      <c r="AH908271" s="251"/>
      <c r="AK908271" s="251"/>
    </row>
    <row r="908386" spans="25:37" x14ac:dyDescent="0.2">
      <c r="Y908386" s="5"/>
      <c r="AB908386" s="5"/>
      <c r="AE908386" s="5"/>
      <c r="AH908386" s="5"/>
      <c r="AK908386" s="5"/>
    </row>
    <row r="908396" spans="25:37" x14ac:dyDescent="0.2">
      <c r="Y908396" s="251"/>
      <c r="AB908396" s="251"/>
      <c r="AE908396" s="251"/>
      <c r="AH908396" s="251"/>
      <c r="AK908396" s="251"/>
    </row>
    <row r="908511" spans="25:37" x14ac:dyDescent="0.2">
      <c r="Y908511" s="5"/>
      <c r="AB908511" s="5"/>
      <c r="AE908511" s="5"/>
      <c r="AH908511" s="5"/>
      <c r="AK908511" s="5"/>
    </row>
    <row r="908521" spans="25:37" x14ac:dyDescent="0.2">
      <c r="Y908521" s="251"/>
      <c r="AB908521" s="251"/>
      <c r="AE908521" s="251"/>
      <c r="AH908521" s="251"/>
      <c r="AK908521" s="251"/>
    </row>
    <row r="908636" spans="25:37" x14ac:dyDescent="0.2">
      <c r="Y908636" s="5"/>
      <c r="AB908636" s="5"/>
      <c r="AE908636" s="5"/>
      <c r="AH908636" s="5"/>
      <c r="AK908636" s="5"/>
    </row>
    <row r="908646" spans="25:37" x14ac:dyDescent="0.2">
      <c r="Y908646" s="251"/>
      <c r="AB908646" s="251"/>
      <c r="AE908646" s="251"/>
      <c r="AH908646" s="251"/>
      <c r="AK908646" s="251"/>
    </row>
    <row r="908761" spans="25:37" x14ac:dyDescent="0.2">
      <c r="Y908761" s="5"/>
      <c r="AB908761" s="5"/>
      <c r="AE908761" s="5"/>
      <c r="AH908761" s="5"/>
      <c r="AK908761" s="5"/>
    </row>
    <row r="908771" spans="25:37" x14ac:dyDescent="0.2">
      <c r="Y908771" s="251"/>
      <c r="AB908771" s="251"/>
      <c r="AE908771" s="251"/>
      <c r="AH908771" s="251"/>
      <c r="AK908771" s="251"/>
    </row>
    <row r="908886" spans="25:37" x14ac:dyDescent="0.2">
      <c r="Y908886" s="5"/>
      <c r="AB908886" s="5"/>
      <c r="AE908886" s="5"/>
      <c r="AH908886" s="5"/>
      <c r="AK908886" s="5"/>
    </row>
    <row r="908896" spans="25:37" x14ac:dyDescent="0.2">
      <c r="Y908896" s="251"/>
      <c r="AB908896" s="251"/>
      <c r="AE908896" s="251"/>
      <c r="AH908896" s="251"/>
      <c r="AK908896" s="251"/>
    </row>
    <row r="909011" spans="25:37" x14ac:dyDescent="0.2">
      <c r="Y909011" s="5"/>
      <c r="AB909011" s="5"/>
      <c r="AE909011" s="5"/>
      <c r="AH909011" s="5"/>
      <c r="AK909011" s="5"/>
    </row>
    <row r="909021" spans="25:37" x14ac:dyDescent="0.2">
      <c r="Y909021" s="251"/>
      <c r="AB909021" s="251"/>
      <c r="AE909021" s="251"/>
      <c r="AH909021" s="251"/>
      <c r="AK909021" s="251"/>
    </row>
    <row r="909136" spans="25:37" x14ac:dyDescent="0.2">
      <c r="Y909136" s="5"/>
      <c r="AB909136" s="5"/>
      <c r="AE909136" s="5"/>
      <c r="AH909136" s="5"/>
      <c r="AK909136" s="5"/>
    </row>
    <row r="909146" spans="25:37" x14ac:dyDescent="0.2">
      <c r="Y909146" s="251"/>
      <c r="AB909146" s="251"/>
      <c r="AE909146" s="251"/>
      <c r="AH909146" s="251"/>
      <c r="AK909146" s="251"/>
    </row>
    <row r="909261" spans="25:37" x14ac:dyDescent="0.2">
      <c r="Y909261" s="5"/>
      <c r="AB909261" s="5"/>
      <c r="AE909261" s="5"/>
      <c r="AH909261" s="5"/>
      <c r="AK909261" s="5"/>
    </row>
    <row r="909271" spans="25:37" x14ac:dyDescent="0.2">
      <c r="Y909271" s="251"/>
      <c r="AB909271" s="251"/>
      <c r="AE909271" s="251"/>
      <c r="AH909271" s="251"/>
      <c r="AK909271" s="251"/>
    </row>
    <row r="909386" spans="25:37" x14ac:dyDescent="0.2">
      <c r="Y909386" s="5"/>
      <c r="AB909386" s="5"/>
      <c r="AE909386" s="5"/>
      <c r="AH909386" s="5"/>
      <c r="AK909386" s="5"/>
    </row>
    <row r="909396" spans="25:37" x14ac:dyDescent="0.2">
      <c r="Y909396" s="251"/>
      <c r="AB909396" s="251"/>
      <c r="AE909396" s="251"/>
      <c r="AH909396" s="251"/>
      <c r="AK909396" s="251"/>
    </row>
    <row r="909511" spans="25:37" x14ac:dyDescent="0.2">
      <c r="Y909511" s="5"/>
      <c r="AB909511" s="5"/>
      <c r="AE909511" s="5"/>
      <c r="AH909511" s="5"/>
      <c r="AK909511" s="5"/>
    </row>
    <row r="909521" spans="25:37" x14ac:dyDescent="0.2">
      <c r="Y909521" s="251"/>
      <c r="AB909521" s="251"/>
      <c r="AE909521" s="251"/>
      <c r="AH909521" s="251"/>
      <c r="AK909521" s="251"/>
    </row>
    <row r="909636" spans="25:37" x14ac:dyDescent="0.2">
      <c r="Y909636" s="5"/>
      <c r="AB909636" s="5"/>
      <c r="AE909636" s="5"/>
      <c r="AH909636" s="5"/>
      <c r="AK909636" s="5"/>
    </row>
    <row r="909646" spans="25:37" x14ac:dyDescent="0.2">
      <c r="Y909646" s="251"/>
      <c r="AB909646" s="251"/>
      <c r="AE909646" s="251"/>
      <c r="AH909646" s="251"/>
      <c r="AK909646" s="251"/>
    </row>
    <row r="909761" spans="25:37" x14ac:dyDescent="0.2">
      <c r="Y909761" s="5"/>
      <c r="AB909761" s="5"/>
      <c r="AE909761" s="5"/>
      <c r="AH909761" s="5"/>
      <c r="AK909761" s="5"/>
    </row>
    <row r="909771" spans="25:37" x14ac:dyDescent="0.2">
      <c r="Y909771" s="251"/>
      <c r="AB909771" s="251"/>
      <c r="AE909771" s="251"/>
      <c r="AH909771" s="251"/>
      <c r="AK909771" s="251"/>
    </row>
    <row r="909886" spans="25:37" x14ac:dyDescent="0.2">
      <c r="Y909886" s="5"/>
      <c r="AB909886" s="5"/>
      <c r="AE909886" s="5"/>
      <c r="AH909886" s="5"/>
      <c r="AK909886" s="5"/>
    </row>
    <row r="909896" spans="25:37" x14ac:dyDescent="0.2">
      <c r="Y909896" s="251"/>
      <c r="AB909896" s="251"/>
      <c r="AE909896" s="251"/>
      <c r="AH909896" s="251"/>
      <c r="AK909896" s="251"/>
    </row>
    <row r="910011" spans="25:37" x14ac:dyDescent="0.2">
      <c r="Y910011" s="5"/>
      <c r="AB910011" s="5"/>
      <c r="AE910011" s="5"/>
      <c r="AH910011" s="5"/>
      <c r="AK910011" s="5"/>
    </row>
    <row r="910021" spans="25:37" x14ac:dyDescent="0.2">
      <c r="Y910021" s="251"/>
      <c r="AB910021" s="251"/>
      <c r="AE910021" s="251"/>
      <c r="AH910021" s="251"/>
      <c r="AK910021" s="251"/>
    </row>
    <row r="910136" spans="25:37" x14ac:dyDescent="0.2">
      <c r="Y910136" s="5"/>
      <c r="AB910136" s="5"/>
      <c r="AE910136" s="5"/>
      <c r="AH910136" s="5"/>
      <c r="AK910136" s="5"/>
    </row>
    <row r="910146" spans="25:37" x14ac:dyDescent="0.2">
      <c r="Y910146" s="251"/>
      <c r="AB910146" s="251"/>
      <c r="AE910146" s="251"/>
      <c r="AH910146" s="251"/>
      <c r="AK910146" s="251"/>
    </row>
    <row r="910261" spans="25:37" x14ac:dyDescent="0.2">
      <c r="Y910261" s="5"/>
      <c r="AB910261" s="5"/>
      <c r="AE910261" s="5"/>
      <c r="AH910261" s="5"/>
      <c r="AK910261" s="5"/>
    </row>
    <row r="910271" spans="25:37" x14ac:dyDescent="0.2">
      <c r="Y910271" s="251"/>
      <c r="AB910271" s="251"/>
      <c r="AE910271" s="251"/>
      <c r="AH910271" s="251"/>
      <c r="AK910271" s="251"/>
    </row>
    <row r="910386" spans="25:37" x14ac:dyDescent="0.2">
      <c r="Y910386" s="5"/>
      <c r="AB910386" s="5"/>
      <c r="AE910386" s="5"/>
      <c r="AH910386" s="5"/>
      <c r="AK910386" s="5"/>
    </row>
    <row r="910396" spans="25:37" x14ac:dyDescent="0.2">
      <c r="Y910396" s="251"/>
      <c r="AB910396" s="251"/>
      <c r="AE910396" s="251"/>
      <c r="AH910396" s="251"/>
      <c r="AK910396" s="251"/>
    </row>
    <row r="910511" spans="25:37" x14ac:dyDescent="0.2">
      <c r="Y910511" s="5"/>
      <c r="AB910511" s="5"/>
      <c r="AE910511" s="5"/>
      <c r="AH910511" s="5"/>
      <c r="AK910511" s="5"/>
    </row>
    <row r="910521" spans="25:37" x14ac:dyDescent="0.2">
      <c r="Y910521" s="251"/>
      <c r="AB910521" s="251"/>
      <c r="AE910521" s="251"/>
      <c r="AH910521" s="251"/>
      <c r="AK910521" s="251"/>
    </row>
    <row r="910636" spans="25:37" x14ac:dyDescent="0.2">
      <c r="Y910636" s="5"/>
      <c r="AB910636" s="5"/>
      <c r="AE910636" s="5"/>
      <c r="AH910636" s="5"/>
      <c r="AK910636" s="5"/>
    </row>
    <row r="910646" spans="25:37" x14ac:dyDescent="0.2">
      <c r="Y910646" s="251"/>
      <c r="AB910646" s="251"/>
      <c r="AE910646" s="251"/>
      <c r="AH910646" s="251"/>
      <c r="AK910646" s="251"/>
    </row>
    <row r="910761" spans="25:37" x14ac:dyDescent="0.2">
      <c r="Y910761" s="5"/>
      <c r="AB910761" s="5"/>
      <c r="AE910761" s="5"/>
      <c r="AH910761" s="5"/>
      <c r="AK910761" s="5"/>
    </row>
    <row r="910771" spans="25:37" x14ac:dyDescent="0.2">
      <c r="Y910771" s="251"/>
      <c r="AB910771" s="251"/>
      <c r="AE910771" s="251"/>
      <c r="AH910771" s="251"/>
      <c r="AK910771" s="251"/>
    </row>
    <row r="910886" spans="25:37" x14ac:dyDescent="0.2">
      <c r="Y910886" s="5"/>
      <c r="AB910886" s="5"/>
      <c r="AE910886" s="5"/>
      <c r="AH910886" s="5"/>
      <c r="AK910886" s="5"/>
    </row>
    <row r="910896" spans="25:37" x14ac:dyDescent="0.2">
      <c r="Y910896" s="251"/>
      <c r="AB910896" s="251"/>
      <c r="AE910896" s="251"/>
      <c r="AH910896" s="251"/>
      <c r="AK910896" s="251"/>
    </row>
    <row r="911011" spans="25:37" x14ac:dyDescent="0.2">
      <c r="Y911011" s="5"/>
      <c r="AB911011" s="5"/>
      <c r="AE911011" s="5"/>
      <c r="AH911011" s="5"/>
      <c r="AK911011" s="5"/>
    </row>
    <row r="911021" spans="25:37" x14ac:dyDescent="0.2">
      <c r="Y911021" s="251"/>
      <c r="AB911021" s="251"/>
      <c r="AE911021" s="251"/>
      <c r="AH911021" s="251"/>
      <c r="AK911021" s="251"/>
    </row>
    <row r="911136" spans="25:37" x14ac:dyDescent="0.2">
      <c r="Y911136" s="5"/>
      <c r="AB911136" s="5"/>
      <c r="AE911136" s="5"/>
      <c r="AH911136" s="5"/>
      <c r="AK911136" s="5"/>
    </row>
    <row r="911146" spans="25:37" x14ac:dyDescent="0.2">
      <c r="Y911146" s="251"/>
      <c r="AB911146" s="251"/>
      <c r="AE911146" s="251"/>
      <c r="AH911146" s="251"/>
      <c r="AK911146" s="251"/>
    </row>
    <row r="911261" spans="25:37" x14ac:dyDescent="0.2">
      <c r="Y911261" s="5"/>
      <c r="AB911261" s="5"/>
      <c r="AE911261" s="5"/>
      <c r="AH911261" s="5"/>
      <c r="AK911261" s="5"/>
    </row>
    <row r="911271" spans="25:37" x14ac:dyDescent="0.2">
      <c r="Y911271" s="251"/>
      <c r="AB911271" s="251"/>
      <c r="AE911271" s="251"/>
      <c r="AH911271" s="251"/>
      <c r="AK911271" s="251"/>
    </row>
    <row r="911386" spans="25:37" x14ac:dyDescent="0.2">
      <c r="Y911386" s="5"/>
      <c r="AB911386" s="5"/>
      <c r="AE911386" s="5"/>
      <c r="AH911386" s="5"/>
      <c r="AK911386" s="5"/>
    </row>
    <row r="911396" spans="25:37" x14ac:dyDescent="0.2">
      <c r="Y911396" s="251"/>
      <c r="AB911396" s="251"/>
      <c r="AE911396" s="251"/>
      <c r="AH911396" s="251"/>
      <c r="AK911396" s="251"/>
    </row>
    <row r="911511" spans="25:37" x14ac:dyDescent="0.2">
      <c r="Y911511" s="5"/>
      <c r="AB911511" s="5"/>
      <c r="AE911511" s="5"/>
      <c r="AH911511" s="5"/>
      <c r="AK911511" s="5"/>
    </row>
    <row r="911521" spans="25:37" x14ac:dyDescent="0.2">
      <c r="Y911521" s="251"/>
      <c r="AB911521" s="251"/>
      <c r="AE911521" s="251"/>
      <c r="AH911521" s="251"/>
      <c r="AK911521" s="251"/>
    </row>
    <row r="911636" spans="25:37" x14ac:dyDescent="0.2">
      <c r="Y911636" s="5"/>
      <c r="AB911636" s="5"/>
      <c r="AE911636" s="5"/>
      <c r="AH911636" s="5"/>
      <c r="AK911636" s="5"/>
    </row>
    <row r="911646" spans="25:37" x14ac:dyDescent="0.2">
      <c r="Y911646" s="251"/>
      <c r="AB911646" s="251"/>
      <c r="AE911646" s="251"/>
      <c r="AH911646" s="251"/>
      <c r="AK911646" s="251"/>
    </row>
    <row r="911761" spans="25:37" x14ac:dyDescent="0.2">
      <c r="Y911761" s="5"/>
      <c r="AB911761" s="5"/>
      <c r="AE911761" s="5"/>
      <c r="AH911761" s="5"/>
      <c r="AK911761" s="5"/>
    </row>
    <row r="911771" spans="25:37" x14ac:dyDescent="0.2">
      <c r="Y911771" s="251"/>
      <c r="AB911771" s="251"/>
      <c r="AE911771" s="251"/>
      <c r="AH911771" s="251"/>
      <c r="AK911771" s="251"/>
    </row>
    <row r="911886" spans="25:37" x14ac:dyDescent="0.2">
      <c r="Y911886" s="5"/>
      <c r="AB911886" s="5"/>
      <c r="AE911886" s="5"/>
      <c r="AH911886" s="5"/>
      <c r="AK911886" s="5"/>
    </row>
    <row r="911896" spans="25:37" x14ac:dyDescent="0.2">
      <c r="Y911896" s="251"/>
      <c r="AB911896" s="251"/>
      <c r="AE911896" s="251"/>
      <c r="AH911896" s="251"/>
      <c r="AK911896" s="251"/>
    </row>
    <row r="912011" spans="25:37" x14ac:dyDescent="0.2">
      <c r="Y912011" s="5"/>
      <c r="AB912011" s="5"/>
      <c r="AE912011" s="5"/>
      <c r="AH912011" s="5"/>
      <c r="AK912011" s="5"/>
    </row>
    <row r="912021" spans="25:37" x14ac:dyDescent="0.2">
      <c r="Y912021" s="251"/>
      <c r="AB912021" s="251"/>
      <c r="AE912021" s="251"/>
      <c r="AH912021" s="251"/>
      <c r="AK912021" s="251"/>
    </row>
    <row r="912136" spans="25:37" x14ac:dyDescent="0.2">
      <c r="Y912136" s="5"/>
      <c r="AB912136" s="5"/>
      <c r="AE912136" s="5"/>
      <c r="AH912136" s="5"/>
      <c r="AK912136" s="5"/>
    </row>
    <row r="912146" spans="25:37" x14ac:dyDescent="0.2">
      <c r="Y912146" s="251"/>
      <c r="AB912146" s="251"/>
      <c r="AE912146" s="251"/>
      <c r="AH912146" s="251"/>
      <c r="AK912146" s="251"/>
    </row>
    <row r="912261" spans="25:37" x14ac:dyDescent="0.2">
      <c r="Y912261" s="5"/>
      <c r="AB912261" s="5"/>
      <c r="AE912261" s="5"/>
      <c r="AH912261" s="5"/>
      <c r="AK912261" s="5"/>
    </row>
    <row r="912271" spans="25:37" x14ac:dyDescent="0.2">
      <c r="Y912271" s="251"/>
      <c r="AB912271" s="251"/>
      <c r="AE912271" s="251"/>
      <c r="AH912271" s="251"/>
      <c r="AK912271" s="251"/>
    </row>
    <row r="912386" spans="25:37" x14ac:dyDescent="0.2">
      <c r="Y912386" s="5"/>
      <c r="AB912386" s="5"/>
      <c r="AE912386" s="5"/>
      <c r="AH912386" s="5"/>
      <c r="AK912386" s="5"/>
    </row>
    <row r="912396" spans="25:37" x14ac:dyDescent="0.2">
      <c r="Y912396" s="251"/>
      <c r="AB912396" s="251"/>
      <c r="AE912396" s="251"/>
      <c r="AH912396" s="251"/>
      <c r="AK912396" s="251"/>
    </row>
    <row r="912511" spans="25:37" x14ac:dyDescent="0.2">
      <c r="Y912511" s="5"/>
      <c r="AB912511" s="5"/>
      <c r="AE912511" s="5"/>
      <c r="AH912511" s="5"/>
      <c r="AK912511" s="5"/>
    </row>
    <row r="912521" spans="25:37" x14ac:dyDescent="0.2">
      <c r="Y912521" s="251"/>
      <c r="AB912521" s="251"/>
      <c r="AE912521" s="251"/>
      <c r="AH912521" s="251"/>
      <c r="AK912521" s="251"/>
    </row>
    <row r="912636" spans="25:37" x14ac:dyDescent="0.2">
      <c r="Y912636" s="5"/>
      <c r="AB912636" s="5"/>
      <c r="AE912636" s="5"/>
      <c r="AH912636" s="5"/>
      <c r="AK912636" s="5"/>
    </row>
    <row r="912646" spans="25:37" x14ac:dyDescent="0.2">
      <c r="Y912646" s="251"/>
      <c r="AB912646" s="251"/>
      <c r="AE912646" s="251"/>
      <c r="AH912646" s="251"/>
      <c r="AK912646" s="251"/>
    </row>
    <row r="912761" spans="25:37" x14ac:dyDescent="0.2">
      <c r="Y912761" s="5"/>
      <c r="AB912761" s="5"/>
      <c r="AE912761" s="5"/>
      <c r="AH912761" s="5"/>
      <c r="AK912761" s="5"/>
    </row>
    <row r="912771" spans="25:37" x14ac:dyDescent="0.2">
      <c r="Y912771" s="251"/>
      <c r="AB912771" s="251"/>
      <c r="AE912771" s="251"/>
      <c r="AH912771" s="251"/>
      <c r="AK912771" s="251"/>
    </row>
    <row r="912886" spans="25:37" x14ac:dyDescent="0.2">
      <c r="Y912886" s="5"/>
      <c r="AB912886" s="5"/>
      <c r="AE912886" s="5"/>
      <c r="AH912886" s="5"/>
      <c r="AK912886" s="5"/>
    </row>
    <row r="912896" spans="25:37" x14ac:dyDescent="0.2">
      <c r="Y912896" s="251"/>
      <c r="AB912896" s="251"/>
      <c r="AE912896" s="251"/>
      <c r="AH912896" s="251"/>
      <c r="AK912896" s="251"/>
    </row>
    <row r="913011" spans="25:37" x14ac:dyDescent="0.2">
      <c r="Y913011" s="5"/>
      <c r="AB913011" s="5"/>
      <c r="AE913011" s="5"/>
      <c r="AH913011" s="5"/>
      <c r="AK913011" s="5"/>
    </row>
    <row r="913021" spans="25:37" x14ac:dyDescent="0.2">
      <c r="Y913021" s="251"/>
      <c r="AB913021" s="251"/>
      <c r="AE913021" s="251"/>
      <c r="AH913021" s="251"/>
      <c r="AK913021" s="251"/>
    </row>
    <row r="913136" spans="25:37" x14ac:dyDescent="0.2">
      <c r="Y913136" s="5"/>
      <c r="AB913136" s="5"/>
      <c r="AE913136" s="5"/>
      <c r="AH913136" s="5"/>
      <c r="AK913136" s="5"/>
    </row>
    <row r="913146" spans="25:37" x14ac:dyDescent="0.2">
      <c r="Y913146" s="251"/>
      <c r="AB913146" s="251"/>
      <c r="AE913146" s="251"/>
      <c r="AH913146" s="251"/>
      <c r="AK913146" s="251"/>
    </row>
    <row r="913261" spans="25:37" x14ac:dyDescent="0.2">
      <c r="Y913261" s="5"/>
      <c r="AB913261" s="5"/>
      <c r="AE913261" s="5"/>
      <c r="AH913261" s="5"/>
      <c r="AK913261" s="5"/>
    </row>
    <row r="913271" spans="25:37" x14ac:dyDescent="0.2">
      <c r="Y913271" s="251"/>
      <c r="AB913271" s="251"/>
      <c r="AE913271" s="251"/>
      <c r="AH913271" s="251"/>
      <c r="AK913271" s="251"/>
    </row>
    <row r="913386" spans="25:37" x14ac:dyDescent="0.2">
      <c r="Y913386" s="5"/>
      <c r="AB913386" s="5"/>
      <c r="AE913386" s="5"/>
      <c r="AH913386" s="5"/>
      <c r="AK913386" s="5"/>
    </row>
    <row r="913396" spans="25:37" x14ac:dyDescent="0.2">
      <c r="Y913396" s="251"/>
      <c r="AB913396" s="251"/>
      <c r="AE913396" s="251"/>
      <c r="AH913396" s="251"/>
      <c r="AK913396" s="251"/>
    </row>
    <row r="913511" spans="25:37" x14ac:dyDescent="0.2">
      <c r="Y913511" s="5"/>
      <c r="AB913511" s="5"/>
      <c r="AE913511" s="5"/>
      <c r="AH913511" s="5"/>
      <c r="AK913511" s="5"/>
    </row>
    <row r="913521" spans="25:37" x14ac:dyDescent="0.2">
      <c r="Y913521" s="251"/>
      <c r="AB913521" s="251"/>
      <c r="AE913521" s="251"/>
      <c r="AH913521" s="251"/>
      <c r="AK913521" s="251"/>
    </row>
    <row r="913636" spans="25:37" x14ac:dyDescent="0.2">
      <c r="Y913636" s="5"/>
      <c r="AB913636" s="5"/>
      <c r="AE913636" s="5"/>
      <c r="AH913636" s="5"/>
      <c r="AK913636" s="5"/>
    </row>
    <row r="913646" spans="25:37" x14ac:dyDescent="0.2">
      <c r="Y913646" s="251"/>
      <c r="AB913646" s="251"/>
      <c r="AE913646" s="251"/>
      <c r="AH913646" s="251"/>
      <c r="AK913646" s="251"/>
    </row>
    <row r="913761" spans="25:37" x14ac:dyDescent="0.2">
      <c r="Y913761" s="5"/>
      <c r="AB913761" s="5"/>
      <c r="AE913761" s="5"/>
      <c r="AH913761" s="5"/>
      <c r="AK913761" s="5"/>
    </row>
    <row r="913771" spans="25:37" x14ac:dyDescent="0.2">
      <c r="Y913771" s="251"/>
      <c r="AB913771" s="251"/>
      <c r="AE913771" s="251"/>
      <c r="AH913771" s="251"/>
      <c r="AK913771" s="251"/>
    </row>
    <row r="913886" spans="25:37" x14ac:dyDescent="0.2">
      <c r="Y913886" s="5"/>
      <c r="AB913886" s="5"/>
      <c r="AE913886" s="5"/>
      <c r="AH913886" s="5"/>
      <c r="AK913886" s="5"/>
    </row>
    <row r="913896" spans="25:37" x14ac:dyDescent="0.2">
      <c r="Y913896" s="251"/>
      <c r="AB913896" s="251"/>
      <c r="AE913896" s="251"/>
      <c r="AH913896" s="251"/>
      <c r="AK913896" s="251"/>
    </row>
    <row r="914011" spans="25:37" x14ac:dyDescent="0.2">
      <c r="Y914011" s="5"/>
      <c r="AB914011" s="5"/>
      <c r="AE914011" s="5"/>
      <c r="AH914011" s="5"/>
      <c r="AK914011" s="5"/>
    </row>
    <row r="914021" spans="25:37" x14ac:dyDescent="0.2">
      <c r="Y914021" s="251"/>
      <c r="AB914021" s="251"/>
      <c r="AE914021" s="251"/>
      <c r="AH914021" s="251"/>
      <c r="AK914021" s="251"/>
    </row>
    <row r="914136" spans="25:37" x14ac:dyDescent="0.2">
      <c r="Y914136" s="5"/>
      <c r="AB914136" s="5"/>
      <c r="AE914136" s="5"/>
      <c r="AH914136" s="5"/>
      <c r="AK914136" s="5"/>
    </row>
    <row r="914146" spans="25:37" x14ac:dyDescent="0.2">
      <c r="Y914146" s="251"/>
      <c r="AB914146" s="251"/>
      <c r="AE914146" s="251"/>
      <c r="AH914146" s="251"/>
      <c r="AK914146" s="251"/>
    </row>
    <row r="914261" spans="25:37" x14ac:dyDescent="0.2">
      <c r="Y914261" s="5"/>
      <c r="AB914261" s="5"/>
      <c r="AE914261" s="5"/>
      <c r="AH914261" s="5"/>
      <c r="AK914261" s="5"/>
    </row>
    <row r="914271" spans="25:37" x14ac:dyDescent="0.2">
      <c r="Y914271" s="251"/>
      <c r="AB914271" s="251"/>
      <c r="AE914271" s="251"/>
      <c r="AH914271" s="251"/>
      <c r="AK914271" s="251"/>
    </row>
    <row r="914386" spans="25:37" x14ac:dyDescent="0.2">
      <c r="Y914386" s="5"/>
      <c r="AB914386" s="5"/>
      <c r="AE914386" s="5"/>
      <c r="AH914386" s="5"/>
      <c r="AK914386" s="5"/>
    </row>
    <row r="914396" spans="25:37" x14ac:dyDescent="0.2">
      <c r="Y914396" s="251"/>
      <c r="AB914396" s="251"/>
      <c r="AE914396" s="251"/>
      <c r="AH914396" s="251"/>
      <c r="AK914396" s="251"/>
    </row>
    <row r="914511" spans="25:37" x14ac:dyDescent="0.2">
      <c r="Y914511" s="5"/>
      <c r="AB914511" s="5"/>
      <c r="AE914511" s="5"/>
      <c r="AH914511" s="5"/>
      <c r="AK914511" s="5"/>
    </row>
    <row r="914521" spans="25:37" x14ac:dyDescent="0.2">
      <c r="Y914521" s="251"/>
      <c r="AB914521" s="251"/>
      <c r="AE914521" s="251"/>
      <c r="AH914521" s="251"/>
      <c r="AK914521" s="251"/>
    </row>
    <row r="914636" spans="25:37" x14ac:dyDescent="0.2">
      <c r="Y914636" s="5"/>
      <c r="AB914636" s="5"/>
      <c r="AE914636" s="5"/>
      <c r="AH914636" s="5"/>
      <c r="AK914636" s="5"/>
    </row>
    <row r="914646" spans="25:37" x14ac:dyDescent="0.2">
      <c r="Y914646" s="251"/>
      <c r="AB914646" s="251"/>
      <c r="AE914646" s="251"/>
      <c r="AH914646" s="251"/>
      <c r="AK914646" s="251"/>
    </row>
    <row r="914761" spans="25:37" x14ac:dyDescent="0.2">
      <c r="Y914761" s="5"/>
      <c r="AB914761" s="5"/>
      <c r="AE914761" s="5"/>
      <c r="AH914761" s="5"/>
      <c r="AK914761" s="5"/>
    </row>
    <row r="914771" spans="25:37" x14ac:dyDescent="0.2">
      <c r="Y914771" s="251"/>
      <c r="AB914771" s="251"/>
      <c r="AE914771" s="251"/>
      <c r="AH914771" s="251"/>
      <c r="AK914771" s="251"/>
    </row>
    <row r="914886" spans="25:37" x14ac:dyDescent="0.2">
      <c r="Y914886" s="5"/>
      <c r="AB914886" s="5"/>
      <c r="AE914886" s="5"/>
      <c r="AH914886" s="5"/>
      <c r="AK914886" s="5"/>
    </row>
    <row r="914896" spans="25:37" x14ac:dyDescent="0.2">
      <c r="Y914896" s="251"/>
      <c r="AB914896" s="251"/>
      <c r="AE914896" s="251"/>
      <c r="AH914896" s="251"/>
      <c r="AK914896" s="251"/>
    </row>
    <row r="915011" spans="25:37" x14ac:dyDescent="0.2">
      <c r="Y915011" s="5"/>
      <c r="AB915011" s="5"/>
      <c r="AE915011" s="5"/>
      <c r="AH915011" s="5"/>
      <c r="AK915011" s="5"/>
    </row>
    <row r="915021" spans="25:37" x14ac:dyDescent="0.2">
      <c r="Y915021" s="251"/>
      <c r="AB915021" s="251"/>
      <c r="AE915021" s="251"/>
      <c r="AH915021" s="251"/>
      <c r="AK915021" s="251"/>
    </row>
    <row r="915136" spans="25:37" x14ac:dyDescent="0.2">
      <c r="Y915136" s="5"/>
      <c r="AB915136" s="5"/>
      <c r="AE915136" s="5"/>
      <c r="AH915136" s="5"/>
      <c r="AK915136" s="5"/>
    </row>
    <row r="915146" spans="25:37" x14ac:dyDescent="0.2">
      <c r="Y915146" s="251"/>
      <c r="AB915146" s="251"/>
      <c r="AE915146" s="251"/>
      <c r="AH915146" s="251"/>
      <c r="AK915146" s="251"/>
    </row>
    <row r="915261" spans="25:37" x14ac:dyDescent="0.2">
      <c r="Y915261" s="5"/>
      <c r="AB915261" s="5"/>
      <c r="AE915261" s="5"/>
      <c r="AH915261" s="5"/>
      <c r="AK915261" s="5"/>
    </row>
    <row r="915271" spans="25:37" x14ac:dyDescent="0.2">
      <c r="Y915271" s="251"/>
      <c r="AB915271" s="251"/>
      <c r="AE915271" s="251"/>
      <c r="AH915271" s="251"/>
      <c r="AK915271" s="251"/>
    </row>
    <row r="915386" spans="25:37" x14ac:dyDescent="0.2">
      <c r="Y915386" s="5"/>
      <c r="AB915386" s="5"/>
      <c r="AE915386" s="5"/>
      <c r="AH915386" s="5"/>
      <c r="AK915386" s="5"/>
    </row>
    <row r="915396" spans="25:37" x14ac:dyDescent="0.2">
      <c r="Y915396" s="251"/>
      <c r="AB915396" s="251"/>
      <c r="AE915396" s="251"/>
      <c r="AH915396" s="251"/>
      <c r="AK915396" s="251"/>
    </row>
    <row r="915511" spans="25:37" x14ac:dyDescent="0.2">
      <c r="Y915511" s="5"/>
      <c r="AB915511" s="5"/>
      <c r="AE915511" s="5"/>
      <c r="AH915511" s="5"/>
      <c r="AK915511" s="5"/>
    </row>
    <row r="915521" spans="25:37" x14ac:dyDescent="0.2">
      <c r="Y915521" s="251"/>
      <c r="AB915521" s="251"/>
      <c r="AE915521" s="251"/>
      <c r="AH915521" s="251"/>
      <c r="AK915521" s="251"/>
    </row>
    <row r="915636" spans="25:37" x14ac:dyDescent="0.2">
      <c r="Y915636" s="5"/>
      <c r="AB915636" s="5"/>
      <c r="AE915636" s="5"/>
      <c r="AH915636" s="5"/>
      <c r="AK915636" s="5"/>
    </row>
    <row r="915646" spans="25:37" x14ac:dyDescent="0.2">
      <c r="Y915646" s="251"/>
      <c r="AB915646" s="251"/>
      <c r="AE915646" s="251"/>
      <c r="AH915646" s="251"/>
      <c r="AK915646" s="251"/>
    </row>
    <row r="915761" spans="25:37" x14ac:dyDescent="0.2">
      <c r="Y915761" s="5"/>
      <c r="AB915761" s="5"/>
      <c r="AE915761" s="5"/>
      <c r="AH915761" s="5"/>
      <c r="AK915761" s="5"/>
    </row>
    <row r="915771" spans="25:37" x14ac:dyDescent="0.2">
      <c r="Y915771" s="251"/>
      <c r="AB915771" s="251"/>
      <c r="AE915771" s="251"/>
      <c r="AH915771" s="251"/>
      <c r="AK915771" s="251"/>
    </row>
    <row r="915886" spans="25:37" x14ac:dyDescent="0.2">
      <c r="Y915886" s="5"/>
      <c r="AB915886" s="5"/>
      <c r="AE915886" s="5"/>
      <c r="AH915886" s="5"/>
      <c r="AK915886" s="5"/>
    </row>
    <row r="915896" spans="25:37" x14ac:dyDescent="0.2">
      <c r="Y915896" s="251"/>
      <c r="AB915896" s="251"/>
      <c r="AE915896" s="251"/>
      <c r="AH915896" s="251"/>
      <c r="AK915896" s="251"/>
    </row>
    <row r="916011" spans="25:37" x14ac:dyDescent="0.2">
      <c r="Y916011" s="5"/>
      <c r="AB916011" s="5"/>
      <c r="AE916011" s="5"/>
      <c r="AH916011" s="5"/>
      <c r="AK916011" s="5"/>
    </row>
    <row r="916021" spans="25:37" x14ac:dyDescent="0.2">
      <c r="Y916021" s="251"/>
      <c r="AB916021" s="251"/>
      <c r="AE916021" s="251"/>
      <c r="AH916021" s="251"/>
      <c r="AK916021" s="251"/>
    </row>
    <row r="916136" spans="25:37" x14ac:dyDescent="0.2">
      <c r="Y916136" s="5"/>
      <c r="AB916136" s="5"/>
      <c r="AE916136" s="5"/>
      <c r="AH916136" s="5"/>
      <c r="AK916136" s="5"/>
    </row>
    <row r="916146" spans="25:37" x14ac:dyDescent="0.2">
      <c r="Y916146" s="251"/>
      <c r="AB916146" s="251"/>
      <c r="AE916146" s="251"/>
      <c r="AH916146" s="251"/>
      <c r="AK916146" s="251"/>
    </row>
    <row r="916261" spans="25:37" x14ac:dyDescent="0.2">
      <c r="Y916261" s="5"/>
      <c r="AB916261" s="5"/>
      <c r="AE916261" s="5"/>
      <c r="AH916261" s="5"/>
      <c r="AK916261" s="5"/>
    </row>
    <row r="916271" spans="25:37" x14ac:dyDescent="0.2">
      <c r="Y916271" s="251"/>
      <c r="AB916271" s="251"/>
      <c r="AE916271" s="251"/>
      <c r="AH916271" s="251"/>
      <c r="AK916271" s="251"/>
    </row>
    <row r="916386" spans="25:37" x14ac:dyDescent="0.2">
      <c r="Y916386" s="5"/>
      <c r="AB916386" s="5"/>
      <c r="AE916386" s="5"/>
      <c r="AH916386" s="5"/>
      <c r="AK916386" s="5"/>
    </row>
    <row r="916396" spans="25:37" x14ac:dyDescent="0.2">
      <c r="Y916396" s="251"/>
      <c r="AB916396" s="251"/>
      <c r="AE916396" s="251"/>
      <c r="AH916396" s="251"/>
      <c r="AK916396" s="251"/>
    </row>
    <row r="916511" spans="25:37" x14ac:dyDescent="0.2">
      <c r="Y916511" s="5"/>
      <c r="AB916511" s="5"/>
      <c r="AE916511" s="5"/>
      <c r="AH916511" s="5"/>
      <c r="AK916511" s="5"/>
    </row>
    <row r="916521" spans="25:37" x14ac:dyDescent="0.2">
      <c r="Y916521" s="251"/>
      <c r="AB916521" s="251"/>
      <c r="AE916521" s="251"/>
      <c r="AH916521" s="251"/>
      <c r="AK916521" s="251"/>
    </row>
    <row r="916636" spans="25:37" x14ac:dyDescent="0.2">
      <c r="Y916636" s="5"/>
      <c r="AB916636" s="5"/>
      <c r="AE916636" s="5"/>
      <c r="AH916636" s="5"/>
      <c r="AK916636" s="5"/>
    </row>
    <row r="916646" spans="25:37" x14ac:dyDescent="0.2">
      <c r="Y916646" s="251"/>
      <c r="AB916646" s="251"/>
      <c r="AE916646" s="251"/>
      <c r="AH916646" s="251"/>
      <c r="AK916646" s="251"/>
    </row>
    <row r="916761" spans="25:37" x14ac:dyDescent="0.2">
      <c r="Y916761" s="5"/>
      <c r="AB916761" s="5"/>
      <c r="AE916761" s="5"/>
      <c r="AH916761" s="5"/>
      <c r="AK916761" s="5"/>
    </row>
    <row r="916771" spans="25:37" x14ac:dyDescent="0.2">
      <c r="Y916771" s="251"/>
      <c r="AB916771" s="251"/>
      <c r="AE916771" s="251"/>
      <c r="AH916771" s="251"/>
      <c r="AK916771" s="251"/>
    </row>
    <row r="916886" spans="25:37" x14ac:dyDescent="0.2">
      <c r="Y916886" s="5"/>
      <c r="AB916886" s="5"/>
      <c r="AE916886" s="5"/>
      <c r="AH916886" s="5"/>
      <c r="AK916886" s="5"/>
    </row>
    <row r="916896" spans="25:37" x14ac:dyDescent="0.2">
      <c r="Y916896" s="251"/>
      <c r="AB916896" s="251"/>
      <c r="AE916896" s="251"/>
      <c r="AH916896" s="251"/>
      <c r="AK916896" s="251"/>
    </row>
    <row r="917011" spans="25:37" x14ac:dyDescent="0.2">
      <c r="Y917011" s="5"/>
      <c r="AB917011" s="5"/>
      <c r="AE917011" s="5"/>
      <c r="AH917011" s="5"/>
      <c r="AK917011" s="5"/>
    </row>
    <row r="917021" spans="25:37" x14ac:dyDescent="0.2">
      <c r="Y917021" s="251"/>
      <c r="AB917021" s="251"/>
      <c r="AE917021" s="251"/>
      <c r="AH917021" s="251"/>
      <c r="AK917021" s="251"/>
    </row>
    <row r="917136" spans="25:37" x14ac:dyDescent="0.2">
      <c r="Y917136" s="5"/>
      <c r="AB917136" s="5"/>
      <c r="AE917136" s="5"/>
      <c r="AH917136" s="5"/>
      <c r="AK917136" s="5"/>
    </row>
    <row r="917146" spans="25:37" x14ac:dyDescent="0.2">
      <c r="Y917146" s="251"/>
      <c r="AB917146" s="251"/>
      <c r="AE917146" s="251"/>
      <c r="AH917146" s="251"/>
      <c r="AK917146" s="251"/>
    </row>
    <row r="917261" spans="25:37" x14ac:dyDescent="0.2">
      <c r="Y917261" s="5"/>
      <c r="AB917261" s="5"/>
      <c r="AE917261" s="5"/>
      <c r="AH917261" s="5"/>
      <c r="AK917261" s="5"/>
    </row>
    <row r="917271" spans="25:37" x14ac:dyDescent="0.2">
      <c r="Y917271" s="251"/>
      <c r="AB917271" s="251"/>
      <c r="AE917271" s="251"/>
      <c r="AH917271" s="251"/>
      <c r="AK917271" s="251"/>
    </row>
    <row r="917386" spans="25:37" x14ac:dyDescent="0.2">
      <c r="Y917386" s="5"/>
      <c r="AB917386" s="5"/>
      <c r="AE917386" s="5"/>
      <c r="AH917386" s="5"/>
      <c r="AK917386" s="5"/>
    </row>
    <row r="917396" spans="25:37" x14ac:dyDescent="0.2">
      <c r="Y917396" s="251"/>
      <c r="AB917396" s="251"/>
      <c r="AE917396" s="251"/>
      <c r="AH917396" s="251"/>
      <c r="AK917396" s="251"/>
    </row>
    <row r="917511" spans="25:37" x14ac:dyDescent="0.2">
      <c r="Y917511" s="5"/>
      <c r="AB917511" s="5"/>
      <c r="AE917511" s="5"/>
      <c r="AH917511" s="5"/>
      <c r="AK917511" s="5"/>
    </row>
    <row r="917521" spans="25:37" x14ac:dyDescent="0.2">
      <c r="Y917521" s="251"/>
      <c r="AB917521" s="251"/>
      <c r="AE917521" s="251"/>
      <c r="AH917521" s="251"/>
      <c r="AK917521" s="251"/>
    </row>
    <row r="917636" spans="25:37" x14ac:dyDescent="0.2">
      <c r="Y917636" s="5"/>
      <c r="AB917636" s="5"/>
      <c r="AE917636" s="5"/>
      <c r="AH917636" s="5"/>
      <c r="AK917636" s="5"/>
    </row>
    <row r="917646" spans="25:37" x14ac:dyDescent="0.2">
      <c r="Y917646" s="251"/>
      <c r="AB917646" s="251"/>
      <c r="AE917646" s="251"/>
      <c r="AH917646" s="251"/>
      <c r="AK917646" s="251"/>
    </row>
    <row r="917761" spans="25:37" x14ac:dyDescent="0.2">
      <c r="Y917761" s="5"/>
      <c r="AB917761" s="5"/>
      <c r="AE917761" s="5"/>
      <c r="AH917761" s="5"/>
      <c r="AK917761" s="5"/>
    </row>
    <row r="917771" spans="25:37" x14ac:dyDescent="0.2">
      <c r="Y917771" s="251"/>
      <c r="AB917771" s="251"/>
      <c r="AE917771" s="251"/>
      <c r="AH917771" s="251"/>
      <c r="AK917771" s="251"/>
    </row>
    <row r="917886" spans="25:37" x14ac:dyDescent="0.2">
      <c r="Y917886" s="5"/>
      <c r="AB917886" s="5"/>
      <c r="AE917886" s="5"/>
      <c r="AH917886" s="5"/>
      <c r="AK917886" s="5"/>
    </row>
    <row r="917896" spans="25:37" x14ac:dyDescent="0.2">
      <c r="Y917896" s="251"/>
      <c r="AB917896" s="251"/>
      <c r="AE917896" s="251"/>
      <c r="AH917896" s="251"/>
      <c r="AK917896" s="251"/>
    </row>
    <row r="918011" spans="25:37" x14ac:dyDescent="0.2">
      <c r="Y918011" s="5"/>
      <c r="AB918011" s="5"/>
      <c r="AE918011" s="5"/>
      <c r="AH918011" s="5"/>
      <c r="AK918011" s="5"/>
    </row>
    <row r="918021" spans="25:37" x14ac:dyDescent="0.2">
      <c r="Y918021" s="251"/>
      <c r="AB918021" s="251"/>
      <c r="AE918021" s="251"/>
      <c r="AH918021" s="251"/>
      <c r="AK918021" s="251"/>
    </row>
    <row r="918136" spans="25:37" x14ac:dyDescent="0.2">
      <c r="Y918136" s="5"/>
      <c r="AB918136" s="5"/>
      <c r="AE918136" s="5"/>
      <c r="AH918136" s="5"/>
      <c r="AK918136" s="5"/>
    </row>
    <row r="918146" spans="25:37" x14ac:dyDescent="0.2">
      <c r="Y918146" s="251"/>
      <c r="AB918146" s="251"/>
      <c r="AE918146" s="251"/>
      <c r="AH918146" s="251"/>
      <c r="AK918146" s="251"/>
    </row>
    <row r="918261" spans="25:37" x14ac:dyDescent="0.2">
      <c r="Y918261" s="5"/>
      <c r="AB918261" s="5"/>
      <c r="AE918261" s="5"/>
      <c r="AH918261" s="5"/>
      <c r="AK918261" s="5"/>
    </row>
    <row r="918271" spans="25:37" x14ac:dyDescent="0.2">
      <c r="Y918271" s="251"/>
      <c r="AB918271" s="251"/>
      <c r="AE918271" s="251"/>
      <c r="AH918271" s="251"/>
      <c r="AK918271" s="251"/>
    </row>
    <row r="918386" spans="25:37" x14ac:dyDescent="0.2">
      <c r="Y918386" s="5"/>
      <c r="AB918386" s="5"/>
      <c r="AE918386" s="5"/>
      <c r="AH918386" s="5"/>
      <c r="AK918386" s="5"/>
    </row>
    <row r="918396" spans="25:37" x14ac:dyDescent="0.2">
      <c r="Y918396" s="251"/>
      <c r="AB918396" s="251"/>
      <c r="AE918396" s="251"/>
      <c r="AH918396" s="251"/>
      <c r="AK918396" s="251"/>
    </row>
    <row r="918511" spans="25:37" x14ac:dyDescent="0.2">
      <c r="Y918511" s="5"/>
      <c r="AB918511" s="5"/>
      <c r="AE918511" s="5"/>
      <c r="AH918511" s="5"/>
      <c r="AK918511" s="5"/>
    </row>
    <row r="918521" spans="25:37" x14ac:dyDescent="0.2">
      <c r="Y918521" s="251"/>
      <c r="AB918521" s="251"/>
      <c r="AE918521" s="251"/>
      <c r="AH918521" s="251"/>
      <c r="AK918521" s="251"/>
    </row>
    <row r="918636" spans="25:37" x14ac:dyDescent="0.2">
      <c r="Y918636" s="5"/>
      <c r="AB918636" s="5"/>
      <c r="AE918636" s="5"/>
      <c r="AH918636" s="5"/>
      <c r="AK918636" s="5"/>
    </row>
    <row r="918646" spans="25:37" x14ac:dyDescent="0.2">
      <c r="Y918646" s="251"/>
      <c r="AB918646" s="251"/>
      <c r="AE918646" s="251"/>
      <c r="AH918646" s="251"/>
      <c r="AK918646" s="251"/>
    </row>
    <row r="918761" spans="25:37" x14ac:dyDescent="0.2">
      <c r="Y918761" s="5"/>
      <c r="AB918761" s="5"/>
      <c r="AE918761" s="5"/>
      <c r="AH918761" s="5"/>
      <c r="AK918761" s="5"/>
    </row>
    <row r="918771" spans="25:37" x14ac:dyDescent="0.2">
      <c r="Y918771" s="251"/>
      <c r="AB918771" s="251"/>
      <c r="AE918771" s="251"/>
      <c r="AH918771" s="251"/>
      <c r="AK918771" s="251"/>
    </row>
    <row r="918886" spans="25:37" x14ac:dyDescent="0.2">
      <c r="Y918886" s="5"/>
      <c r="AB918886" s="5"/>
      <c r="AE918886" s="5"/>
      <c r="AH918886" s="5"/>
      <c r="AK918886" s="5"/>
    </row>
    <row r="918896" spans="25:37" x14ac:dyDescent="0.2">
      <c r="Y918896" s="251"/>
      <c r="AB918896" s="251"/>
      <c r="AE918896" s="251"/>
      <c r="AH918896" s="251"/>
      <c r="AK918896" s="251"/>
    </row>
    <row r="919011" spans="25:37" x14ac:dyDescent="0.2">
      <c r="Y919011" s="5"/>
      <c r="AB919011" s="5"/>
      <c r="AE919011" s="5"/>
      <c r="AH919011" s="5"/>
      <c r="AK919011" s="5"/>
    </row>
    <row r="919021" spans="25:37" x14ac:dyDescent="0.2">
      <c r="Y919021" s="251"/>
      <c r="AB919021" s="251"/>
      <c r="AE919021" s="251"/>
      <c r="AH919021" s="251"/>
      <c r="AK919021" s="251"/>
    </row>
    <row r="919136" spans="25:37" x14ac:dyDescent="0.2">
      <c r="Y919136" s="5"/>
      <c r="AB919136" s="5"/>
      <c r="AE919136" s="5"/>
      <c r="AH919136" s="5"/>
      <c r="AK919136" s="5"/>
    </row>
    <row r="919146" spans="25:37" x14ac:dyDescent="0.2">
      <c r="Y919146" s="251"/>
      <c r="AB919146" s="251"/>
      <c r="AE919146" s="251"/>
      <c r="AH919146" s="251"/>
      <c r="AK919146" s="251"/>
    </row>
    <row r="919261" spans="25:37" x14ac:dyDescent="0.2">
      <c r="Y919261" s="5"/>
      <c r="AB919261" s="5"/>
      <c r="AE919261" s="5"/>
      <c r="AH919261" s="5"/>
      <c r="AK919261" s="5"/>
    </row>
    <row r="919271" spans="25:37" x14ac:dyDescent="0.2">
      <c r="Y919271" s="251"/>
      <c r="AB919271" s="251"/>
      <c r="AE919271" s="251"/>
      <c r="AH919271" s="251"/>
      <c r="AK919271" s="251"/>
    </row>
    <row r="919386" spans="25:37" x14ac:dyDescent="0.2">
      <c r="Y919386" s="5"/>
      <c r="AB919386" s="5"/>
      <c r="AE919386" s="5"/>
      <c r="AH919386" s="5"/>
      <c r="AK919386" s="5"/>
    </row>
    <row r="919396" spans="25:37" x14ac:dyDescent="0.2">
      <c r="Y919396" s="251"/>
      <c r="AB919396" s="251"/>
      <c r="AE919396" s="251"/>
      <c r="AH919396" s="251"/>
      <c r="AK919396" s="251"/>
    </row>
    <row r="919511" spans="25:37" x14ac:dyDescent="0.2">
      <c r="Y919511" s="5"/>
      <c r="AB919511" s="5"/>
      <c r="AE919511" s="5"/>
      <c r="AH919511" s="5"/>
      <c r="AK919511" s="5"/>
    </row>
    <row r="919521" spans="25:37" x14ac:dyDescent="0.2">
      <c r="Y919521" s="251"/>
      <c r="AB919521" s="251"/>
      <c r="AE919521" s="251"/>
      <c r="AH919521" s="251"/>
      <c r="AK919521" s="251"/>
    </row>
    <row r="919636" spans="25:37" x14ac:dyDescent="0.2">
      <c r="Y919636" s="5"/>
      <c r="AB919636" s="5"/>
      <c r="AE919636" s="5"/>
      <c r="AH919636" s="5"/>
      <c r="AK919636" s="5"/>
    </row>
    <row r="919646" spans="25:37" x14ac:dyDescent="0.2">
      <c r="Y919646" s="251"/>
      <c r="AB919646" s="251"/>
      <c r="AE919646" s="251"/>
      <c r="AH919646" s="251"/>
      <c r="AK919646" s="251"/>
    </row>
    <row r="919761" spans="25:37" x14ac:dyDescent="0.2">
      <c r="Y919761" s="5"/>
      <c r="AB919761" s="5"/>
      <c r="AE919761" s="5"/>
      <c r="AH919761" s="5"/>
      <c r="AK919761" s="5"/>
    </row>
    <row r="919771" spans="25:37" x14ac:dyDescent="0.2">
      <c r="Y919771" s="251"/>
      <c r="AB919771" s="251"/>
      <c r="AE919771" s="251"/>
      <c r="AH919771" s="251"/>
      <c r="AK919771" s="251"/>
    </row>
    <row r="919886" spans="25:37" x14ac:dyDescent="0.2">
      <c r="Y919886" s="5"/>
      <c r="AB919886" s="5"/>
      <c r="AE919886" s="5"/>
      <c r="AH919886" s="5"/>
      <c r="AK919886" s="5"/>
    </row>
    <row r="919896" spans="25:37" x14ac:dyDescent="0.2">
      <c r="Y919896" s="251"/>
      <c r="AB919896" s="251"/>
      <c r="AE919896" s="251"/>
      <c r="AH919896" s="251"/>
      <c r="AK919896" s="251"/>
    </row>
    <row r="920011" spans="25:37" x14ac:dyDescent="0.2">
      <c r="Y920011" s="5"/>
      <c r="AB920011" s="5"/>
      <c r="AE920011" s="5"/>
      <c r="AH920011" s="5"/>
      <c r="AK920011" s="5"/>
    </row>
    <row r="920021" spans="25:37" x14ac:dyDescent="0.2">
      <c r="Y920021" s="251"/>
      <c r="AB920021" s="251"/>
      <c r="AE920021" s="251"/>
      <c r="AH920021" s="251"/>
      <c r="AK920021" s="251"/>
    </row>
    <row r="920136" spans="25:37" x14ac:dyDescent="0.2">
      <c r="Y920136" s="5"/>
      <c r="AB920136" s="5"/>
      <c r="AE920136" s="5"/>
      <c r="AH920136" s="5"/>
      <c r="AK920136" s="5"/>
    </row>
    <row r="920146" spans="25:37" x14ac:dyDescent="0.2">
      <c r="Y920146" s="251"/>
      <c r="AB920146" s="251"/>
      <c r="AE920146" s="251"/>
      <c r="AH920146" s="251"/>
      <c r="AK920146" s="251"/>
    </row>
    <row r="920261" spans="25:37" x14ac:dyDescent="0.2">
      <c r="Y920261" s="5"/>
      <c r="AB920261" s="5"/>
      <c r="AE920261" s="5"/>
      <c r="AH920261" s="5"/>
      <c r="AK920261" s="5"/>
    </row>
    <row r="920271" spans="25:37" x14ac:dyDescent="0.2">
      <c r="Y920271" s="251"/>
      <c r="AB920271" s="251"/>
      <c r="AE920271" s="251"/>
      <c r="AH920271" s="251"/>
      <c r="AK920271" s="251"/>
    </row>
    <row r="920386" spans="25:37" x14ac:dyDescent="0.2">
      <c r="Y920386" s="5"/>
      <c r="AB920386" s="5"/>
      <c r="AE920386" s="5"/>
      <c r="AH920386" s="5"/>
      <c r="AK920386" s="5"/>
    </row>
    <row r="920396" spans="25:37" x14ac:dyDescent="0.2">
      <c r="Y920396" s="251"/>
      <c r="AB920396" s="251"/>
      <c r="AE920396" s="251"/>
      <c r="AH920396" s="251"/>
      <c r="AK920396" s="251"/>
    </row>
    <row r="920511" spans="25:37" x14ac:dyDescent="0.2">
      <c r="Y920511" s="5"/>
      <c r="AB920511" s="5"/>
      <c r="AE920511" s="5"/>
      <c r="AH920511" s="5"/>
      <c r="AK920511" s="5"/>
    </row>
    <row r="920521" spans="25:37" x14ac:dyDescent="0.2">
      <c r="Y920521" s="251"/>
      <c r="AB920521" s="251"/>
      <c r="AE920521" s="251"/>
      <c r="AH920521" s="251"/>
      <c r="AK920521" s="251"/>
    </row>
    <row r="920636" spans="25:37" x14ac:dyDescent="0.2">
      <c r="Y920636" s="5"/>
      <c r="AB920636" s="5"/>
      <c r="AE920636" s="5"/>
      <c r="AH920636" s="5"/>
      <c r="AK920636" s="5"/>
    </row>
    <row r="920646" spans="25:37" x14ac:dyDescent="0.2">
      <c r="Y920646" s="251"/>
      <c r="AB920646" s="251"/>
      <c r="AE920646" s="251"/>
      <c r="AH920646" s="251"/>
      <c r="AK920646" s="251"/>
    </row>
    <row r="920761" spans="25:37" x14ac:dyDescent="0.2">
      <c r="Y920761" s="5"/>
      <c r="AB920761" s="5"/>
      <c r="AE920761" s="5"/>
      <c r="AH920761" s="5"/>
      <c r="AK920761" s="5"/>
    </row>
    <row r="920771" spans="25:37" x14ac:dyDescent="0.2">
      <c r="Y920771" s="251"/>
      <c r="AB920771" s="251"/>
      <c r="AE920771" s="251"/>
      <c r="AH920771" s="251"/>
      <c r="AK920771" s="251"/>
    </row>
    <row r="920886" spans="25:37" x14ac:dyDescent="0.2">
      <c r="Y920886" s="5"/>
      <c r="AB920886" s="5"/>
      <c r="AE920886" s="5"/>
      <c r="AH920886" s="5"/>
      <c r="AK920886" s="5"/>
    </row>
    <row r="920896" spans="25:37" x14ac:dyDescent="0.2">
      <c r="Y920896" s="251"/>
      <c r="AB920896" s="251"/>
      <c r="AE920896" s="251"/>
      <c r="AH920896" s="251"/>
      <c r="AK920896" s="251"/>
    </row>
    <row r="921011" spans="25:37" x14ac:dyDescent="0.2">
      <c r="Y921011" s="5"/>
      <c r="AB921011" s="5"/>
      <c r="AE921011" s="5"/>
      <c r="AH921011" s="5"/>
      <c r="AK921011" s="5"/>
    </row>
    <row r="921021" spans="25:37" x14ac:dyDescent="0.2">
      <c r="Y921021" s="251"/>
      <c r="AB921021" s="251"/>
      <c r="AE921021" s="251"/>
      <c r="AH921021" s="251"/>
      <c r="AK921021" s="251"/>
    </row>
    <row r="921136" spans="25:37" x14ac:dyDescent="0.2">
      <c r="Y921136" s="5"/>
      <c r="AB921136" s="5"/>
      <c r="AE921136" s="5"/>
      <c r="AH921136" s="5"/>
      <c r="AK921136" s="5"/>
    </row>
    <row r="921146" spans="25:37" x14ac:dyDescent="0.2">
      <c r="Y921146" s="251"/>
      <c r="AB921146" s="251"/>
      <c r="AE921146" s="251"/>
      <c r="AH921146" s="251"/>
      <c r="AK921146" s="251"/>
    </row>
    <row r="921261" spans="25:37" x14ac:dyDescent="0.2">
      <c r="Y921261" s="5"/>
      <c r="AB921261" s="5"/>
      <c r="AE921261" s="5"/>
      <c r="AH921261" s="5"/>
      <c r="AK921261" s="5"/>
    </row>
    <row r="921271" spans="25:37" x14ac:dyDescent="0.2">
      <c r="Y921271" s="251"/>
      <c r="AB921271" s="251"/>
      <c r="AE921271" s="251"/>
      <c r="AH921271" s="251"/>
      <c r="AK921271" s="251"/>
    </row>
    <row r="921386" spans="25:37" x14ac:dyDescent="0.2">
      <c r="Y921386" s="5"/>
      <c r="AB921386" s="5"/>
      <c r="AE921386" s="5"/>
      <c r="AH921386" s="5"/>
      <c r="AK921386" s="5"/>
    </row>
    <row r="921396" spans="25:37" x14ac:dyDescent="0.2">
      <c r="Y921396" s="251"/>
      <c r="AB921396" s="251"/>
      <c r="AE921396" s="251"/>
      <c r="AH921396" s="251"/>
      <c r="AK921396" s="251"/>
    </row>
    <row r="921511" spans="25:37" x14ac:dyDescent="0.2">
      <c r="Y921511" s="5"/>
      <c r="AB921511" s="5"/>
      <c r="AE921511" s="5"/>
      <c r="AH921511" s="5"/>
      <c r="AK921511" s="5"/>
    </row>
    <row r="921521" spans="25:37" x14ac:dyDescent="0.2">
      <c r="Y921521" s="251"/>
      <c r="AB921521" s="251"/>
      <c r="AE921521" s="251"/>
      <c r="AH921521" s="251"/>
      <c r="AK921521" s="251"/>
    </row>
    <row r="921636" spans="25:37" x14ac:dyDescent="0.2">
      <c r="Y921636" s="5"/>
      <c r="AB921636" s="5"/>
      <c r="AE921636" s="5"/>
      <c r="AH921636" s="5"/>
      <c r="AK921636" s="5"/>
    </row>
    <row r="921646" spans="25:37" x14ac:dyDescent="0.2">
      <c r="Y921646" s="251"/>
      <c r="AB921646" s="251"/>
      <c r="AE921646" s="251"/>
      <c r="AH921646" s="251"/>
      <c r="AK921646" s="251"/>
    </row>
    <row r="921761" spans="25:37" x14ac:dyDescent="0.2">
      <c r="Y921761" s="5"/>
      <c r="AB921761" s="5"/>
      <c r="AE921761" s="5"/>
      <c r="AH921761" s="5"/>
      <c r="AK921761" s="5"/>
    </row>
    <row r="921771" spans="25:37" x14ac:dyDescent="0.2">
      <c r="Y921771" s="251"/>
      <c r="AB921771" s="251"/>
      <c r="AE921771" s="251"/>
      <c r="AH921771" s="251"/>
      <c r="AK921771" s="251"/>
    </row>
    <row r="921886" spans="25:37" x14ac:dyDescent="0.2">
      <c r="Y921886" s="5"/>
      <c r="AB921886" s="5"/>
      <c r="AE921886" s="5"/>
      <c r="AH921886" s="5"/>
      <c r="AK921886" s="5"/>
    </row>
    <row r="921896" spans="25:37" x14ac:dyDescent="0.2">
      <c r="Y921896" s="251"/>
      <c r="AB921896" s="251"/>
      <c r="AE921896" s="251"/>
      <c r="AH921896" s="251"/>
      <c r="AK921896" s="251"/>
    </row>
    <row r="922011" spans="25:37" x14ac:dyDescent="0.2">
      <c r="Y922011" s="5"/>
      <c r="AB922011" s="5"/>
      <c r="AE922011" s="5"/>
      <c r="AH922011" s="5"/>
      <c r="AK922011" s="5"/>
    </row>
    <row r="922021" spans="25:37" x14ac:dyDescent="0.2">
      <c r="Y922021" s="251"/>
      <c r="AB922021" s="251"/>
      <c r="AE922021" s="251"/>
      <c r="AH922021" s="251"/>
      <c r="AK922021" s="251"/>
    </row>
    <row r="922136" spans="25:37" x14ac:dyDescent="0.2">
      <c r="Y922136" s="5"/>
      <c r="AB922136" s="5"/>
      <c r="AE922136" s="5"/>
      <c r="AH922136" s="5"/>
      <c r="AK922136" s="5"/>
    </row>
    <row r="922146" spans="25:37" x14ac:dyDescent="0.2">
      <c r="Y922146" s="251"/>
      <c r="AB922146" s="251"/>
      <c r="AE922146" s="251"/>
      <c r="AH922146" s="251"/>
      <c r="AK922146" s="251"/>
    </row>
    <row r="922261" spans="25:37" x14ac:dyDescent="0.2">
      <c r="Y922261" s="5"/>
      <c r="AB922261" s="5"/>
      <c r="AE922261" s="5"/>
      <c r="AH922261" s="5"/>
      <c r="AK922261" s="5"/>
    </row>
    <row r="922271" spans="25:37" x14ac:dyDescent="0.2">
      <c r="Y922271" s="251"/>
      <c r="AB922271" s="251"/>
      <c r="AE922271" s="251"/>
      <c r="AH922271" s="251"/>
      <c r="AK922271" s="251"/>
    </row>
    <row r="922386" spans="25:37" x14ac:dyDescent="0.2">
      <c r="Y922386" s="5"/>
      <c r="AB922386" s="5"/>
      <c r="AE922386" s="5"/>
      <c r="AH922386" s="5"/>
      <c r="AK922386" s="5"/>
    </row>
    <row r="922396" spans="25:37" x14ac:dyDescent="0.2">
      <c r="Y922396" s="251"/>
      <c r="AB922396" s="251"/>
      <c r="AE922396" s="251"/>
      <c r="AH922396" s="251"/>
      <c r="AK922396" s="251"/>
    </row>
    <row r="922511" spans="25:37" x14ac:dyDescent="0.2">
      <c r="Y922511" s="5"/>
      <c r="AB922511" s="5"/>
      <c r="AE922511" s="5"/>
      <c r="AH922511" s="5"/>
      <c r="AK922511" s="5"/>
    </row>
    <row r="922521" spans="25:37" x14ac:dyDescent="0.2">
      <c r="Y922521" s="251"/>
      <c r="AB922521" s="251"/>
      <c r="AE922521" s="251"/>
      <c r="AH922521" s="251"/>
      <c r="AK922521" s="251"/>
    </row>
    <row r="922636" spans="25:37" x14ac:dyDescent="0.2">
      <c r="Y922636" s="5"/>
      <c r="AB922636" s="5"/>
      <c r="AE922636" s="5"/>
      <c r="AH922636" s="5"/>
      <c r="AK922636" s="5"/>
    </row>
    <row r="922646" spans="25:37" x14ac:dyDescent="0.2">
      <c r="Y922646" s="251"/>
      <c r="AB922646" s="251"/>
      <c r="AE922646" s="251"/>
      <c r="AH922646" s="251"/>
      <c r="AK922646" s="251"/>
    </row>
    <row r="922761" spans="25:37" x14ac:dyDescent="0.2">
      <c r="Y922761" s="5"/>
      <c r="AB922761" s="5"/>
      <c r="AE922761" s="5"/>
      <c r="AH922761" s="5"/>
      <c r="AK922761" s="5"/>
    </row>
    <row r="922771" spans="25:37" x14ac:dyDescent="0.2">
      <c r="Y922771" s="251"/>
      <c r="AB922771" s="251"/>
      <c r="AE922771" s="251"/>
      <c r="AH922771" s="251"/>
      <c r="AK922771" s="251"/>
    </row>
    <row r="922886" spans="25:37" x14ac:dyDescent="0.2">
      <c r="Y922886" s="5"/>
      <c r="AB922886" s="5"/>
      <c r="AE922886" s="5"/>
      <c r="AH922886" s="5"/>
      <c r="AK922886" s="5"/>
    </row>
    <row r="922896" spans="25:37" x14ac:dyDescent="0.2">
      <c r="Y922896" s="251"/>
      <c r="AB922896" s="251"/>
      <c r="AE922896" s="251"/>
      <c r="AH922896" s="251"/>
      <c r="AK922896" s="251"/>
    </row>
    <row r="923011" spans="25:37" x14ac:dyDescent="0.2">
      <c r="Y923011" s="5"/>
      <c r="AB923011" s="5"/>
      <c r="AE923011" s="5"/>
      <c r="AH923011" s="5"/>
      <c r="AK923011" s="5"/>
    </row>
    <row r="923021" spans="25:37" x14ac:dyDescent="0.2">
      <c r="Y923021" s="251"/>
      <c r="AB923021" s="251"/>
      <c r="AE923021" s="251"/>
      <c r="AH923021" s="251"/>
      <c r="AK923021" s="251"/>
    </row>
    <row r="923136" spans="25:37" x14ac:dyDescent="0.2">
      <c r="Y923136" s="5"/>
      <c r="AB923136" s="5"/>
      <c r="AE923136" s="5"/>
      <c r="AH923136" s="5"/>
      <c r="AK923136" s="5"/>
    </row>
    <row r="923146" spans="25:37" x14ac:dyDescent="0.2">
      <c r="Y923146" s="251"/>
      <c r="AB923146" s="251"/>
      <c r="AE923146" s="251"/>
      <c r="AH923146" s="251"/>
      <c r="AK923146" s="251"/>
    </row>
    <row r="923261" spans="25:37" x14ac:dyDescent="0.2">
      <c r="Y923261" s="5"/>
      <c r="AB923261" s="5"/>
      <c r="AE923261" s="5"/>
      <c r="AH923261" s="5"/>
      <c r="AK923261" s="5"/>
    </row>
    <row r="923271" spans="25:37" x14ac:dyDescent="0.2">
      <c r="Y923271" s="251"/>
      <c r="AB923271" s="251"/>
      <c r="AE923271" s="251"/>
      <c r="AH923271" s="251"/>
      <c r="AK923271" s="251"/>
    </row>
    <row r="923386" spans="25:37" x14ac:dyDescent="0.2">
      <c r="Y923386" s="5"/>
      <c r="AB923386" s="5"/>
      <c r="AE923386" s="5"/>
      <c r="AH923386" s="5"/>
      <c r="AK923386" s="5"/>
    </row>
    <row r="923396" spans="25:37" x14ac:dyDescent="0.2">
      <c r="Y923396" s="251"/>
      <c r="AB923396" s="251"/>
      <c r="AE923396" s="251"/>
      <c r="AH923396" s="251"/>
      <c r="AK923396" s="251"/>
    </row>
    <row r="923511" spans="25:37" x14ac:dyDescent="0.2">
      <c r="Y923511" s="5"/>
      <c r="AB923511" s="5"/>
      <c r="AE923511" s="5"/>
      <c r="AH923511" s="5"/>
      <c r="AK923511" s="5"/>
    </row>
    <row r="923521" spans="25:37" x14ac:dyDescent="0.2">
      <c r="Y923521" s="251"/>
      <c r="AB923521" s="251"/>
      <c r="AE923521" s="251"/>
      <c r="AH923521" s="251"/>
      <c r="AK923521" s="251"/>
    </row>
    <row r="923636" spans="25:37" x14ac:dyDescent="0.2">
      <c r="Y923636" s="5"/>
      <c r="AB923636" s="5"/>
      <c r="AE923636" s="5"/>
      <c r="AH923636" s="5"/>
      <c r="AK923636" s="5"/>
    </row>
    <row r="923646" spans="25:37" x14ac:dyDescent="0.2">
      <c r="Y923646" s="251"/>
      <c r="AB923646" s="251"/>
      <c r="AE923646" s="251"/>
      <c r="AH923646" s="251"/>
      <c r="AK923646" s="251"/>
    </row>
    <row r="923761" spans="25:37" x14ac:dyDescent="0.2">
      <c r="Y923761" s="5"/>
      <c r="AB923761" s="5"/>
      <c r="AE923761" s="5"/>
      <c r="AH923761" s="5"/>
      <c r="AK923761" s="5"/>
    </row>
    <row r="923771" spans="25:37" x14ac:dyDescent="0.2">
      <c r="Y923771" s="251"/>
      <c r="AB923771" s="251"/>
      <c r="AE923771" s="251"/>
      <c r="AH923771" s="251"/>
      <c r="AK923771" s="251"/>
    </row>
    <row r="923886" spans="25:37" x14ac:dyDescent="0.2">
      <c r="Y923886" s="5"/>
      <c r="AB923886" s="5"/>
      <c r="AE923886" s="5"/>
      <c r="AH923886" s="5"/>
      <c r="AK923886" s="5"/>
    </row>
    <row r="923896" spans="25:37" x14ac:dyDescent="0.2">
      <c r="Y923896" s="251"/>
      <c r="AB923896" s="251"/>
      <c r="AE923896" s="251"/>
      <c r="AH923896" s="251"/>
      <c r="AK923896" s="251"/>
    </row>
    <row r="924011" spans="25:37" x14ac:dyDescent="0.2">
      <c r="Y924011" s="5"/>
      <c r="AB924011" s="5"/>
      <c r="AE924011" s="5"/>
      <c r="AH924011" s="5"/>
      <c r="AK924011" s="5"/>
    </row>
    <row r="924021" spans="25:37" x14ac:dyDescent="0.2">
      <c r="Y924021" s="251"/>
      <c r="AB924021" s="251"/>
      <c r="AE924021" s="251"/>
      <c r="AH924021" s="251"/>
      <c r="AK924021" s="251"/>
    </row>
    <row r="924136" spans="25:37" x14ac:dyDescent="0.2">
      <c r="Y924136" s="5"/>
      <c r="AB924136" s="5"/>
      <c r="AE924136" s="5"/>
      <c r="AH924136" s="5"/>
      <c r="AK924136" s="5"/>
    </row>
    <row r="924146" spans="25:37" x14ac:dyDescent="0.2">
      <c r="Y924146" s="251"/>
      <c r="AB924146" s="251"/>
      <c r="AE924146" s="251"/>
      <c r="AH924146" s="251"/>
      <c r="AK924146" s="251"/>
    </row>
    <row r="924261" spans="25:37" x14ac:dyDescent="0.2">
      <c r="Y924261" s="5"/>
      <c r="AB924261" s="5"/>
      <c r="AE924261" s="5"/>
      <c r="AH924261" s="5"/>
      <c r="AK924261" s="5"/>
    </row>
    <row r="924271" spans="25:37" x14ac:dyDescent="0.2">
      <c r="Y924271" s="251"/>
      <c r="AB924271" s="251"/>
      <c r="AE924271" s="251"/>
      <c r="AH924271" s="251"/>
      <c r="AK924271" s="251"/>
    </row>
    <row r="924386" spans="25:37" x14ac:dyDescent="0.2">
      <c r="Y924386" s="5"/>
      <c r="AB924386" s="5"/>
      <c r="AE924386" s="5"/>
      <c r="AH924386" s="5"/>
      <c r="AK924386" s="5"/>
    </row>
    <row r="924396" spans="25:37" x14ac:dyDescent="0.2">
      <c r="Y924396" s="251"/>
      <c r="AB924396" s="251"/>
      <c r="AE924396" s="251"/>
      <c r="AH924396" s="251"/>
      <c r="AK924396" s="251"/>
    </row>
    <row r="924511" spans="25:37" x14ac:dyDescent="0.2">
      <c r="Y924511" s="5"/>
      <c r="AB924511" s="5"/>
      <c r="AE924511" s="5"/>
      <c r="AH924511" s="5"/>
      <c r="AK924511" s="5"/>
    </row>
    <row r="924521" spans="25:37" x14ac:dyDescent="0.2">
      <c r="Y924521" s="251"/>
      <c r="AB924521" s="251"/>
      <c r="AE924521" s="251"/>
      <c r="AH924521" s="251"/>
      <c r="AK924521" s="251"/>
    </row>
    <row r="924636" spans="25:37" x14ac:dyDescent="0.2">
      <c r="Y924636" s="5"/>
      <c r="AB924636" s="5"/>
      <c r="AE924636" s="5"/>
      <c r="AH924636" s="5"/>
      <c r="AK924636" s="5"/>
    </row>
    <row r="924646" spans="25:37" x14ac:dyDescent="0.2">
      <c r="Y924646" s="251"/>
      <c r="AB924646" s="251"/>
      <c r="AE924646" s="251"/>
      <c r="AH924646" s="251"/>
      <c r="AK924646" s="251"/>
    </row>
    <row r="924761" spans="25:37" x14ac:dyDescent="0.2">
      <c r="Y924761" s="5"/>
      <c r="AB924761" s="5"/>
      <c r="AE924761" s="5"/>
      <c r="AH924761" s="5"/>
      <c r="AK924761" s="5"/>
    </row>
    <row r="924771" spans="25:37" x14ac:dyDescent="0.2">
      <c r="Y924771" s="251"/>
      <c r="AB924771" s="251"/>
      <c r="AE924771" s="251"/>
      <c r="AH924771" s="251"/>
      <c r="AK924771" s="251"/>
    </row>
    <row r="924886" spans="25:37" x14ac:dyDescent="0.2">
      <c r="Y924886" s="5"/>
      <c r="AB924886" s="5"/>
      <c r="AE924886" s="5"/>
      <c r="AH924886" s="5"/>
      <c r="AK924886" s="5"/>
    </row>
    <row r="924896" spans="25:37" x14ac:dyDescent="0.2">
      <c r="Y924896" s="251"/>
      <c r="AB924896" s="251"/>
      <c r="AE924896" s="251"/>
      <c r="AH924896" s="251"/>
      <c r="AK924896" s="251"/>
    </row>
    <row r="925011" spans="25:37" x14ac:dyDescent="0.2">
      <c r="Y925011" s="5"/>
      <c r="AB925011" s="5"/>
      <c r="AE925011" s="5"/>
      <c r="AH925011" s="5"/>
      <c r="AK925011" s="5"/>
    </row>
    <row r="925021" spans="25:37" x14ac:dyDescent="0.2">
      <c r="Y925021" s="251"/>
      <c r="AB925021" s="251"/>
      <c r="AE925021" s="251"/>
      <c r="AH925021" s="251"/>
      <c r="AK925021" s="251"/>
    </row>
    <row r="925136" spans="25:37" x14ac:dyDescent="0.2">
      <c r="Y925136" s="5"/>
      <c r="AB925136" s="5"/>
      <c r="AE925136" s="5"/>
      <c r="AH925136" s="5"/>
      <c r="AK925136" s="5"/>
    </row>
    <row r="925146" spans="25:37" x14ac:dyDescent="0.2">
      <c r="Y925146" s="251"/>
      <c r="AB925146" s="251"/>
      <c r="AE925146" s="251"/>
      <c r="AH925146" s="251"/>
      <c r="AK925146" s="251"/>
    </row>
    <row r="925261" spans="25:37" x14ac:dyDescent="0.2">
      <c r="Y925261" s="5"/>
      <c r="AB925261" s="5"/>
      <c r="AE925261" s="5"/>
      <c r="AH925261" s="5"/>
      <c r="AK925261" s="5"/>
    </row>
    <row r="925271" spans="25:37" x14ac:dyDescent="0.2">
      <c r="Y925271" s="251"/>
      <c r="AB925271" s="251"/>
      <c r="AE925271" s="251"/>
      <c r="AH925271" s="251"/>
      <c r="AK925271" s="251"/>
    </row>
    <row r="925386" spans="25:37" x14ac:dyDescent="0.2">
      <c r="Y925386" s="5"/>
      <c r="AB925386" s="5"/>
      <c r="AE925386" s="5"/>
      <c r="AH925386" s="5"/>
      <c r="AK925386" s="5"/>
    </row>
    <row r="925396" spans="25:37" x14ac:dyDescent="0.2">
      <c r="Y925396" s="251"/>
      <c r="AB925396" s="251"/>
      <c r="AE925396" s="251"/>
      <c r="AH925396" s="251"/>
      <c r="AK925396" s="251"/>
    </row>
    <row r="925511" spans="25:37" x14ac:dyDescent="0.2">
      <c r="Y925511" s="5"/>
      <c r="AB925511" s="5"/>
      <c r="AE925511" s="5"/>
      <c r="AH925511" s="5"/>
      <c r="AK925511" s="5"/>
    </row>
    <row r="925521" spans="25:37" x14ac:dyDescent="0.2">
      <c r="Y925521" s="251"/>
      <c r="AB925521" s="251"/>
      <c r="AE925521" s="251"/>
      <c r="AH925521" s="251"/>
      <c r="AK925521" s="251"/>
    </row>
    <row r="925636" spans="25:37" x14ac:dyDescent="0.2">
      <c r="Y925636" s="5"/>
      <c r="AB925636" s="5"/>
      <c r="AE925636" s="5"/>
      <c r="AH925636" s="5"/>
      <c r="AK925636" s="5"/>
    </row>
    <row r="925646" spans="25:37" x14ac:dyDescent="0.2">
      <c r="Y925646" s="251"/>
      <c r="AB925646" s="251"/>
      <c r="AE925646" s="251"/>
      <c r="AH925646" s="251"/>
      <c r="AK925646" s="251"/>
    </row>
    <row r="925761" spans="25:37" x14ac:dyDescent="0.2">
      <c r="Y925761" s="5"/>
      <c r="AB925761" s="5"/>
      <c r="AE925761" s="5"/>
      <c r="AH925761" s="5"/>
      <c r="AK925761" s="5"/>
    </row>
    <row r="925771" spans="25:37" x14ac:dyDescent="0.2">
      <c r="Y925771" s="251"/>
      <c r="AB925771" s="251"/>
      <c r="AE925771" s="251"/>
      <c r="AH925771" s="251"/>
      <c r="AK925771" s="251"/>
    </row>
    <row r="925886" spans="25:37" x14ac:dyDescent="0.2">
      <c r="Y925886" s="5"/>
      <c r="AB925886" s="5"/>
      <c r="AE925886" s="5"/>
      <c r="AH925886" s="5"/>
      <c r="AK925886" s="5"/>
    </row>
    <row r="925896" spans="25:37" x14ac:dyDescent="0.2">
      <c r="Y925896" s="251"/>
      <c r="AB925896" s="251"/>
      <c r="AE925896" s="251"/>
      <c r="AH925896" s="251"/>
      <c r="AK925896" s="251"/>
    </row>
    <row r="926011" spans="25:37" x14ac:dyDescent="0.2">
      <c r="Y926011" s="5"/>
      <c r="AB926011" s="5"/>
      <c r="AE926011" s="5"/>
      <c r="AH926011" s="5"/>
      <c r="AK926011" s="5"/>
    </row>
    <row r="926021" spans="25:37" x14ac:dyDescent="0.2">
      <c r="Y926021" s="251"/>
      <c r="AB926021" s="251"/>
      <c r="AE926021" s="251"/>
      <c r="AH926021" s="251"/>
      <c r="AK926021" s="251"/>
    </row>
    <row r="926136" spans="25:37" x14ac:dyDescent="0.2">
      <c r="Y926136" s="5"/>
      <c r="AB926136" s="5"/>
      <c r="AE926136" s="5"/>
      <c r="AH926136" s="5"/>
      <c r="AK926136" s="5"/>
    </row>
    <row r="926146" spans="25:37" x14ac:dyDescent="0.2">
      <c r="Y926146" s="251"/>
      <c r="AB926146" s="251"/>
      <c r="AE926146" s="251"/>
      <c r="AH926146" s="251"/>
      <c r="AK926146" s="251"/>
    </row>
    <row r="926261" spans="25:37" x14ac:dyDescent="0.2">
      <c r="Y926261" s="5"/>
      <c r="AB926261" s="5"/>
      <c r="AE926261" s="5"/>
      <c r="AH926261" s="5"/>
      <c r="AK926261" s="5"/>
    </row>
    <row r="926271" spans="25:37" x14ac:dyDescent="0.2">
      <c r="Y926271" s="251"/>
      <c r="AB926271" s="251"/>
      <c r="AE926271" s="251"/>
      <c r="AH926271" s="251"/>
      <c r="AK926271" s="251"/>
    </row>
    <row r="926386" spans="25:37" x14ac:dyDescent="0.2">
      <c r="Y926386" s="5"/>
      <c r="AB926386" s="5"/>
      <c r="AE926386" s="5"/>
      <c r="AH926386" s="5"/>
      <c r="AK926386" s="5"/>
    </row>
    <row r="926396" spans="25:37" x14ac:dyDescent="0.2">
      <c r="Y926396" s="251"/>
      <c r="AB926396" s="251"/>
      <c r="AE926396" s="251"/>
      <c r="AH926396" s="251"/>
      <c r="AK926396" s="251"/>
    </row>
    <row r="926511" spans="25:37" x14ac:dyDescent="0.2">
      <c r="Y926511" s="5"/>
      <c r="AB926511" s="5"/>
      <c r="AE926511" s="5"/>
      <c r="AH926511" s="5"/>
      <c r="AK926511" s="5"/>
    </row>
    <row r="926521" spans="25:37" x14ac:dyDescent="0.2">
      <c r="Y926521" s="251"/>
      <c r="AB926521" s="251"/>
      <c r="AE926521" s="251"/>
      <c r="AH926521" s="251"/>
      <c r="AK926521" s="251"/>
    </row>
    <row r="926636" spans="25:37" x14ac:dyDescent="0.2">
      <c r="Y926636" s="5"/>
      <c r="AB926636" s="5"/>
      <c r="AE926636" s="5"/>
      <c r="AH926636" s="5"/>
      <c r="AK926636" s="5"/>
    </row>
    <row r="926646" spans="25:37" x14ac:dyDescent="0.2">
      <c r="Y926646" s="251"/>
      <c r="AB926646" s="251"/>
      <c r="AE926646" s="251"/>
      <c r="AH926646" s="251"/>
      <c r="AK926646" s="251"/>
    </row>
    <row r="926761" spans="25:37" x14ac:dyDescent="0.2">
      <c r="Y926761" s="5"/>
      <c r="AB926761" s="5"/>
      <c r="AE926761" s="5"/>
      <c r="AH926761" s="5"/>
      <c r="AK926761" s="5"/>
    </row>
    <row r="926771" spans="25:37" x14ac:dyDescent="0.2">
      <c r="Y926771" s="251"/>
      <c r="AB926771" s="251"/>
      <c r="AE926771" s="251"/>
      <c r="AH926771" s="251"/>
      <c r="AK926771" s="251"/>
    </row>
    <row r="926886" spans="25:37" x14ac:dyDescent="0.2">
      <c r="Y926886" s="5"/>
      <c r="AB926886" s="5"/>
      <c r="AE926886" s="5"/>
      <c r="AH926886" s="5"/>
      <c r="AK926886" s="5"/>
    </row>
    <row r="926896" spans="25:37" x14ac:dyDescent="0.2">
      <c r="Y926896" s="251"/>
      <c r="AB926896" s="251"/>
      <c r="AE926896" s="251"/>
      <c r="AH926896" s="251"/>
      <c r="AK926896" s="251"/>
    </row>
    <row r="927011" spans="25:37" x14ac:dyDescent="0.2">
      <c r="Y927011" s="5"/>
      <c r="AB927011" s="5"/>
      <c r="AE927011" s="5"/>
      <c r="AH927011" s="5"/>
      <c r="AK927011" s="5"/>
    </row>
    <row r="927021" spans="25:37" x14ac:dyDescent="0.2">
      <c r="Y927021" s="251"/>
      <c r="AB927021" s="251"/>
      <c r="AE927021" s="251"/>
      <c r="AH927021" s="251"/>
      <c r="AK927021" s="251"/>
    </row>
    <row r="927136" spans="25:37" x14ac:dyDescent="0.2">
      <c r="Y927136" s="5"/>
      <c r="AB927136" s="5"/>
      <c r="AE927136" s="5"/>
      <c r="AH927136" s="5"/>
      <c r="AK927136" s="5"/>
    </row>
    <row r="927146" spans="25:37" x14ac:dyDescent="0.2">
      <c r="Y927146" s="251"/>
      <c r="AB927146" s="251"/>
      <c r="AE927146" s="251"/>
      <c r="AH927146" s="251"/>
      <c r="AK927146" s="251"/>
    </row>
    <row r="927261" spans="25:37" x14ac:dyDescent="0.2">
      <c r="Y927261" s="5"/>
      <c r="AB927261" s="5"/>
      <c r="AE927261" s="5"/>
      <c r="AH927261" s="5"/>
      <c r="AK927261" s="5"/>
    </row>
    <row r="927271" spans="25:37" x14ac:dyDescent="0.2">
      <c r="Y927271" s="251"/>
      <c r="AB927271" s="251"/>
      <c r="AE927271" s="251"/>
      <c r="AH927271" s="251"/>
      <c r="AK927271" s="251"/>
    </row>
    <row r="927386" spans="25:37" x14ac:dyDescent="0.2">
      <c r="Y927386" s="5"/>
      <c r="AB927386" s="5"/>
      <c r="AE927386" s="5"/>
      <c r="AH927386" s="5"/>
      <c r="AK927386" s="5"/>
    </row>
    <row r="927396" spans="25:37" x14ac:dyDescent="0.2">
      <c r="Y927396" s="251"/>
      <c r="AB927396" s="251"/>
      <c r="AE927396" s="251"/>
      <c r="AH927396" s="251"/>
      <c r="AK927396" s="251"/>
    </row>
    <row r="927511" spans="25:37" x14ac:dyDescent="0.2">
      <c r="Y927511" s="5"/>
      <c r="AB927511" s="5"/>
      <c r="AE927511" s="5"/>
      <c r="AH927511" s="5"/>
      <c r="AK927511" s="5"/>
    </row>
    <row r="927521" spans="25:37" x14ac:dyDescent="0.2">
      <c r="Y927521" s="251"/>
      <c r="AB927521" s="251"/>
      <c r="AE927521" s="251"/>
      <c r="AH927521" s="251"/>
      <c r="AK927521" s="251"/>
    </row>
    <row r="927636" spans="25:37" x14ac:dyDescent="0.2">
      <c r="Y927636" s="5"/>
      <c r="AB927636" s="5"/>
      <c r="AE927636" s="5"/>
      <c r="AH927636" s="5"/>
      <c r="AK927636" s="5"/>
    </row>
    <row r="927646" spans="25:37" x14ac:dyDescent="0.2">
      <c r="Y927646" s="251"/>
      <c r="AB927646" s="251"/>
      <c r="AE927646" s="251"/>
      <c r="AH927646" s="251"/>
      <c r="AK927646" s="251"/>
    </row>
    <row r="927761" spans="25:37" x14ac:dyDescent="0.2">
      <c r="Y927761" s="5"/>
      <c r="AB927761" s="5"/>
      <c r="AE927761" s="5"/>
      <c r="AH927761" s="5"/>
      <c r="AK927761" s="5"/>
    </row>
    <row r="927771" spans="25:37" x14ac:dyDescent="0.2">
      <c r="Y927771" s="251"/>
      <c r="AB927771" s="251"/>
      <c r="AE927771" s="251"/>
      <c r="AH927771" s="251"/>
      <c r="AK927771" s="251"/>
    </row>
    <row r="927886" spans="25:37" x14ac:dyDescent="0.2">
      <c r="Y927886" s="5"/>
      <c r="AB927886" s="5"/>
      <c r="AE927886" s="5"/>
      <c r="AH927886" s="5"/>
      <c r="AK927886" s="5"/>
    </row>
    <row r="927896" spans="25:37" x14ac:dyDescent="0.2">
      <c r="Y927896" s="251"/>
      <c r="AB927896" s="251"/>
      <c r="AE927896" s="251"/>
      <c r="AH927896" s="251"/>
      <c r="AK927896" s="251"/>
    </row>
    <row r="928011" spans="25:37" x14ac:dyDescent="0.2">
      <c r="Y928011" s="5"/>
      <c r="AB928011" s="5"/>
      <c r="AE928011" s="5"/>
      <c r="AH928011" s="5"/>
      <c r="AK928011" s="5"/>
    </row>
    <row r="928021" spans="25:37" x14ac:dyDescent="0.2">
      <c r="Y928021" s="251"/>
      <c r="AB928021" s="251"/>
      <c r="AE928021" s="251"/>
      <c r="AH928021" s="251"/>
      <c r="AK928021" s="251"/>
    </row>
    <row r="928136" spans="25:37" x14ac:dyDescent="0.2">
      <c r="Y928136" s="5"/>
      <c r="AB928136" s="5"/>
      <c r="AE928136" s="5"/>
      <c r="AH928136" s="5"/>
      <c r="AK928136" s="5"/>
    </row>
    <row r="928146" spans="25:37" x14ac:dyDescent="0.2">
      <c r="Y928146" s="251"/>
      <c r="AB928146" s="251"/>
      <c r="AE928146" s="251"/>
      <c r="AH928146" s="251"/>
      <c r="AK928146" s="251"/>
    </row>
    <row r="928261" spans="25:37" x14ac:dyDescent="0.2">
      <c r="Y928261" s="5"/>
      <c r="AB928261" s="5"/>
      <c r="AE928261" s="5"/>
      <c r="AH928261" s="5"/>
      <c r="AK928261" s="5"/>
    </row>
    <row r="928271" spans="25:37" x14ac:dyDescent="0.2">
      <c r="Y928271" s="251"/>
      <c r="AB928271" s="251"/>
      <c r="AE928271" s="251"/>
      <c r="AH928271" s="251"/>
      <c r="AK928271" s="251"/>
    </row>
    <row r="928386" spans="25:37" x14ac:dyDescent="0.2">
      <c r="Y928386" s="5"/>
      <c r="AB928386" s="5"/>
      <c r="AE928386" s="5"/>
      <c r="AH928386" s="5"/>
      <c r="AK928386" s="5"/>
    </row>
    <row r="928396" spans="25:37" x14ac:dyDescent="0.2">
      <c r="Y928396" s="251"/>
      <c r="AB928396" s="251"/>
      <c r="AE928396" s="251"/>
      <c r="AH928396" s="251"/>
      <c r="AK928396" s="251"/>
    </row>
    <row r="928511" spans="25:37" x14ac:dyDescent="0.2">
      <c r="Y928511" s="5"/>
      <c r="AB928511" s="5"/>
      <c r="AE928511" s="5"/>
      <c r="AH928511" s="5"/>
      <c r="AK928511" s="5"/>
    </row>
    <row r="928521" spans="25:37" x14ac:dyDescent="0.2">
      <c r="Y928521" s="251"/>
      <c r="AB928521" s="251"/>
      <c r="AE928521" s="251"/>
      <c r="AH928521" s="251"/>
      <c r="AK928521" s="251"/>
    </row>
    <row r="928636" spans="25:37" x14ac:dyDescent="0.2">
      <c r="Y928636" s="5"/>
      <c r="AB928636" s="5"/>
      <c r="AE928636" s="5"/>
      <c r="AH928636" s="5"/>
      <c r="AK928636" s="5"/>
    </row>
    <row r="928646" spans="25:37" x14ac:dyDescent="0.2">
      <c r="Y928646" s="251"/>
      <c r="AB928646" s="251"/>
      <c r="AE928646" s="251"/>
      <c r="AH928646" s="251"/>
      <c r="AK928646" s="251"/>
    </row>
    <row r="928761" spans="25:37" x14ac:dyDescent="0.2">
      <c r="Y928761" s="5"/>
      <c r="AB928761" s="5"/>
      <c r="AE928761" s="5"/>
      <c r="AH928761" s="5"/>
      <c r="AK928761" s="5"/>
    </row>
    <row r="928771" spans="25:37" x14ac:dyDescent="0.2">
      <c r="Y928771" s="251"/>
      <c r="AB928771" s="251"/>
      <c r="AE928771" s="251"/>
      <c r="AH928771" s="251"/>
      <c r="AK928771" s="251"/>
    </row>
    <row r="928886" spans="25:37" x14ac:dyDescent="0.2">
      <c r="Y928886" s="5"/>
      <c r="AB928886" s="5"/>
      <c r="AE928886" s="5"/>
      <c r="AH928886" s="5"/>
      <c r="AK928886" s="5"/>
    </row>
    <row r="928896" spans="25:37" x14ac:dyDescent="0.2">
      <c r="Y928896" s="251"/>
      <c r="AB928896" s="251"/>
      <c r="AE928896" s="251"/>
      <c r="AH928896" s="251"/>
      <c r="AK928896" s="251"/>
    </row>
    <row r="929011" spans="25:37" x14ac:dyDescent="0.2">
      <c r="Y929011" s="5"/>
      <c r="AB929011" s="5"/>
      <c r="AE929011" s="5"/>
      <c r="AH929011" s="5"/>
      <c r="AK929011" s="5"/>
    </row>
    <row r="929021" spans="25:37" x14ac:dyDescent="0.2">
      <c r="Y929021" s="251"/>
      <c r="AB929021" s="251"/>
      <c r="AE929021" s="251"/>
      <c r="AH929021" s="251"/>
      <c r="AK929021" s="251"/>
    </row>
    <row r="929136" spans="25:37" x14ac:dyDescent="0.2">
      <c r="Y929136" s="5"/>
      <c r="AB929136" s="5"/>
      <c r="AE929136" s="5"/>
      <c r="AH929136" s="5"/>
      <c r="AK929136" s="5"/>
    </row>
    <row r="929146" spans="25:37" x14ac:dyDescent="0.2">
      <c r="Y929146" s="251"/>
      <c r="AB929146" s="251"/>
      <c r="AE929146" s="251"/>
      <c r="AH929146" s="251"/>
      <c r="AK929146" s="251"/>
    </row>
    <row r="929261" spans="25:37" x14ac:dyDescent="0.2">
      <c r="Y929261" s="5"/>
      <c r="AB929261" s="5"/>
      <c r="AE929261" s="5"/>
      <c r="AH929261" s="5"/>
      <c r="AK929261" s="5"/>
    </row>
    <row r="929271" spans="25:37" x14ac:dyDescent="0.2">
      <c r="Y929271" s="251"/>
      <c r="AB929271" s="251"/>
      <c r="AE929271" s="251"/>
      <c r="AH929271" s="251"/>
      <c r="AK929271" s="251"/>
    </row>
    <row r="929386" spans="25:37" x14ac:dyDescent="0.2">
      <c r="Y929386" s="5"/>
      <c r="AB929386" s="5"/>
      <c r="AE929386" s="5"/>
      <c r="AH929386" s="5"/>
      <c r="AK929386" s="5"/>
    </row>
    <row r="929396" spans="25:37" x14ac:dyDescent="0.2">
      <c r="Y929396" s="251"/>
      <c r="AB929396" s="251"/>
      <c r="AE929396" s="251"/>
      <c r="AH929396" s="251"/>
      <c r="AK929396" s="251"/>
    </row>
    <row r="929511" spans="25:37" x14ac:dyDescent="0.2">
      <c r="Y929511" s="5"/>
      <c r="AB929511" s="5"/>
      <c r="AE929511" s="5"/>
      <c r="AH929511" s="5"/>
      <c r="AK929511" s="5"/>
    </row>
    <row r="929521" spans="25:37" x14ac:dyDescent="0.2">
      <c r="Y929521" s="251"/>
      <c r="AB929521" s="251"/>
      <c r="AE929521" s="251"/>
      <c r="AH929521" s="251"/>
      <c r="AK929521" s="251"/>
    </row>
    <row r="929636" spans="25:37" x14ac:dyDescent="0.2">
      <c r="Y929636" s="5"/>
      <c r="AB929636" s="5"/>
      <c r="AE929636" s="5"/>
      <c r="AH929636" s="5"/>
      <c r="AK929636" s="5"/>
    </row>
    <row r="929646" spans="25:37" x14ac:dyDescent="0.2">
      <c r="Y929646" s="251"/>
      <c r="AB929646" s="251"/>
      <c r="AE929646" s="251"/>
      <c r="AH929646" s="251"/>
      <c r="AK929646" s="251"/>
    </row>
    <row r="929761" spans="25:37" x14ac:dyDescent="0.2">
      <c r="Y929761" s="5"/>
      <c r="AB929761" s="5"/>
      <c r="AE929761" s="5"/>
      <c r="AH929761" s="5"/>
      <c r="AK929761" s="5"/>
    </row>
    <row r="929771" spans="25:37" x14ac:dyDescent="0.2">
      <c r="Y929771" s="251"/>
      <c r="AB929771" s="251"/>
      <c r="AE929771" s="251"/>
      <c r="AH929771" s="251"/>
      <c r="AK929771" s="251"/>
    </row>
    <row r="929886" spans="25:37" x14ac:dyDescent="0.2">
      <c r="Y929886" s="5"/>
      <c r="AB929886" s="5"/>
      <c r="AE929886" s="5"/>
      <c r="AH929886" s="5"/>
      <c r="AK929886" s="5"/>
    </row>
    <row r="929896" spans="25:37" x14ac:dyDescent="0.2">
      <c r="Y929896" s="251"/>
      <c r="AB929896" s="251"/>
      <c r="AE929896" s="251"/>
      <c r="AH929896" s="251"/>
      <c r="AK929896" s="251"/>
    </row>
    <row r="930011" spans="25:37" x14ac:dyDescent="0.2">
      <c r="Y930011" s="5"/>
      <c r="AB930011" s="5"/>
      <c r="AE930011" s="5"/>
      <c r="AH930011" s="5"/>
      <c r="AK930011" s="5"/>
    </row>
    <row r="930021" spans="25:37" x14ac:dyDescent="0.2">
      <c r="Y930021" s="251"/>
      <c r="AB930021" s="251"/>
      <c r="AE930021" s="251"/>
      <c r="AH930021" s="251"/>
      <c r="AK930021" s="251"/>
    </row>
    <row r="930136" spans="25:37" x14ac:dyDescent="0.2">
      <c r="Y930136" s="5"/>
      <c r="AB930136" s="5"/>
      <c r="AE930136" s="5"/>
      <c r="AH930136" s="5"/>
      <c r="AK930136" s="5"/>
    </row>
    <row r="930146" spans="25:37" x14ac:dyDescent="0.2">
      <c r="Y930146" s="251"/>
      <c r="AB930146" s="251"/>
      <c r="AE930146" s="251"/>
      <c r="AH930146" s="251"/>
      <c r="AK930146" s="251"/>
    </row>
    <row r="930261" spans="25:37" x14ac:dyDescent="0.2">
      <c r="Y930261" s="5"/>
      <c r="AB930261" s="5"/>
      <c r="AE930261" s="5"/>
      <c r="AH930261" s="5"/>
      <c r="AK930261" s="5"/>
    </row>
    <row r="930271" spans="25:37" x14ac:dyDescent="0.2">
      <c r="Y930271" s="251"/>
      <c r="AB930271" s="251"/>
      <c r="AE930271" s="251"/>
      <c r="AH930271" s="251"/>
      <c r="AK930271" s="251"/>
    </row>
    <row r="930386" spans="25:37" x14ac:dyDescent="0.2">
      <c r="Y930386" s="5"/>
      <c r="AB930386" s="5"/>
      <c r="AE930386" s="5"/>
      <c r="AH930386" s="5"/>
      <c r="AK930386" s="5"/>
    </row>
    <row r="930396" spans="25:37" x14ac:dyDescent="0.2">
      <c r="Y930396" s="251"/>
      <c r="AB930396" s="251"/>
      <c r="AE930396" s="251"/>
      <c r="AH930396" s="251"/>
      <c r="AK930396" s="251"/>
    </row>
    <row r="930511" spans="25:37" x14ac:dyDescent="0.2">
      <c r="Y930511" s="5"/>
      <c r="AB930511" s="5"/>
      <c r="AE930511" s="5"/>
      <c r="AH930511" s="5"/>
      <c r="AK930511" s="5"/>
    </row>
    <row r="930521" spans="25:37" x14ac:dyDescent="0.2">
      <c r="Y930521" s="251"/>
      <c r="AB930521" s="251"/>
      <c r="AE930521" s="251"/>
      <c r="AH930521" s="251"/>
      <c r="AK930521" s="251"/>
    </row>
    <row r="930636" spans="25:37" x14ac:dyDescent="0.2">
      <c r="Y930636" s="5"/>
      <c r="AB930636" s="5"/>
      <c r="AE930636" s="5"/>
      <c r="AH930636" s="5"/>
      <c r="AK930636" s="5"/>
    </row>
    <row r="930646" spans="25:37" x14ac:dyDescent="0.2">
      <c r="Y930646" s="251"/>
      <c r="AB930646" s="251"/>
      <c r="AE930646" s="251"/>
      <c r="AH930646" s="251"/>
      <c r="AK930646" s="251"/>
    </row>
    <row r="930761" spans="25:37" x14ac:dyDescent="0.2">
      <c r="Y930761" s="5"/>
      <c r="AB930761" s="5"/>
      <c r="AE930761" s="5"/>
      <c r="AH930761" s="5"/>
      <c r="AK930761" s="5"/>
    </row>
    <row r="930771" spans="25:37" x14ac:dyDescent="0.2">
      <c r="Y930771" s="251"/>
      <c r="AB930771" s="251"/>
      <c r="AE930771" s="251"/>
      <c r="AH930771" s="251"/>
      <c r="AK930771" s="251"/>
    </row>
    <row r="930886" spans="25:37" x14ac:dyDescent="0.2">
      <c r="Y930886" s="5"/>
      <c r="AB930886" s="5"/>
      <c r="AE930886" s="5"/>
      <c r="AH930886" s="5"/>
      <c r="AK930886" s="5"/>
    </row>
    <row r="930896" spans="25:37" x14ac:dyDescent="0.2">
      <c r="Y930896" s="251"/>
      <c r="AB930896" s="251"/>
      <c r="AE930896" s="251"/>
      <c r="AH930896" s="251"/>
      <c r="AK930896" s="251"/>
    </row>
    <row r="931011" spans="25:37" x14ac:dyDescent="0.2">
      <c r="Y931011" s="5"/>
      <c r="AB931011" s="5"/>
      <c r="AE931011" s="5"/>
      <c r="AH931011" s="5"/>
      <c r="AK931011" s="5"/>
    </row>
    <row r="931021" spans="25:37" x14ac:dyDescent="0.2">
      <c r="Y931021" s="251"/>
      <c r="AB931021" s="251"/>
      <c r="AE931021" s="251"/>
      <c r="AH931021" s="251"/>
      <c r="AK931021" s="251"/>
    </row>
    <row r="931136" spans="25:37" x14ac:dyDescent="0.2">
      <c r="Y931136" s="5"/>
      <c r="AB931136" s="5"/>
      <c r="AE931136" s="5"/>
      <c r="AH931136" s="5"/>
      <c r="AK931136" s="5"/>
    </row>
    <row r="931146" spans="25:37" x14ac:dyDescent="0.2">
      <c r="Y931146" s="251"/>
      <c r="AB931146" s="251"/>
      <c r="AE931146" s="251"/>
      <c r="AH931146" s="251"/>
      <c r="AK931146" s="251"/>
    </row>
    <row r="931261" spans="25:37" x14ac:dyDescent="0.2">
      <c r="Y931261" s="5"/>
      <c r="AB931261" s="5"/>
      <c r="AE931261" s="5"/>
      <c r="AH931261" s="5"/>
      <c r="AK931261" s="5"/>
    </row>
    <row r="931271" spans="25:37" x14ac:dyDescent="0.2">
      <c r="Y931271" s="251"/>
      <c r="AB931271" s="251"/>
      <c r="AE931271" s="251"/>
      <c r="AH931271" s="251"/>
      <c r="AK931271" s="251"/>
    </row>
    <row r="931386" spans="25:37" x14ac:dyDescent="0.2">
      <c r="Y931386" s="5"/>
      <c r="AB931386" s="5"/>
      <c r="AE931386" s="5"/>
      <c r="AH931386" s="5"/>
      <c r="AK931386" s="5"/>
    </row>
    <row r="931396" spans="25:37" x14ac:dyDescent="0.2">
      <c r="Y931396" s="251"/>
      <c r="AB931396" s="251"/>
      <c r="AE931396" s="251"/>
      <c r="AH931396" s="251"/>
      <c r="AK931396" s="251"/>
    </row>
    <row r="931511" spans="25:37" x14ac:dyDescent="0.2">
      <c r="Y931511" s="5"/>
      <c r="AB931511" s="5"/>
      <c r="AE931511" s="5"/>
      <c r="AH931511" s="5"/>
      <c r="AK931511" s="5"/>
    </row>
    <row r="931521" spans="25:37" x14ac:dyDescent="0.2">
      <c r="Y931521" s="251"/>
      <c r="AB931521" s="251"/>
      <c r="AE931521" s="251"/>
      <c r="AH931521" s="251"/>
      <c r="AK931521" s="251"/>
    </row>
    <row r="931636" spans="25:37" x14ac:dyDescent="0.2">
      <c r="Y931636" s="5"/>
      <c r="AB931636" s="5"/>
      <c r="AE931636" s="5"/>
      <c r="AH931636" s="5"/>
      <c r="AK931636" s="5"/>
    </row>
    <row r="931646" spans="25:37" x14ac:dyDescent="0.2">
      <c r="Y931646" s="251"/>
      <c r="AB931646" s="251"/>
      <c r="AE931646" s="251"/>
      <c r="AH931646" s="251"/>
      <c r="AK931646" s="251"/>
    </row>
    <row r="931761" spans="25:37" x14ac:dyDescent="0.2">
      <c r="Y931761" s="5"/>
      <c r="AB931761" s="5"/>
      <c r="AE931761" s="5"/>
      <c r="AH931761" s="5"/>
      <c r="AK931761" s="5"/>
    </row>
    <row r="931771" spans="25:37" x14ac:dyDescent="0.2">
      <c r="Y931771" s="251"/>
      <c r="AB931771" s="251"/>
      <c r="AE931771" s="251"/>
      <c r="AH931771" s="251"/>
      <c r="AK931771" s="251"/>
    </row>
    <row r="931886" spans="25:37" x14ac:dyDescent="0.2">
      <c r="Y931886" s="5"/>
      <c r="AB931886" s="5"/>
      <c r="AE931886" s="5"/>
      <c r="AH931886" s="5"/>
      <c r="AK931886" s="5"/>
    </row>
    <row r="931896" spans="25:37" x14ac:dyDescent="0.2">
      <c r="Y931896" s="251"/>
      <c r="AB931896" s="251"/>
      <c r="AE931896" s="251"/>
      <c r="AH931896" s="251"/>
      <c r="AK931896" s="251"/>
    </row>
    <row r="932011" spans="25:37" x14ac:dyDescent="0.2">
      <c r="Y932011" s="5"/>
      <c r="AB932011" s="5"/>
      <c r="AE932011" s="5"/>
      <c r="AH932011" s="5"/>
      <c r="AK932011" s="5"/>
    </row>
    <row r="932021" spans="25:37" x14ac:dyDescent="0.2">
      <c r="Y932021" s="251"/>
      <c r="AB932021" s="251"/>
      <c r="AE932021" s="251"/>
      <c r="AH932021" s="251"/>
      <c r="AK932021" s="251"/>
    </row>
    <row r="932136" spans="25:37" x14ac:dyDescent="0.2">
      <c r="Y932136" s="5"/>
      <c r="AB932136" s="5"/>
      <c r="AE932136" s="5"/>
      <c r="AH932136" s="5"/>
      <c r="AK932136" s="5"/>
    </row>
    <row r="932146" spans="25:37" x14ac:dyDescent="0.2">
      <c r="Y932146" s="251"/>
      <c r="AB932146" s="251"/>
      <c r="AE932146" s="251"/>
      <c r="AH932146" s="251"/>
      <c r="AK932146" s="251"/>
    </row>
    <row r="932261" spans="25:37" x14ac:dyDescent="0.2">
      <c r="Y932261" s="5"/>
      <c r="AB932261" s="5"/>
      <c r="AE932261" s="5"/>
      <c r="AH932261" s="5"/>
      <c r="AK932261" s="5"/>
    </row>
    <row r="932271" spans="25:37" x14ac:dyDescent="0.2">
      <c r="Y932271" s="251"/>
      <c r="AB932271" s="251"/>
      <c r="AE932271" s="251"/>
      <c r="AH932271" s="251"/>
      <c r="AK932271" s="251"/>
    </row>
    <row r="932386" spans="25:37" x14ac:dyDescent="0.2">
      <c r="Y932386" s="5"/>
      <c r="AB932386" s="5"/>
      <c r="AE932386" s="5"/>
      <c r="AH932386" s="5"/>
      <c r="AK932386" s="5"/>
    </row>
    <row r="932396" spans="25:37" x14ac:dyDescent="0.2">
      <c r="Y932396" s="251"/>
      <c r="AB932396" s="251"/>
      <c r="AE932396" s="251"/>
      <c r="AH932396" s="251"/>
      <c r="AK932396" s="251"/>
    </row>
    <row r="932511" spans="25:37" x14ac:dyDescent="0.2">
      <c r="Y932511" s="5"/>
      <c r="AB932511" s="5"/>
      <c r="AE932511" s="5"/>
      <c r="AH932511" s="5"/>
      <c r="AK932511" s="5"/>
    </row>
    <row r="932521" spans="25:37" x14ac:dyDescent="0.2">
      <c r="Y932521" s="251"/>
      <c r="AB932521" s="251"/>
      <c r="AE932521" s="251"/>
      <c r="AH932521" s="251"/>
      <c r="AK932521" s="251"/>
    </row>
    <row r="932636" spans="25:37" x14ac:dyDescent="0.2">
      <c r="Y932636" s="5"/>
      <c r="AB932636" s="5"/>
      <c r="AE932636" s="5"/>
      <c r="AH932636" s="5"/>
      <c r="AK932636" s="5"/>
    </row>
    <row r="932646" spans="25:37" x14ac:dyDescent="0.2">
      <c r="Y932646" s="251"/>
      <c r="AB932646" s="251"/>
      <c r="AE932646" s="251"/>
      <c r="AH932646" s="251"/>
      <c r="AK932646" s="251"/>
    </row>
    <row r="932761" spans="25:37" x14ac:dyDescent="0.2">
      <c r="Y932761" s="5"/>
      <c r="AB932761" s="5"/>
      <c r="AE932761" s="5"/>
      <c r="AH932761" s="5"/>
      <c r="AK932761" s="5"/>
    </row>
    <row r="932771" spans="25:37" x14ac:dyDescent="0.2">
      <c r="Y932771" s="251"/>
      <c r="AB932771" s="251"/>
      <c r="AE932771" s="251"/>
      <c r="AH932771" s="251"/>
      <c r="AK932771" s="251"/>
    </row>
    <row r="932886" spans="25:37" x14ac:dyDescent="0.2">
      <c r="Y932886" s="5"/>
      <c r="AB932886" s="5"/>
      <c r="AE932886" s="5"/>
      <c r="AH932886" s="5"/>
      <c r="AK932886" s="5"/>
    </row>
    <row r="932896" spans="25:37" x14ac:dyDescent="0.2">
      <c r="Y932896" s="251"/>
      <c r="AB932896" s="251"/>
      <c r="AE932896" s="251"/>
      <c r="AH932896" s="251"/>
      <c r="AK932896" s="251"/>
    </row>
    <row r="933011" spans="25:37" x14ac:dyDescent="0.2">
      <c r="Y933011" s="5"/>
      <c r="AB933011" s="5"/>
      <c r="AE933011" s="5"/>
      <c r="AH933011" s="5"/>
      <c r="AK933011" s="5"/>
    </row>
    <row r="933021" spans="25:37" x14ac:dyDescent="0.2">
      <c r="Y933021" s="251"/>
      <c r="AB933021" s="251"/>
      <c r="AE933021" s="251"/>
      <c r="AH933021" s="251"/>
      <c r="AK933021" s="251"/>
    </row>
    <row r="933136" spans="25:37" x14ac:dyDescent="0.2">
      <c r="Y933136" s="5"/>
      <c r="AB933136" s="5"/>
      <c r="AE933136" s="5"/>
      <c r="AH933136" s="5"/>
      <c r="AK933136" s="5"/>
    </row>
    <row r="933146" spans="25:37" x14ac:dyDescent="0.2">
      <c r="Y933146" s="251"/>
      <c r="AB933146" s="251"/>
      <c r="AE933146" s="251"/>
      <c r="AH933146" s="251"/>
      <c r="AK933146" s="251"/>
    </row>
    <row r="933261" spans="25:37" x14ac:dyDescent="0.2">
      <c r="Y933261" s="5"/>
      <c r="AB933261" s="5"/>
      <c r="AE933261" s="5"/>
      <c r="AH933261" s="5"/>
      <c r="AK933261" s="5"/>
    </row>
    <row r="933271" spans="25:37" x14ac:dyDescent="0.2">
      <c r="Y933271" s="251"/>
      <c r="AB933271" s="251"/>
      <c r="AE933271" s="251"/>
      <c r="AH933271" s="251"/>
      <c r="AK933271" s="251"/>
    </row>
    <row r="933386" spans="25:37" x14ac:dyDescent="0.2">
      <c r="Y933386" s="5"/>
      <c r="AB933386" s="5"/>
      <c r="AE933386" s="5"/>
      <c r="AH933386" s="5"/>
      <c r="AK933386" s="5"/>
    </row>
    <row r="933396" spans="25:37" x14ac:dyDescent="0.2">
      <c r="Y933396" s="251"/>
      <c r="AB933396" s="251"/>
      <c r="AE933396" s="251"/>
      <c r="AH933396" s="251"/>
      <c r="AK933396" s="251"/>
    </row>
    <row r="933511" spans="25:37" x14ac:dyDescent="0.2">
      <c r="Y933511" s="5"/>
      <c r="AB933511" s="5"/>
      <c r="AE933511" s="5"/>
      <c r="AH933511" s="5"/>
      <c r="AK933511" s="5"/>
    </row>
    <row r="933521" spans="25:37" x14ac:dyDescent="0.2">
      <c r="Y933521" s="251"/>
      <c r="AB933521" s="251"/>
      <c r="AE933521" s="251"/>
      <c r="AH933521" s="251"/>
      <c r="AK933521" s="251"/>
    </row>
    <row r="933636" spans="25:37" x14ac:dyDescent="0.2">
      <c r="Y933636" s="5"/>
      <c r="AB933636" s="5"/>
      <c r="AE933636" s="5"/>
      <c r="AH933636" s="5"/>
      <c r="AK933636" s="5"/>
    </row>
    <row r="933646" spans="25:37" x14ac:dyDescent="0.2">
      <c r="Y933646" s="251"/>
      <c r="AB933646" s="251"/>
      <c r="AE933646" s="251"/>
      <c r="AH933646" s="251"/>
      <c r="AK933646" s="251"/>
    </row>
    <row r="933761" spans="25:37" x14ac:dyDescent="0.2">
      <c r="Y933761" s="5"/>
      <c r="AB933761" s="5"/>
      <c r="AE933761" s="5"/>
      <c r="AH933761" s="5"/>
      <c r="AK933761" s="5"/>
    </row>
    <row r="933771" spans="25:37" x14ac:dyDescent="0.2">
      <c r="Y933771" s="251"/>
      <c r="AB933771" s="251"/>
      <c r="AE933771" s="251"/>
      <c r="AH933771" s="251"/>
      <c r="AK933771" s="251"/>
    </row>
    <row r="933886" spans="25:37" x14ac:dyDescent="0.2">
      <c r="Y933886" s="5"/>
      <c r="AB933886" s="5"/>
      <c r="AE933886" s="5"/>
      <c r="AH933886" s="5"/>
      <c r="AK933886" s="5"/>
    </row>
    <row r="933896" spans="25:37" x14ac:dyDescent="0.2">
      <c r="Y933896" s="251"/>
      <c r="AB933896" s="251"/>
      <c r="AE933896" s="251"/>
      <c r="AH933896" s="251"/>
      <c r="AK933896" s="251"/>
    </row>
    <row r="934011" spans="25:37" x14ac:dyDescent="0.2">
      <c r="Y934011" s="5"/>
      <c r="AB934011" s="5"/>
      <c r="AE934011" s="5"/>
      <c r="AH934011" s="5"/>
      <c r="AK934011" s="5"/>
    </row>
    <row r="934021" spans="25:37" x14ac:dyDescent="0.2">
      <c r="Y934021" s="251"/>
      <c r="AB934021" s="251"/>
      <c r="AE934021" s="251"/>
      <c r="AH934021" s="251"/>
      <c r="AK934021" s="251"/>
    </row>
    <row r="934136" spans="25:37" x14ac:dyDescent="0.2">
      <c r="Y934136" s="5"/>
      <c r="AB934136" s="5"/>
      <c r="AE934136" s="5"/>
      <c r="AH934136" s="5"/>
      <c r="AK934136" s="5"/>
    </row>
    <row r="934146" spans="25:37" x14ac:dyDescent="0.2">
      <c r="Y934146" s="251"/>
      <c r="AB934146" s="251"/>
      <c r="AE934146" s="251"/>
      <c r="AH934146" s="251"/>
      <c r="AK934146" s="251"/>
    </row>
    <row r="934261" spans="25:37" x14ac:dyDescent="0.2">
      <c r="Y934261" s="5"/>
      <c r="AB934261" s="5"/>
      <c r="AE934261" s="5"/>
      <c r="AH934261" s="5"/>
      <c r="AK934261" s="5"/>
    </row>
    <row r="934271" spans="25:37" x14ac:dyDescent="0.2">
      <c r="Y934271" s="251"/>
      <c r="AB934271" s="251"/>
      <c r="AE934271" s="251"/>
      <c r="AH934271" s="251"/>
      <c r="AK934271" s="251"/>
    </row>
    <row r="934386" spans="25:37" x14ac:dyDescent="0.2">
      <c r="Y934386" s="5"/>
      <c r="AB934386" s="5"/>
      <c r="AE934386" s="5"/>
      <c r="AH934386" s="5"/>
      <c r="AK934386" s="5"/>
    </row>
    <row r="934396" spans="25:37" x14ac:dyDescent="0.2">
      <c r="Y934396" s="251"/>
      <c r="AB934396" s="251"/>
      <c r="AE934396" s="251"/>
      <c r="AH934396" s="251"/>
      <c r="AK934396" s="251"/>
    </row>
    <row r="934511" spans="25:37" x14ac:dyDescent="0.2">
      <c r="Y934511" s="5"/>
      <c r="AB934511" s="5"/>
      <c r="AE934511" s="5"/>
      <c r="AH934511" s="5"/>
      <c r="AK934511" s="5"/>
    </row>
    <row r="934521" spans="25:37" x14ac:dyDescent="0.2">
      <c r="Y934521" s="251"/>
      <c r="AB934521" s="251"/>
      <c r="AE934521" s="251"/>
      <c r="AH934521" s="251"/>
      <c r="AK934521" s="251"/>
    </row>
    <row r="934636" spans="25:37" x14ac:dyDescent="0.2">
      <c r="Y934636" s="5"/>
      <c r="AB934636" s="5"/>
      <c r="AE934636" s="5"/>
      <c r="AH934636" s="5"/>
      <c r="AK934636" s="5"/>
    </row>
    <row r="934646" spans="25:37" x14ac:dyDescent="0.2">
      <c r="Y934646" s="251"/>
      <c r="AB934646" s="251"/>
      <c r="AE934646" s="251"/>
      <c r="AH934646" s="251"/>
      <c r="AK934646" s="251"/>
    </row>
    <row r="934761" spans="25:37" x14ac:dyDescent="0.2">
      <c r="Y934761" s="5"/>
      <c r="AB934761" s="5"/>
      <c r="AE934761" s="5"/>
      <c r="AH934761" s="5"/>
      <c r="AK934761" s="5"/>
    </row>
    <row r="934771" spans="25:37" x14ac:dyDescent="0.2">
      <c r="Y934771" s="251"/>
      <c r="AB934771" s="251"/>
      <c r="AE934771" s="251"/>
      <c r="AH934771" s="251"/>
      <c r="AK934771" s="251"/>
    </row>
    <row r="934886" spans="25:37" x14ac:dyDescent="0.2">
      <c r="Y934886" s="5"/>
      <c r="AB934886" s="5"/>
      <c r="AE934886" s="5"/>
      <c r="AH934886" s="5"/>
      <c r="AK934886" s="5"/>
    </row>
    <row r="934896" spans="25:37" x14ac:dyDescent="0.2">
      <c r="Y934896" s="251"/>
      <c r="AB934896" s="251"/>
      <c r="AE934896" s="251"/>
      <c r="AH934896" s="251"/>
      <c r="AK934896" s="251"/>
    </row>
    <row r="935011" spans="25:37" x14ac:dyDescent="0.2">
      <c r="Y935011" s="5"/>
      <c r="AB935011" s="5"/>
      <c r="AE935011" s="5"/>
      <c r="AH935011" s="5"/>
      <c r="AK935011" s="5"/>
    </row>
    <row r="935021" spans="25:37" x14ac:dyDescent="0.2">
      <c r="Y935021" s="251"/>
      <c r="AB935021" s="251"/>
      <c r="AE935021" s="251"/>
      <c r="AH935021" s="251"/>
      <c r="AK935021" s="251"/>
    </row>
    <row r="935136" spans="25:37" x14ac:dyDescent="0.2">
      <c r="Y935136" s="5"/>
      <c r="AB935136" s="5"/>
      <c r="AE935136" s="5"/>
      <c r="AH935136" s="5"/>
      <c r="AK935136" s="5"/>
    </row>
    <row r="935146" spans="25:37" x14ac:dyDescent="0.2">
      <c r="Y935146" s="251"/>
      <c r="AB935146" s="251"/>
      <c r="AE935146" s="251"/>
      <c r="AH935146" s="251"/>
      <c r="AK935146" s="251"/>
    </row>
    <row r="935261" spans="25:37" x14ac:dyDescent="0.2">
      <c r="Y935261" s="5"/>
      <c r="AB935261" s="5"/>
      <c r="AE935261" s="5"/>
      <c r="AH935261" s="5"/>
      <c r="AK935261" s="5"/>
    </row>
    <row r="935271" spans="25:37" x14ac:dyDescent="0.2">
      <c r="Y935271" s="251"/>
      <c r="AB935271" s="251"/>
      <c r="AE935271" s="251"/>
      <c r="AH935271" s="251"/>
      <c r="AK935271" s="251"/>
    </row>
    <row r="935386" spans="25:37" x14ac:dyDescent="0.2">
      <c r="Y935386" s="5"/>
      <c r="AB935386" s="5"/>
      <c r="AE935386" s="5"/>
      <c r="AH935386" s="5"/>
      <c r="AK935386" s="5"/>
    </row>
    <row r="935396" spans="25:37" x14ac:dyDescent="0.2">
      <c r="Y935396" s="251"/>
      <c r="AB935396" s="251"/>
      <c r="AE935396" s="251"/>
      <c r="AH935396" s="251"/>
      <c r="AK935396" s="251"/>
    </row>
    <row r="935511" spans="25:37" x14ac:dyDescent="0.2">
      <c r="Y935511" s="5"/>
      <c r="AB935511" s="5"/>
      <c r="AE935511" s="5"/>
      <c r="AH935511" s="5"/>
      <c r="AK935511" s="5"/>
    </row>
    <row r="935521" spans="25:37" x14ac:dyDescent="0.2">
      <c r="Y935521" s="251"/>
      <c r="AB935521" s="251"/>
      <c r="AE935521" s="251"/>
      <c r="AH935521" s="251"/>
      <c r="AK935521" s="251"/>
    </row>
    <row r="935636" spans="25:37" x14ac:dyDescent="0.2">
      <c r="Y935636" s="5"/>
      <c r="AB935636" s="5"/>
      <c r="AE935636" s="5"/>
      <c r="AH935636" s="5"/>
      <c r="AK935636" s="5"/>
    </row>
    <row r="935646" spans="25:37" x14ac:dyDescent="0.2">
      <c r="Y935646" s="251"/>
      <c r="AB935646" s="251"/>
      <c r="AE935646" s="251"/>
      <c r="AH935646" s="251"/>
      <c r="AK935646" s="251"/>
    </row>
    <row r="935761" spans="25:37" x14ac:dyDescent="0.2">
      <c r="Y935761" s="5"/>
      <c r="AB935761" s="5"/>
      <c r="AE935761" s="5"/>
      <c r="AH935761" s="5"/>
      <c r="AK935761" s="5"/>
    </row>
    <row r="935771" spans="25:37" x14ac:dyDescent="0.2">
      <c r="Y935771" s="251"/>
      <c r="AB935771" s="251"/>
      <c r="AE935771" s="251"/>
      <c r="AH935771" s="251"/>
      <c r="AK935771" s="251"/>
    </row>
    <row r="935886" spans="25:37" x14ac:dyDescent="0.2">
      <c r="Y935886" s="5"/>
      <c r="AB935886" s="5"/>
      <c r="AE935886" s="5"/>
      <c r="AH935886" s="5"/>
      <c r="AK935886" s="5"/>
    </row>
    <row r="935896" spans="25:37" x14ac:dyDescent="0.2">
      <c r="Y935896" s="251"/>
      <c r="AB935896" s="251"/>
      <c r="AE935896" s="251"/>
      <c r="AH935896" s="251"/>
      <c r="AK935896" s="251"/>
    </row>
    <row r="936011" spans="25:37" x14ac:dyDescent="0.2">
      <c r="Y936011" s="5"/>
      <c r="AB936011" s="5"/>
      <c r="AE936011" s="5"/>
      <c r="AH936011" s="5"/>
      <c r="AK936011" s="5"/>
    </row>
    <row r="936021" spans="25:37" x14ac:dyDescent="0.2">
      <c r="Y936021" s="251"/>
      <c r="AB936021" s="251"/>
      <c r="AE936021" s="251"/>
      <c r="AH936021" s="251"/>
      <c r="AK936021" s="251"/>
    </row>
    <row r="936136" spans="25:37" x14ac:dyDescent="0.2">
      <c r="Y936136" s="5"/>
      <c r="AB936136" s="5"/>
      <c r="AE936136" s="5"/>
      <c r="AH936136" s="5"/>
      <c r="AK936136" s="5"/>
    </row>
    <row r="936146" spans="25:37" x14ac:dyDescent="0.2">
      <c r="Y936146" s="251"/>
      <c r="AB936146" s="251"/>
      <c r="AE936146" s="251"/>
      <c r="AH936146" s="251"/>
      <c r="AK936146" s="251"/>
    </row>
    <row r="936261" spans="25:37" x14ac:dyDescent="0.2">
      <c r="Y936261" s="5"/>
      <c r="AB936261" s="5"/>
      <c r="AE936261" s="5"/>
      <c r="AH936261" s="5"/>
      <c r="AK936261" s="5"/>
    </row>
    <row r="936271" spans="25:37" x14ac:dyDescent="0.2">
      <c r="Y936271" s="251"/>
      <c r="AB936271" s="251"/>
      <c r="AE936271" s="251"/>
      <c r="AH936271" s="251"/>
      <c r="AK936271" s="251"/>
    </row>
    <row r="936386" spans="25:37" x14ac:dyDescent="0.2">
      <c r="Y936386" s="5"/>
      <c r="AB936386" s="5"/>
      <c r="AE936386" s="5"/>
      <c r="AH936386" s="5"/>
      <c r="AK936386" s="5"/>
    </row>
    <row r="936396" spans="25:37" x14ac:dyDescent="0.2">
      <c r="Y936396" s="251"/>
      <c r="AB936396" s="251"/>
      <c r="AE936396" s="251"/>
      <c r="AH936396" s="251"/>
      <c r="AK936396" s="251"/>
    </row>
    <row r="936511" spans="25:37" x14ac:dyDescent="0.2">
      <c r="Y936511" s="5"/>
      <c r="AB936511" s="5"/>
      <c r="AE936511" s="5"/>
      <c r="AH936511" s="5"/>
      <c r="AK936511" s="5"/>
    </row>
    <row r="936521" spans="25:37" x14ac:dyDescent="0.2">
      <c r="Y936521" s="251"/>
      <c r="AB936521" s="251"/>
      <c r="AE936521" s="251"/>
      <c r="AH936521" s="251"/>
      <c r="AK936521" s="251"/>
    </row>
    <row r="936636" spans="25:37" x14ac:dyDescent="0.2">
      <c r="Y936636" s="5"/>
      <c r="AB936636" s="5"/>
      <c r="AE936636" s="5"/>
      <c r="AH936636" s="5"/>
      <c r="AK936636" s="5"/>
    </row>
    <row r="936646" spans="25:37" x14ac:dyDescent="0.2">
      <c r="Y936646" s="251"/>
      <c r="AB936646" s="251"/>
      <c r="AE936646" s="251"/>
      <c r="AH936646" s="251"/>
      <c r="AK936646" s="251"/>
    </row>
    <row r="936761" spans="25:37" x14ac:dyDescent="0.2">
      <c r="Y936761" s="5"/>
      <c r="AB936761" s="5"/>
      <c r="AE936761" s="5"/>
      <c r="AH936761" s="5"/>
      <c r="AK936761" s="5"/>
    </row>
    <row r="936771" spans="25:37" x14ac:dyDescent="0.2">
      <c r="Y936771" s="251"/>
      <c r="AB936771" s="251"/>
      <c r="AE936771" s="251"/>
      <c r="AH936771" s="251"/>
      <c r="AK936771" s="251"/>
    </row>
    <row r="936886" spans="25:37" x14ac:dyDescent="0.2">
      <c r="Y936886" s="5"/>
      <c r="AB936886" s="5"/>
      <c r="AE936886" s="5"/>
      <c r="AH936886" s="5"/>
      <c r="AK936886" s="5"/>
    </row>
    <row r="936896" spans="25:37" x14ac:dyDescent="0.2">
      <c r="Y936896" s="251"/>
      <c r="AB936896" s="251"/>
      <c r="AE936896" s="251"/>
      <c r="AH936896" s="251"/>
      <c r="AK936896" s="251"/>
    </row>
    <row r="937011" spans="25:37" x14ac:dyDescent="0.2">
      <c r="Y937011" s="5"/>
      <c r="AB937011" s="5"/>
      <c r="AE937011" s="5"/>
      <c r="AH937011" s="5"/>
      <c r="AK937011" s="5"/>
    </row>
    <row r="937021" spans="25:37" x14ac:dyDescent="0.2">
      <c r="Y937021" s="251"/>
      <c r="AB937021" s="251"/>
      <c r="AE937021" s="251"/>
      <c r="AH937021" s="251"/>
      <c r="AK937021" s="251"/>
    </row>
    <row r="937136" spans="25:37" x14ac:dyDescent="0.2">
      <c r="Y937136" s="5"/>
      <c r="AB937136" s="5"/>
      <c r="AE937136" s="5"/>
      <c r="AH937136" s="5"/>
      <c r="AK937136" s="5"/>
    </row>
    <row r="937146" spans="25:37" x14ac:dyDescent="0.2">
      <c r="Y937146" s="251"/>
      <c r="AB937146" s="251"/>
      <c r="AE937146" s="251"/>
      <c r="AH937146" s="251"/>
      <c r="AK937146" s="251"/>
    </row>
    <row r="937261" spans="25:37" x14ac:dyDescent="0.2">
      <c r="Y937261" s="5"/>
      <c r="AB937261" s="5"/>
      <c r="AE937261" s="5"/>
      <c r="AH937261" s="5"/>
      <c r="AK937261" s="5"/>
    </row>
    <row r="937271" spans="25:37" x14ac:dyDescent="0.2">
      <c r="Y937271" s="251"/>
      <c r="AB937271" s="251"/>
      <c r="AE937271" s="251"/>
      <c r="AH937271" s="251"/>
      <c r="AK937271" s="251"/>
    </row>
    <row r="937386" spans="25:37" x14ac:dyDescent="0.2">
      <c r="Y937386" s="5"/>
      <c r="AB937386" s="5"/>
      <c r="AE937386" s="5"/>
      <c r="AH937386" s="5"/>
      <c r="AK937386" s="5"/>
    </row>
    <row r="937396" spans="25:37" x14ac:dyDescent="0.2">
      <c r="Y937396" s="251"/>
      <c r="AB937396" s="251"/>
      <c r="AE937396" s="251"/>
      <c r="AH937396" s="251"/>
      <c r="AK937396" s="251"/>
    </row>
    <row r="937511" spans="25:37" x14ac:dyDescent="0.2">
      <c r="Y937511" s="5"/>
      <c r="AB937511" s="5"/>
      <c r="AE937511" s="5"/>
      <c r="AH937511" s="5"/>
      <c r="AK937511" s="5"/>
    </row>
    <row r="937521" spans="25:37" x14ac:dyDescent="0.2">
      <c r="Y937521" s="251"/>
      <c r="AB937521" s="251"/>
      <c r="AE937521" s="251"/>
      <c r="AH937521" s="251"/>
      <c r="AK937521" s="251"/>
    </row>
    <row r="937636" spans="25:37" x14ac:dyDescent="0.2">
      <c r="Y937636" s="5"/>
      <c r="AB937636" s="5"/>
      <c r="AE937636" s="5"/>
      <c r="AH937636" s="5"/>
      <c r="AK937636" s="5"/>
    </row>
    <row r="937646" spans="25:37" x14ac:dyDescent="0.2">
      <c r="Y937646" s="251"/>
      <c r="AB937646" s="251"/>
      <c r="AE937646" s="251"/>
      <c r="AH937646" s="251"/>
      <c r="AK937646" s="251"/>
    </row>
    <row r="937761" spans="25:37" x14ac:dyDescent="0.2">
      <c r="Y937761" s="5"/>
      <c r="AB937761" s="5"/>
      <c r="AE937761" s="5"/>
      <c r="AH937761" s="5"/>
      <c r="AK937761" s="5"/>
    </row>
    <row r="937771" spans="25:37" x14ac:dyDescent="0.2">
      <c r="Y937771" s="251"/>
      <c r="AB937771" s="251"/>
      <c r="AE937771" s="251"/>
      <c r="AH937771" s="251"/>
      <c r="AK937771" s="251"/>
    </row>
    <row r="937886" spans="25:37" x14ac:dyDescent="0.2">
      <c r="Y937886" s="5"/>
      <c r="AB937886" s="5"/>
      <c r="AE937886" s="5"/>
      <c r="AH937886" s="5"/>
      <c r="AK937886" s="5"/>
    </row>
    <row r="937896" spans="25:37" x14ac:dyDescent="0.2">
      <c r="Y937896" s="251"/>
      <c r="AB937896" s="251"/>
      <c r="AE937896" s="251"/>
      <c r="AH937896" s="251"/>
      <c r="AK937896" s="251"/>
    </row>
    <row r="938011" spans="25:37" x14ac:dyDescent="0.2">
      <c r="Y938011" s="5"/>
      <c r="AB938011" s="5"/>
      <c r="AE938011" s="5"/>
      <c r="AH938011" s="5"/>
      <c r="AK938011" s="5"/>
    </row>
    <row r="938021" spans="25:37" x14ac:dyDescent="0.2">
      <c r="Y938021" s="251"/>
      <c r="AB938021" s="251"/>
      <c r="AE938021" s="251"/>
      <c r="AH938021" s="251"/>
      <c r="AK938021" s="251"/>
    </row>
    <row r="938136" spans="25:37" x14ac:dyDescent="0.2">
      <c r="Y938136" s="5"/>
      <c r="AB938136" s="5"/>
      <c r="AE938136" s="5"/>
      <c r="AH938136" s="5"/>
      <c r="AK938136" s="5"/>
    </row>
    <row r="938146" spans="25:37" x14ac:dyDescent="0.2">
      <c r="Y938146" s="251"/>
      <c r="AB938146" s="251"/>
      <c r="AE938146" s="251"/>
      <c r="AH938146" s="251"/>
      <c r="AK938146" s="251"/>
    </row>
    <row r="938261" spans="25:37" x14ac:dyDescent="0.2">
      <c r="Y938261" s="5"/>
      <c r="AB938261" s="5"/>
      <c r="AE938261" s="5"/>
      <c r="AH938261" s="5"/>
      <c r="AK938261" s="5"/>
    </row>
    <row r="938271" spans="25:37" x14ac:dyDescent="0.2">
      <c r="Y938271" s="251"/>
      <c r="AB938271" s="251"/>
      <c r="AE938271" s="251"/>
      <c r="AH938271" s="251"/>
      <c r="AK938271" s="251"/>
    </row>
    <row r="938386" spans="25:37" x14ac:dyDescent="0.2">
      <c r="Y938386" s="5"/>
      <c r="AB938386" s="5"/>
      <c r="AE938386" s="5"/>
      <c r="AH938386" s="5"/>
      <c r="AK938386" s="5"/>
    </row>
    <row r="938396" spans="25:37" x14ac:dyDescent="0.2">
      <c r="Y938396" s="251"/>
      <c r="AB938396" s="251"/>
      <c r="AE938396" s="251"/>
      <c r="AH938396" s="251"/>
      <c r="AK938396" s="251"/>
    </row>
    <row r="938511" spans="25:37" x14ac:dyDescent="0.2">
      <c r="Y938511" s="5"/>
      <c r="AB938511" s="5"/>
      <c r="AE938511" s="5"/>
      <c r="AH938511" s="5"/>
      <c r="AK938511" s="5"/>
    </row>
    <row r="938521" spans="25:37" x14ac:dyDescent="0.2">
      <c r="Y938521" s="251"/>
      <c r="AB938521" s="251"/>
      <c r="AE938521" s="251"/>
      <c r="AH938521" s="251"/>
      <c r="AK938521" s="251"/>
    </row>
    <row r="938636" spans="25:37" x14ac:dyDescent="0.2">
      <c r="Y938636" s="5"/>
      <c r="AB938636" s="5"/>
      <c r="AE938636" s="5"/>
      <c r="AH938636" s="5"/>
      <c r="AK938636" s="5"/>
    </row>
    <row r="938646" spans="25:37" x14ac:dyDescent="0.2">
      <c r="Y938646" s="251"/>
      <c r="AB938646" s="251"/>
      <c r="AE938646" s="251"/>
      <c r="AH938646" s="251"/>
      <c r="AK938646" s="251"/>
    </row>
    <row r="938761" spans="25:37" x14ac:dyDescent="0.2">
      <c r="Y938761" s="5"/>
      <c r="AB938761" s="5"/>
      <c r="AE938761" s="5"/>
      <c r="AH938761" s="5"/>
      <c r="AK938761" s="5"/>
    </row>
    <row r="938771" spans="25:37" x14ac:dyDescent="0.2">
      <c r="Y938771" s="251"/>
      <c r="AB938771" s="251"/>
      <c r="AE938771" s="251"/>
      <c r="AH938771" s="251"/>
      <c r="AK938771" s="251"/>
    </row>
    <row r="938886" spans="25:37" x14ac:dyDescent="0.2">
      <c r="Y938886" s="5"/>
      <c r="AB938886" s="5"/>
      <c r="AE938886" s="5"/>
      <c r="AH938886" s="5"/>
      <c r="AK938886" s="5"/>
    </row>
    <row r="938896" spans="25:37" x14ac:dyDescent="0.2">
      <c r="Y938896" s="251"/>
      <c r="AB938896" s="251"/>
      <c r="AE938896" s="251"/>
      <c r="AH938896" s="251"/>
      <c r="AK938896" s="251"/>
    </row>
    <row r="939011" spans="25:37" x14ac:dyDescent="0.2">
      <c r="Y939011" s="5"/>
      <c r="AB939011" s="5"/>
      <c r="AE939011" s="5"/>
      <c r="AH939011" s="5"/>
      <c r="AK939011" s="5"/>
    </row>
    <row r="939021" spans="25:37" x14ac:dyDescent="0.2">
      <c r="Y939021" s="251"/>
      <c r="AB939021" s="251"/>
      <c r="AE939021" s="251"/>
      <c r="AH939021" s="251"/>
      <c r="AK939021" s="251"/>
    </row>
    <row r="939136" spans="25:37" x14ac:dyDescent="0.2">
      <c r="Y939136" s="5"/>
      <c r="AB939136" s="5"/>
      <c r="AE939136" s="5"/>
      <c r="AH939136" s="5"/>
      <c r="AK939136" s="5"/>
    </row>
    <row r="939146" spans="25:37" x14ac:dyDescent="0.2">
      <c r="Y939146" s="251"/>
      <c r="AB939146" s="251"/>
      <c r="AE939146" s="251"/>
      <c r="AH939146" s="251"/>
      <c r="AK939146" s="251"/>
    </row>
    <row r="939261" spans="25:37" x14ac:dyDescent="0.2">
      <c r="Y939261" s="5"/>
      <c r="AB939261" s="5"/>
      <c r="AE939261" s="5"/>
      <c r="AH939261" s="5"/>
      <c r="AK939261" s="5"/>
    </row>
    <row r="939271" spans="25:37" x14ac:dyDescent="0.2">
      <c r="Y939271" s="251"/>
      <c r="AB939271" s="251"/>
      <c r="AE939271" s="251"/>
      <c r="AH939271" s="251"/>
      <c r="AK939271" s="251"/>
    </row>
    <row r="939386" spans="25:37" x14ac:dyDescent="0.2">
      <c r="Y939386" s="5"/>
      <c r="AB939386" s="5"/>
      <c r="AE939386" s="5"/>
      <c r="AH939386" s="5"/>
      <c r="AK939386" s="5"/>
    </row>
    <row r="939396" spans="25:37" x14ac:dyDescent="0.2">
      <c r="Y939396" s="251"/>
      <c r="AB939396" s="251"/>
      <c r="AE939396" s="251"/>
      <c r="AH939396" s="251"/>
      <c r="AK939396" s="251"/>
    </row>
    <row r="939511" spans="25:37" x14ac:dyDescent="0.2">
      <c r="Y939511" s="5"/>
      <c r="AB939511" s="5"/>
      <c r="AE939511" s="5"/>
      <c r="AH939511" s="5"/>
      <c r="AK939511" s="5"/>
    </row>
    <row r="939521" spans="25:37" x14ac:dyDescent="0.2">
      <c r="Y939521" s="251"/>
      <c r="AB939521" s="251"/>
      <c r="AE939521" s="251"/>
      <c r="AH939521" s="251"/>
      <c r="AK939521" s="251"/>
    </row>
    <row r="939636" spans="25:37" x14ac:dyDescent="0.2">
      <c r="Y939636" s="5"/>
      <c r="AB939636" s="5"/>
      <c r="AE939636" s="5"/>
      <c r="AH939636" s="5"/>
      <c r="AK939636" s="5"/>
    </row>
    <row r="939646" spans="25:37" x14ac:dyDescent="0.2">
      <c r="Y939646" s="251"/>
      <c r="AB939646" s="251"/>
      <c r="AE939646" s="251"/>
      <c r="AH939646" s="251"/>
      <c r="AK939646" s="251"/>
    </row>
    <row r="939761" spans="25:37" x14ac:dyDescent="0.2">
      <c r="Y939761" s="5"/>
      <c r="AB939761" s="5"/>
      <c r="AE939761" s="5"/>
      <c r="AH939761" s="5"/>
      <c r="AK939761" s="5"/>
    </row>
    <row r="939771" spans="25:37" x14ac:dyDescent="0.2">
      <c r="Y939771" s="251"/>
      <c r="AB939771" s="251"/>
      <c r="AE939771" s="251"/>
      <c r="AH939771" s="251"/>
      <c r="AK939771" s="251"/>
    </row>
    <row r="939886" spans="25:37" x14ac:dyDescent="0.2">
      <c r="Y939886" s="5"/>
      <c r="AB939886" s="5"/>
      <c r="AE939886" s="5"/>
      <c r="AH939886" s="5"/>
      <c r="AK939886" s="5"/>
    </row>
    <row r="939896" spans="25:37" x14ac:dyDescent="0.2">
      <c r="Y939896" s="251"/>
      <c r="AB939896" s="251"/>
      <c r="AE939896" s="251"/>
      <c r="AH939896" s="251"/>
      <c r="AK939896" s="251"/>
    </row>
    <row r="940011" spans="25:37" x14ac:dyDescent="0.2">
      <c r="Y940011" s="5"/>
      <c r="AB940011" s="5"/>
      <c r="AE940011" s="5"/>
      <c r="AH940011" s="5"/>
      <c r="AK940011" s="5"/>
    </row>
    <row r="940021" spans="25:37" x14ac:dyDescent="0.2">
      <c r="Y940021" s="251"/>
      <c r="AB940021" s="251"/>
      <c r="AE940021" s="251"/>
      <c r="AH940021" s="251"/>
      <c r="AK940021" s="251"/>
    </row>
    <row r="940136" spans="25:37" x14ac:dyDescent="0.2">
      <c r="Y940136" s="5"/>
      <c r="AB940136" s="5"/>
      <c r="AE940136" s="5"/>
      <c r="AH940136" s="5"/>
      <c r="AK940136" s="5"/>
    </row>
    <row r="940146" spans="25:37" x14ac:dyDescent="0.2">
      <c r="Y940146" s="251"/>
      <c r="AB940146" s="251"/>
      <c r="AE940146" s="251"/>
      <c r="AH940146" s="251"/>
      <c r="AK940146" s="251"/>
    </row>
    <row r="940261" spans="25:37" x14ac:dyDescent="0.2">
      <c r="Y940261" s="5"/>
      <c r="AB940261" s="5"/>
      <c r="AE940261" s="5"/>
      <c r="AH940261" s="5"/>
      <c r="AK940261" s="5"/>
    </row>
    <row r="940271" spans="25:37" x14ac:dyDescent="0.2">
      <c r="Y940271" s="251"/>
      <c r="AB940271" s="251"/>
      <c r="AE940271" s="251"/>
      <c r="AH940271" s="251"/>
      <c r="AK940271" s="251"/>
    </row>
    <row r="940386" spans="25:37" x14ac:dyDescent="0.2">
      <c r="Y940386" s="5"/>
      <c r="AB940386" s="5"/>
      <c r="AE940386" s="5"/>
      <c r="AH940386" s="5"/>
      <c r="AK940386" s="5"/>
    </row>
    <row r="940396" spans="25:37" x14ac:dyDescent="0.2">
      <c r="Y940396" s="251"/>
      <c r="AB940396" s="251"/>
      <c r="AE940396" s="251"/>
      <c r="AH940396" s="251"/>
      <c r="AK940396" s="251"/>
    </row>
    <row r="940511" spans="25:37" x14ac:dyDescent="0.2">
      <c r="Y940511" s="5"/>
      <c r="AB940511" s="5"/>
      <c r="AE940511" s="5"/>
      <c r="AH940511" s="5"/>
      <c r="AK940511" s="5"/>
    </row>
    <row r="940521" spans="25:37" x14ac:dyDescent="0.2">
      <c r="Y940521" s="251"/>
      <c r="AB940521" s="251"/>
      <c r="AE940521" s="251"/>
      <c r="AH940521" s="251"/>
      <c r="AK940521" s="251"/>
    </row>
    <row r="940636" spans="25:37" x14ac:dyDescent="0.2">
      <c r="Y940636" s="5"/>
      <c r="AB940636" s="5"/>
      <c r="AE940636" s="5"/>
      <c r="AH940636" s="5"/>
      <c r="AK940636" s="5"/>
    </row>
    <row r="940646" spans="25:37" x14ac:dyDescent="0.2">
      <c r="Y940646" s="251"/>
      <c r="AB940646" s="251"/>
      <c r="AE940646" s="251"/>
      <c r="AH940646" s="251"/>
      <c r="AK940646" s="251"/>
    </row>
    <row r="940761" spans="25:37" x14ac:dyDescent="0.2">
      <c r="Y940761" s="5"/>
      <c r="AB940761" s="5"/>
      <c r="AE940761" s="5"/>
      <c r="AH940761" s="5"/>
      <c r="AK940761" s="5"/>
    </row>
    <row r="940771" spans="25:37" x14ac:dyDescent="0.2">
      <c r="Y940771" s="251"/>
      <c r="AB940771" s="251"/>
      <c r="AE940771" s="251"/>
      <c r="AH940771" s="251"/>
      <c r="AK940771" s="251"/>
    </row>
    <row r="940886" spans="25:37" x14ac:dyDescent="0.2">
      <c r="Y940886" s="5"/>
      <c r="AB940886" s="5"/>
      <c r="AE940886" s="5"/>
      <c r="AH940886" s="5"/>
      <c r="AK940886" s="5"/>
    </row>
    <row r="940896" spans="25:37" x14ac:dyDescent="0.2">
      <c r="Y940896" s="251"/>
      <c r="AB940896" s="251"/>
      <c r="AE940896" s="251"/>
      <c r="AH940896" s="251"/>
      <c r="AK940896" s="251"/>
    </row>
    <row r="941011" spans="25:37" x14ac:dyDescent="0.2">
      <c r="Y941011" s="5"/>
      <c r="AB941011" s="5"/>
      <c r="AE941011" s="5"/>
      <c r="AH941011" s="5"/>
      <c r="AK941011" s="5"/>
    </row>
    <row r="941021" spans="25:37" x14ac:dyDescent="0.2">
      <c r="Y941021" s="251"/>
      <c r="AB941021" s="251"/>
      <c r="AE941021" s="251"/>
      <c r="AH941021" s="251"/>
      <c r="AK941021" s="251"/>
    </row>
    <row r="941136" spans="25:37" x14ac:dyDescent="0.2">
      <c r="Y941136" s="5"/>
      <c r="AB941136" s="5"/>
      <c r="AE941136" s="5"/>
      <c r="AH941136" s="5"/>
      <c r="AK941136" s="5"/>
    </row>
    <row r="941146" spans="25:37" x14ac:dyDescent="0.2">
      <c r="Y941146" s="251"/>
      <c r="AB941146" s="251"/>
      <c r="AE941146" s="251"/>
      <c r="AH941146" s="251"/>
      <c r="AK941146" s="251"/>
    </row>
    <row r="941261" spans="25:37" x14ac:dyDescent="0.2">
      <c r="Y941261" s="5"/>
      <c r="AB941261" s="5"/>
      <c r="AE941261" s="5"/>
      <c r="AH941261" s="5"/>
      <c r="AK941261" s="5"/>
    </row>
    <row r="941271" spans="25:37" x14ac:dyDescent="0.2">
      <c r="Y941271" s="251"/>
      <c r="AB941271" s="251"/>
      <c r="AE941271" s="251"/>
      <c r="AH941271" s="251"/>
      <c r="AK941271" s="251"/>
    </row>
    <row r="941386" spans="25:37" x14ac:dyDescent="0.2">
      <c r="Y941386" s="5"/>
      <c r="AB941386" s="5"/>
      <c r="AE941386" s="5"/>
      <c r="AH941386" s="5"/>
      <c r="AK941386" s="5"/>
    </row>
    <row r="941396" spans="25:37" x14ac:dyDescent="0.2">
      <c r="Y941396" s="251"/>
      <c r="AB941396" s="251"/>
      <c r="AE941396" s="251"/>
      <c r="AH941396" s="251"/>
      <c r="AK941396" s="251"/>
    </row>
    <row r="941511" spans="25:37" x14ac:dyDescent="0.2">
      <c r="Y941511" s="5"/>
      <c r="AB941511" s="5"/>
      <c r="AE941511" s="5"/>
      <c r="AH941511" s="5"/>
      <c r="AK941511" s="5"/>
    </row>
    <row r="941521" spans="25:37" x14ac:dyDescent="0.2">
      <c r="Y941521" s="251"/>
      <c r="AB941521" s="251"/>
      <c r="AE941521" s="251"/>
      <c r="AH941521" s="251"/>
      <c r="AK941521" s="251"/>
    </row>
    <row r="941636" spans="25:37" x14ac:dyDescent="0.2">
      <c r="Y941636" s="5"/>
      <c r="AB941636" s="5"/>
      <c r="AE941636" s="5"/>
      <c r="AH941636" s="5"/>
      <c r="AK941636" s="5"/>
    </row>
    <row r="941646" spans="25:37" x14ac:dyDescent="0.2">
      <c r="Y941646" s="251"/>
      <c r="AB941646" s="251"/>
      <c r="AE941646" s="251"/>
      <c r="AH941646" s="251"/>
      <c r="AK941646" s="251"/>
    </row>
    <row r="941761" spans="25:37" x14ac:dyDescent="0.2">
      <c r="Y941761" s="5"/>
      <c r="AB941761" s="5"/>
      <c r="AE941761" s="5"/>
      <c r="AH941761" s="5"/>
      <c r="AK941761" s="5"/>
    </row>
    <row r="941771" spans="25:37" x14ac:dyDescent="0.2">
      <c r="Y941771" s="251"/>
      <c r="AB941771" s="251"/>
      <c r="AE941771" s="251"/>
      <c r="AH941771" s="251"/>
      <c r="AK941771" s="251"/>
    </row>
    <row r="941886" spans="25:37" x14ac:dyDescent="0.2">
      <c r="Y941886" s="5"/>
      <c r="AB941886" s="5"/>
      <c r="AE941886" s="5"/>
      <c r="AH941886" s="5"/>
      <c r="AK941886" s="5"/>
    </row>
    <row r="941896" spans="25:37" x14ac:dyDescent="0.2">
      <c r="Y941896" s="251"/>
      <c r="AB941896" s="251"/>
      <c r="AE941896" s="251"/>
      <c r="AH941896" s="251"/>
      <c r="AK941896" s="251"/>
    </row>
    <row r="942011" spans="25:37" x14ac:dyDescent="0.2">
      <c r="Y942011" s="5"/>
      <c r="AB942011" s="5"/>
      <c r="AE942011" s="5"/>
      <c r="AH942011" s="5"/>
      <c r="AK942011" s="5"/>
    </row>
    <row r="942021" spans="25:37" x14ac:dyDescent="0.2">
      <c r="Y942021" s="251"/>
      <c r="AB942021" s="251"/>
      <c r="AE942021" s="251"/>
      <c r="AH942021" s="251"/>
      <c r="AK942021" s="251"/>
    </row>
    <row r="942136" spans="25:37" x14ac:dyDescent="0.2">
      <c r="Y942136" s="5"/>
      <c r="AB942136" s="5"/>
      <c r="AE942136" s="5"/>
      <c r="AH942136" s="5"/>
      <c r="AK942136" s="5"/>
    </row>
    <row r="942146" spans="25:37" x14ac:dyDescent="0.2">
      <c r="Y942146" s="251"/>
      <c r="AB942146" s="251"/>
      <c r="AE942146" s="251"/>
      <c r="AH942146" s="251"/>
      <c r="AK942146" s="251"/>
    </row>
    <row r="942261" spans="25:37" x14ac:dyDescent="0.2">
      <c r="Y942261" s="5"/>
      <c r="AB942261" s="5"/>
      <c r="AE942261" s="5"/>
      <c r="AH942261" s="5"/>
      <c r="AK942261" s="5"/>
    </row>
    <row r="942271" spans="25:37" x14ac:dyDescent="0.2">
      <c r="Y942271" s="251"/>
      <c r="AB942271" s="251"/>
      <c r="AE942271" s="251"/>
      <c r="AH942271" s="251"/>
      <c r="AK942271" s="251"/>
    </row>
    <row r="942386" spans="25:37" x14ac:dyDescent="0.2">
      <c r="Y942386" s="5"/>
      <c r="AB942386" s="5"/>
      <c r="AE942386" s="5"/>
      <c r="AH942386" s="5"/>
      <c r="AK942386" s="5"/>
    </row>
    <row r="942396" spans="25:37" x14ac:dyDescent="0.2">
      <c r="Y942396" s="251"/>
      <c r="AB942396" s="251"/>
      <c r="AE942396" s="251"/>
      <c r="AH942396" s="251"/>
      <c r="AK942396" s="251"/>
    </row>
    <row r="942511" spans="25:37" x14ac:dyDescent="0.2">
      <c r="Y942511" s="5"/>
      <c r="AB942511" s="5"/>
      <c r="AE942511" s="5"/>
      <c r="AH942511" s="5"/>
      <c r="AK942511" s="5"/>
    </row>
    <row r="942521" spans="25:37" x14ac:dyDescent="0.2">
      <c r="Y942521" s="251"/>
      <c r="AB942521" s="251"/>
      <c r="AE942521" s="251"/>
      <c r="AH942521" s="251"/>
      <c r="AK942521" s="251"/>
    </row>
    <row r="942636" spans="25:37" x14ac:dyDescent="0.2">
      <c r="Y942636" s="5"/>
      <c r="AB942636" s="5"/>
      <c r="AE942636" s="5"/>
      <c r="AH942636" s="5"/>
      <c r="AK942636" s="5"/>
    </row>
    <row r="942646" spans="25:37" x14ac:dyDescent="0.2">
      <c r="Y942646" s="251"/>
      <c r="AB942646" s="251"/>
      <c r="AE942646" s="251"/>
      <c r="AH942646" s="251"/>
      <c r="AK942646" s="251"/>
    </row>
    <row r="942761" spans="25:37" x14ac:dyDescent="0.2">
      <c r="Y942761" s="5"/>
      <c r="AB942761" s="5"/>
      <c r="AE942761" s="5"/>
      <c r="AH942761" s="5"/>
      <c r="AK942761" s="5"/>
    </row>
    <row r="942771" spans="25:37" x14ac:dyDescent="0.2">
      <c r="Y942771" s="251"/>
      <c r="AB942771" s="251"/>
      <c r="AE942771" s="251"/>
      <c r="AH942771" s="251"/>
      <c r="AK942771" s="251"/>
    </row>
    <row r="942886" spans="25:37" x14ac:dyDescent="0.2">
      <c r="Y942886" s="5"/>
      <c r="AB942886" s="5"/>
      <c r="AE942886" s="5"/>
      <c r="AH942886" s="5"/>
      <c r="AK942886" s="5"/>
    </row>
    <row r="942896" spans="25:37" x14ac:dyDescent="0.2">
      <c r="Y942896" s="251"/>
      <c r="AB942896" s="251"/>
      <c r="AE942896" s="251"/>
      <c r="AH942896" s="251"/>
      <c r="AK942896" s="251"/>
    </row>
    <row r="943011" spans="25:37" x14ac:dyDescent="0.2">
      <c r="Y943011" s="5"/>
      <c r="AB943011" s="5"/>
      <c r="AE943011" s="5"/>
      <c r="AH943011" s="5"/>
      <c r="AK943011" s="5"/>
    </row>
    <row r="943021" spans="25:37" x14ac:dyDescent="0.2">
      <c r="Y943021" s="251"/>
      <c r="AB943021" s="251"/>
      <c r="AE943021" s="251"/>
      <c r="AH943021" s="251"/>
      <c r="AK943021" s="251"/>
    </row>
    <row r="943136" spans="25:37" x14ac:dyDescent="0.2">
      <c r="Y943136" s="5"/>
      <c r="AB943136" s="5"/>
      <c r="AE943136" s="5"/>
      <c r="AH943136" s="5"/>
      <c r="AK943136" s="5"/>
    </row>
    <row r="943146" spans="25:37" x14ac:dyDescent="0.2">
      <c r="Y943146" s="251"/>
      <c r="AB943146" s="251"/>
      <c r="AE943146" s="251"/>
      <c r="AH943146" s="251"/>
      <c r="AK943146" s="251"/>
    </row>
    <row r="943261" spans="25:37" x14ac:dyDescent="0.2">
      <c r="Y943261" s="5"/>
      <c r="AB943261" s="5"/>
      <c r="AE943261" s="5"/>
      <c r="AH943261" s="5"/>
      <c r="AK943261" s="5"/>
    </row>
    <row r="943271" spans="25:37" x14ac:dyDescent="0.2">
      <c r="Y943271" s="251"/>
      <c r="AB943271" s="251"/>
      <c r="AE943271" s="251"/>
      <c r="AH943271" s="251"/>
      <c r="AK943271" s="251"/>
    </row>
    <row r="943386" spans="25:37" x14ac:dyDescent="0.2">
      <c r="Y943386" s="5"/>
      <c r="AB943386" s="5"/>
      <c r="AE943386" s="5"/>
      <c r="AH943386" s="5"/>
      <c r="AK943386" s="5"/>
    </row>
    <row r="943396" spans="25:37" x14ac:dyDescent="0.2">
      <c r="Y943396" s="251"/>
      <c r="AB943396" s="251"/>
      <c r="AE943396" s="251"/>
      <c r="AH943396" s="251"/>
      <c r="AK943396" s="251"/>
    </row>
    <row r="943511" spans="25:37" x14ac:dyDescent="0.2">
      <c r="Y943511" s="5"/>
      <c r="AB943511" s="5"/>
      <c r="AE943511" s="5"/>
      <c r="AH943511" s="5"/>
      <c r="AK943511" s="5"/>
    </row>
    <row r="943521" spans="25:37" x14ac:dyDescent="0.2">
      <c r="Y943521" s="251"/>
      <c r="AB943521" s="251"/>
      <c r="AE943521" s="251"/>
      <c r="AH943521" s="251"/>
      <c r="AK943521" s="251"/>
    </row>
    <row r="943636" spans="25:37" x14ac:dyDescent="0.2">
      <c r="Y943636" s="5"/>
      <c r="AB943636" s="5"/>
      <c r="AE943636" s="5"/>
      <c r="AH943636" s="5"/>
      <c r="AK943636" s="5"/>
    </row>
    <row r="943646" spans="25:37" x14ac:dyDescent="0.2">
      <c r="Y943646" s="251"/>
      <c r="AB943646" s="251"/>
      <c r="AE943646" s="251"/>
      <c r="AH943646" s="251"/>
      <c r="AK943646" s="251"/>
    </row>
    <row r="943761" spans="25:37" x14ac:dyDescent="0.2">
      <c r="Y943761" s="5"/>
      <c r="AB943761" s="5"/>
      <c r="AE943761" s="5"/>
      <c r="AH943761" s="5"/>
      <c r="AK943761" s="5"/>
    </row>
    <row r="943771" spans="25:37" x14ac:dyDescent="0.2">
      <c r="Y943771" s="251"/>
      <c r="AB943771" s="251"/>
      <c r="AE943771" s="251"/>
      <c r="AH943771" s="251"/>
      <c r="AK943771" s="251"/>
    </row>
    <row r="943886" spans="25:37" x14ac:dyDescent="0.2">
      <c r="Y943886" s="5"/>
      <c r="AB943886" s="5"/>
      <c r="AE943886" s="5"/>
      <c r="AH943886" s="5"/>
      <c r="AK943886" s="5"/>
    </row>
    <row r="943896" spans="25:37" x14ac:dyDescent="0.2">
      <c r="Y943896" s="251"/>
      <c r="AB943896" s="251"/>
      <c r="AE943896" s="251"/>
      <c r="AH943896" s="251"/>
      <c r="AK943896" s="251"/>
    </row>
    <row r="944011" spans="25:37" x14ac:dyDescent="0.2">
      <c r="Y944011" s="5"/>
      <c r="AB944011" s="5"/>
      <c r="AE944011" s="5"/>
      <c r="AH944011" s="5"/>
      <c r="AK944011" s="5"/>
    </row>
    <row r="944021" spans="25:37" x14ac:dyDescent="0.2">
      <c r="Y944021" s="251"/>
      <c r="AB944021" s="251"/>
      <c r="AE944021" s="251"/>
      <c r="AH944021" s="251"/>
      <c r="AK944021" s="251"/>
    </row>
    <row r="944136" spans="25:37" x14ac:dyDescent="0.2">
      <c r="Y944136" s="5"/>
      <c r="AB944136" s="5"/>
      <c r="AE944136" s="5"/>
      <c r="AH944136" s="5"/>
      <c r="AK944136" s="5"/>
    </row>
    <row r="944146" spans="25:37" x14ac:dyDescent="0.2">
      <c r="Y944146" s="251"/>
      <c r="AB944146" s="251"/>
      <c r="AE944146" s="251"/>
      <c r="AH944146" s="251"/>
      <c r="AK944146" s="251"/>
    </row>
    <row r="944261" spans="25:37" x14ac:dyDescent="0.2">
      <c r="Y944261" s="5"/>
      <c r="AB944261" s="5"/>
      <c r="AE944261" s="5"/>
      <c r="AH944261" s="5"/>
      <c r="AK944261" s="5"/>
    </row>
    <row r="944271" spans="25:37" x14ac:dyDescent="0.2">
      <c r="Y944271" s="251"/>
      <c r="AB944271" s="251"/>
      <c r="AE944271" s="251"/>
      <c r="AH944271" s="251"/>
      <c r="AK944271" s="251"/>
    </row>
    <row r="944386" spans="25:37" x14ac:dyDescent="0.2">
      <c r="Y944386" s="5"/>
      <c r="AB944386" s="5"/>
      <c r="AE944386" s="5"/>
      <c r="AH944386" s="5"/>
      <c r="AK944386" s="5"/>
    </row>
    <row r="944396" spans="25:37" x14ac:dyDescent="0.2">
      <c r="Y944396" s="251"/>
      <c r="AB944396" s="251"/>
      <c r="AE944396" s="251"/>
      <c r="AH944396" s="251"/>
      <c r="AK944396" s="251"/>
    </row>
    <row r="944511" spans="25:37" x14ac:dyDescent="0.2">
      <c r="Y944511" s="5"/>
      <c r="AB944511" s="5"/>
      <c r="AE944511" s="5"/>
      <c r="AH944511" s="5"/>
      <c r="AK944511" s="5"/>
    </row>
    <row r="944521" spans="25:37" x14ac:dyDescent="0.2">
      <c r="Y944521" s="251"/>
      <c r="AB944521" s="251"/>
      <c r="AE944521" s="251"/>
      <c r="AH944521" s="251"/>
      <c r="AK944521" s="251"/>
    </row>
    <row r="944636" spans="25:37" x14ac:dyDescent="0.2">
      <c r="Y944636" s="5"/>
      <c r="AB944636" s="5"/>
      <c r="AE944636" s="5"/>
      <c r="AH944636" s="5"/>
      <c r="AK944636" s="5"/>
    </row>
    <row r="944646" spans="25:37" x14ac:dyDescent="0.2">
      <c r="Y944646" s="251"/>
      <c r="AB944646" s="251"/>
      <c r="AE944646" s="251"/>
      <c r="AH944646" s="251"/>
      <c r="AK944646" s="251"/>
    </row>
    <row r="944761" spans="25:37" x14ac:dyDescent="0.2">
      <c r="Y944761" s="5"/>
      <c r="AB944761" s="5"/>
      <c r="AE944761" s="5"/>
      <c r="AH944761" s="5"/>
      <c r="AK944761" s="5"/>
    </row>
    <row r="944771" spans="25:37" x14ac:dyDescent="0.2">
      <c r="Y944771" s="251"/>
      <c r="AB944771" s="251"/>
      <c r="AE944771" s="251"/>
      <c r="AH944771" s="251"/>
      <c r="AK944771" s="251"/>
    </row>
    <row r="944886" spans="25:37" x14ac:dyDescent="0.2">
      <c r="Y944886" s="5"/>
      <c r="AB944886" s="5"/>
      <c r="AE944886" s="5"/>
      <c r="AH944886" s="5"/>
      <c r="AK944886" s="5"/>
    </row>
    <row r="944896" spans="25:37" x14ac:dyDescent="0.2">
      <c r="Y944896" s="251"/>
      <c r="AB944896" s="251"/>
      <c r="AE944896" s="251"/>
      <c r="AH944896" s="251"/>
      <c r="AK944896" s="251"/>
    </row>
    <row r="945011" spans="25:37" x14ac:dyDescent="0.2">
      <c r="Y945011" s="5"/>
      <c r="AB945011" s="5"/>
      <c r="AE945011" s="5"/>
      <c r="AH945011" s="5"/>
      <c r="AK945011" s="5"/>
    </row>
    <row r="945021" spans="25:37" x14ac:dyDescent="0.2">
      <c r="Y945021" s="251"/>
      <c r="AB945021" s="251"/>
      <c r="AE945021" s="251"/>
      <c r="AH945021" s="251"/>
      <c r="AK945021" s="251"/>
    </row>
    <row r="945136" spans="25:37" x14ac:dyDescent="0.2">
      <c r="Y945136" s="5"/>
      <c r="AB945136" s="5"/>
      <c r="AE945136" s="5"/>
      <c r="AH945136" s="5"/>
      <c r="AK945136" s="5"/>
    </row>
    <row r="945146" spans="25:37" x14ac:dyDescent="0.2">
      <c r="Y945146" s="251"/>
      <c r="AB945146" s="251"/>
      <c r="AE945146" s="251"/>
      <c r="AH945146" s="251"/>
      <c r="AK945146" s="251"/>
    </row>
    <row r="945261" spans="25:37" x14ac:dyDescent="0.2">
      <c r="Y945261" s="5"/>
      <c r="AB945261" s="5"/>
      <c r="AE945261" s="5"/>
      <c r="AH945261" s="5"/>
      <c r="AK945261" s="5"/>
    </row>
    <row r="945271" spans="25:37" x14ac:dyDescent="0.2">
      <c r="Y945271" s="251"/>
      <c r="AB945271" s="251"/>
      <c r="AE945271" s="251"/>
      <c r="AH945271" s="251"/>
      <c r="AK945271" s="251"/>
    </row>
    <row r="945386" spans="25:37" x14ac:dyDescent="0.2">
      <c r="Y945386" s="5"/>
      <c r="AB945386" s="5"/>
      <c r="AE945386" s="5"/>
      <c r="AH945386" s="5"/>
      <c r="AK945386" s="5"/>
    </row>
    <row r="945396" spans="25:37" x14ac:dyDescent="0.2">
      <c r="Y945396" s="251"/>
      <c r="AB945396" s="251"/>
      <c r="AE945396" s="251"/>
      <c r="AH945396" s="251"/>
      <c r="AK945396" s="251"/>
    </row>
    <row r="945511" spans="25:37" x14ac:dyDescent="0.2">
      <c r="Y945511" s="5"/>
      <c r="AB945511" s="5"/>
      <c r="AE945511" s="5"/>
      <c r="AH945511" s="5"/>
      <c r="AK945511" s="5"/>
    </row>
    <row r="945521" spans="25:37" x14ac:dyDescent="0.2">
      <c r="Y945521" s="251"/>
      <c r="AB945521" s="251"/>
      <c r="AE945521" s="251"/>
      <c r="AH945521" s="251"/>
      <c r="AK945521" s="251"/>
    </row>
    <row r="945636" spans="25:37" x14ac:dyDescent="0.2">
      <c r="Y945636" s="5"/>
      <c r="AB945636" s="5"/>
      <c r="AE945636" s="5"/>
      <c r="AH945636" s="5"/>
      <c r="AK945636" s="5"/>
    </row>
    <row r="945646" spans="25:37" x14ac:dyDescent="0.2">
      <c r="Y945646" s="251"/>
      <c r="AB945646" s="251"/>
      <c r="AE945646" s="251"/>
      <c r="AH945646" s="251"/>
      <c r="AK945646" s="251"/>
    </row>
    <row r="945761" spans="25:37" x14ac:dyDescent="0.2">
      <c r="Y945761" s="5"/>
      <c r="AB945761" s="5"/>
      <c r="AE945761" s="5"/>
      <c r="AH945761" s="5"/>
      <c r="AK945761" s="5"/>
    </row>
    <row r="945771" spans="25:37" x14ac:dyDescent="0.2">
      <c r="Y945771" s="251"/>
      <c r="AB945771" s="251"/>
      <c r="AE945771" s="251"/>
      <c r="AH945771" s="251"/>
      <c r="AK945771" s="251"/>
    </row>
    <row r="945886" spans="25:37" x14ac:dyDescent="0.2">
      <c r="Y945886" s="5"/>
      <c r="AB945886" s="5"/>
      <c r="AE945886" s="5"/>
      <c r="AH945886" s="5"/>
      <c r="AK945886" s="5"/>
    </row>
    <row r="945896" spans="25:37" x14ac:dyDescent="0.2">
      <c r="Y945896" s="251"/>
      <c r="AB945896" s="251"/>
      <c r="AE945896" s="251"/>
      <c r="AH945896" s="251"/>
      <c r="AK945896" s="251"/>
    </row>
    <row r="946011" spans="25:37" x14ac:dyDescent="0.2">
      <c r="Y946011" s="5"/>
      <c r="AB946011" s="5"/>
      <c r="AE946011" s="5"/>
      <c r="AH946011" s="5"/>
      <c r="AK946011" s="5"/>
    </row>
    <row r="946021" spans="25:37" x14ac:dyDescent="0.2">
      <c r="Y946021" s="251"/>
      <c r="AB946021" s="251"/>
      <c r="AE946021" s="251"/>
      <c r="AH946021" s="251"/>
      <c r="AK946021" s="251"/>
    </row>
    <row r="946136" spans="25:37" x14ac:dyDescent="0.2">
      <c r="Y946136" s="5"/>
      <c r="AB946136" s="5"/>
      <c r="AE946136" s="5"/>
      <c r="AH946136" s="5"/>
      <c r="AK946136" s="5"/>
    </row>
    <row r="946146" spans="25:37" x14ac:dyDescent="0.2">
      <c r="Y946146" s="251"/>
      <c r="AB946146" s="251"/>
      <c r="AE946146" s="251"/>
      <c r="AH946146" s="251"/>
      <c r="AK946146" s="251"/>
    </row>
    <row r="946261" spans="25:37" x14ac:dyDescent="0.2">
      <c r="Y946261" s="5"/>
      <c r="AB946261" s="5"/>
      <c r="AE946261" s="5"/>
      <c r="AH946261" s="5"/>
      <c r="AK946261" s="5"/>
    </row>
    <row r="946271" spans="25:37" x14ac:dyDescent="0.2">
      <c r="Y946271" s="251"/>
      <c r="AB946271" s="251"/>
      <c r="AE946271" s="251"/>
      <c r="AH946271" s="251"/>
      <c r="AK946271" s="251"/>
    </row>
    <row r="946386" spans="25:37" x14ac:dyDescent="0.2">
      <c r="Y946386" s="5"/>
      <c r="AB946386" s="5"/>
      <c r="AE946386" s="5"/>
      <c r="AH946386" s="5"/>
      <c r="AK946386" s="5"/>
    </row>
    <row r="946396" spans="25:37" x14ac:dyDescent="0.2">
      <c r="Y946396" s="251"/>
      <c r="AB946396" s="251"/>
      <c r="AE946396" s="251"/>
      <c r="AH946396" s="251"/>
      <c r="AK946396" s="251"/>
    </row>
    <row r="946511" spans="25:37" x14ac:dyDescent="0.2">
      <c r="Y946511" s="5"/>
      <c r="AB946511" s="5"/>
      <c r="AE946511" s="5"/>
      <c r="AH946511" s="5"/>
      <c r="AK946511" s="5"/>
    </row>
    <row r="946521" spans="25:37" x14ac:dyDescent="0.2">
      <c r="Y946521" s="251"/>
      <c r="AB946521" s="251"/>
      <c r="AE946521" s="251"/>
      <c r="AH946521" s="251"/>
      <c r="AK946521" s="251"/>
    </row>
    <row r="946636" spans="25:37" x14ac:dyDescent="0.2">
      <c r="Y946636" s="5"/>
      <c r="AB946636" s="5"/>
      <c r="AE946636" s="5"/>
      <c r="AH946636" s="5"/>
      <c r="AK946636" s="5"/>
    </row>
    <row r="946646" spans="25:37" x14ac:dyDescent="0.2">
      <c r="Y946646" s="251"/>
      <c r="AB946646" s="251"/>
      <c r="AE946646" s="251"/>
      <c r="AH946646" s="251"/>
      <c r="AK946646" s="251"/>
    </row>
    <row r="946761" spans="25:37" x14ac:dyDescent="0.2">
      <c r="Y946761" s="5"/>
      <c r="AB946761" s="5"/>
      <c r="AE946761" s="5"/>
      <c r="AH946761" s="5"/>
      <c r="AK946761" s="5"/>
    </row>
    <row r="946771" spans="25:37" x14ac:dyDescent="0.2">
      <c r="Y946771" s="251"/>
      <c r="AB946771" s="251"/>
      <c r="AE946771" s="251"/>
      <c r="AH946771" s="251"/>
      <c r="AK946771" s="251"/>
    </row>
    <row r="946886" spans="25:37" x14ac:dyDescent="0.2">
      <c r="Y946886" s="5"/>
      <c r="AB946886" s="5"/>
      <c r="AE946886" s="5"/>
      <c r="AH946886" s="5"/>
      <c r="AK946886" s="5"/>
    </row>
    <row r="946896" spans="25:37" x14ac:dyDescent="0.2">
      <c r="Y946896" s="251"/>
      <c r="AB946896" s="251"/>
      <c r="AE946896" s="251"/>
      <c r="AH946896" s="251"/>
      <c r="AK946896" s="251"/>
    </row>
    <row r="947011" spans="25:37" x14ac:dyDescent="0.2">
      <c r="Y947011" s="5"/>
      <c r="AB947011" s="5"/>
      <c r="AE947011" s="5"/>
      <c r="AH947011" s="5"/>
      <c r="AK947011" s="5"/>
    </row>
    <row r="947021" spans="25:37" x14ac:dyDescent="0.2">
      <c r="Y947021" s="251"/>
      <c r="AB947021" s="251"/>
      <c r="AE947021" s="251"/>
      <c r="AH947021" s="251"/>
      <c r="AK947021" s="251"/>
    </row>
    <row r="947136" spans="25:37" x14ac:dyDescent="0.2">
      <c r="Y947136" s="5"/>
      <c r="AB947136" s="5"/>
      <c r="AE947136" s="5"/>
      <c r="AH947136" s="5"/>
      <c r="AK947136" s="5"/>
    </row>
    <row r="947146" spans="25:37" x14ac:dyDescent="0.2">
      <c r="Y947146" s="251"/>
      <c r="AB947146" s="251"/>
      <c r="AE947146" s="251"/>
      <c r="AH947146" s="251"/>
      <c r="AK947146" s="251"/>
    </row>
    <row r="947261" spans="25:37" x14ac:dyDescent="0.2">
      <c r="Y947261" s="5"/>
      <c r="AB947261" s="5"/>
      <c r="AE947261" s="5"/>
      <c r="AH947261" s="5"/>
      <c r="AK947261" s="5"/>
    </row>
    <row r="947271" spans="25:37" x14ac:dyDescent="0.2">
      <c r="Y947271" s="251"/>
      <c r="AB947271" s="251"/>
      <c r="AE947271" s="251"/>
      <c r="AH947271" s="251"/>
      <c r="AK947271" s="251"/>
    </row>
    <row r="947386" spans="25:37" x14ac:dyDescent="0.2">
      <c r="Y947386" s="5"/>
      <c r="AB947386" s="5"/>
      <c r="AE947386" s="5"/>
      <c r="AH947386" s="5"/>
      <c r="AK947386" s="5"/>
    </row>
    <row r="947396" spans="25:37" x14ac:dyDescent="0.2">
      <c r="Y947396" s="251"/>
      <c r="AB947396" s="251"/>
      <c r="AE947396" s="251"/>
      <c r="AH947396" s="251"/>
      <c r="AK947396" s="251"/>
    </row>
    <row r="947511" spans="25:37" x14ac:dyDescent="0.2">
      <c r="Y947511" s="5"/>
      <c r="AB947511" s="5"/>
      <c r="AE947511" s="5"/>
      <c r="AH947511" s="5"/>
      <c r="AK947511" s="5"/>
    </row>
    <row r="947521" spans="25:37" x14ac:dyDescent="0.2">
      <c r="Y947521" s="251"/>
      <c r="AB947521" s="251"/>
      <c r="AE947521" s="251"/>
      <c r="AH947521" s="251"/>
      <c r="AK947521" s="251"/>
    </row>
    <row r="947636" spans="25:37" x14ac:dyDescent="0.2">
      <c r="Y947636" s="5"/>
      <c r="AB947636" s="5"/>
      <c r="AE947636" s="5"/>
      <c r="AH947636" s="5"/>
      <c r="AK947636" s="5"/>
    </row>
    <row r="947646" spans="25:37" x14ac:dyDescent="0.2">
      <c r="Y947646" s="251"/>
      <c r="AB947646" s="251"/>
      <c r="AE947646" s="251"/>
      <c r="AH947646" s="251"/>
      <c r="AK947646" s="251"/>
    </row>
    <row r="947761" spans="25:37" x14ac:dyDescent="0.2">
      <c r="Y947761" s="5"/>
      <c r="AB947761" s="5"/>
      <c r="AE947761" s="5"/>
      <c r="AH947761" s="5"/>
      <c r="AK947761" s="5"/>
    </row>
    <row r="947771" spans="25:37" x14ac:dyDescent="0.2">
      <c r="Y947771" s="251"/>
      <c r="AB947771" s="251"/>
      <c r="AE947771" s="251"/>
      <c r="AH947771" s="251"/>
      <c r="AK947771" s="251"/>
    </row>
    <row r="947886" spans="25:37" x14ac:dyDescent="0.2">
      <c r="Y947886" s="5"/>
      <c r="AB947886" s="5"/>
      <c r="AE947886" s="5"/>
      <c r="AH947886" s="5"/>
      <c r="AK947886" s="5"/>
    </row>
    <row r="947896" spans="25:37" x14ac:dyDescent="0.2">
      <c r="Y947896" s="251"/>
      <c r="AB947896" s="251"/>
      <c r="AE947896" s="251"/>
      <c r="AH947896" s="251"/>
      <c r="AK947896" s="251"/>
    </row>
    <row r="948011" spans="25:37" x14ac:dyDescent="0.2">
      <c r="Y948011" s="5"/>
      <c r="AB948011" s="5"/>
      <c r="AE948011" s="5"/>
      <c r="AH948011" s="5"/>
      <c r="AK948011" s="5"/>
    </row>
    <row r="948021" spans="25:37" x14ac:dyDescent="0.2">
      <c r="Y948021" s="251"/>
      <c r="AB948021" s="251"/>
      <c r="AE948021" s="251"/>
      <c r="AH948021" s="251"/>
      <c r="AK948021" s="251"/>
    </row>
    <row r="948136" spans="25:37" x14ac:dyDescent="0.2">
      <c r="Y948136" s="5"/>
      <c r="AB948136" s="5"/>
      <c r="AE948136" s="5"/>
      <c r="AH948136" s="5"/>
      <c r="AK948136" s="5"/>
    </row>
    <row r="948146" spans="25:37" x14ac:dyDescent="0.2">
      <c r="Y948146" s="251"/>
      <c r="AB948146" s="251"/>
      <c r="AE948146" s="251"/>
      <c r="AH948146" s="251"/>
      <c r="AK948146" s="251"/>
    </row>
    <row r="948261" spans="25:37" x14ac:dyDescent="0.2">
      <c r="Y948261" s="5"/>
      <c r="AB948261" s="5"/>
      <c r="AE948261" s="5"/>
      <c r="AH948261" s="5"/>
      <c r="AK948261" s="5"/>
    </row>
    <row r="948271" spans="25:37" x14ac:dyDescent="0.2">
      <c r="Y948271" s="251"/>
      <c r="AB948271" s="251"/>
      <c r="AE948271" s="251"/>
      <c r="AH948271" s="251"/>
      <c r="AK948271" s="251"/>
    </row>
    <row r="948386" spans="25:37" x14ac:dyDescent="0.2">
      <c r="Y948386" s="5"/>
      <c r="AB948386" s="5"/>
      <c r="AE948386" s="5"/>
      <c r="AH948386" s="5"/>
      <c r="AK948386" s="5"/>
    </row>
    <row r="948396" spans="25:37" x14ac:dyDescent="0.2">
      <c r="Y948396" s="251"/>
      <c r="AB948396" s="251"/>
      <c r="AE948396" s="251"/>
      <c r="AH948396" s="251"/>
      <c r="AK948396" s="251"/>
    </row>
    <row r="948511" spans="25:37" x14ac:dyDescent="0.2">
      <c r="Y948511" s="5"/>
      <c r="AB948511" s="5"/>
      <c r="AE948511" s="5"/>
      <c r="AH948511" s="5"/>
      <c r="AK948511" s="5"/>
    </row>
    <row r="948521" spans="25:37" x14ac:dyDescent="0.2">
      <c r="Y948521" s="251"/>
      <c r="AB948521" s="251"/>
      <c r="AE948521" s="251"/>
      <c r="AH948521" s="251"/>
      <c r="AK948521" s="251"/>
    </row>
    <row r="948636" spans="25:37" x14ac:dyDescent="0.2">
      <c r="Y948636" s="5"/>
      <c r="AB948636" s="5"/>
      <c r="AE948636" s="5"/>
      <c r="AH948636" s="5"/>
      <c r="AK948636" s="5"/>
    </row>
    <row r="948646" spans="25:37" x14ac:dyDescent="0.2">
      <c r="Y948646" s="251"/>
      <c r="AB948646" s="251"/>
      <c r="AE948646" s="251"/>
      <c r="AH948646" s="251"/>
      <c r="AK948646" s="251"/>
    </row>
    <row r="948761" spans="25:37" x14ac:dyDescent="0.2">
      <c r="Y948761" s="5"/>
      <c r="AB948761" s="5"/>
      <c r="AE948761" s="5"/>
      <c r="AH948761" s="5"/>
      <c r="AK948761" s="5"/>
    </row>
    <row r="948771" spans="25:37" x14ac:dyDescent="0.2">
      <c r="Y948771" s="251"/>
      <c r="AB948771" s="251"/>
      <c r="AE948771" s="251"/>
      <c r="AH948771" s="251"/>
      <c r="AK948771" s="251"/>
    </row>
    <row r="948886" spans="25:37" x14ac:dyDescent="0.2">
      <c r="Y948886" s="5"/>
      <c r="AB948886" s="5"/>
      <c r="AE948886" s="5"/>
      <c r="AH948886" s="5"/>
      <c r="AK948886" s="5"/>
    </row>
    <row r="948896" spans="25:37" x14ac:dyDescent="0.2">
      <c r="Y948896" s="251"/>
      <c r="AB948896" s="251"/>
      <c r="AE948896" s="251"/>
      <c r="AH948896" s="251"/>
      <c r="AK948896" s="251"/>
    </row>
    <row r="949011" spans="25:37" x14ac:dyDescent="0.2">
      <c r="Y949011" s="5"/>
      <c r="AB949011" s="5"/>
      <c r="AE949011" s="5"/>
      <c r="AH949011" s="5"/>
      <c r="AK949011" s="5"/>
    </row>
    <row r="949021" spans="25:37" x14ac:dyDescent="0.2">
      <c r="Y949021" s="251"/>
      <c r="AB949021" s="251"/>
      <c r="AE949021" s="251"/>
      <c r="AH949021" s="251"/>
      <c r="AK949021" s="251"/>
    </row>
    <row r="949136" spans="25:37" x14ac:dyDescent="0.2">
      <c r="Y949136" s="5"/>
      <c r="AB949136" s="5"/>
      <c r="AE949136" s="5"/>
      <c r="AH949136" s="5"/>
      <c r="AK949136" s="5"/>
    </row>
    <row r="949146" spans="25:37" x14ac:dyDescent="0.2">
      <c r="Y949146" s="251"/>
      <c r="AB949146" s="251"/>
      <c r="AE949146" s="251"/>
      <c r="AH949146" s="251"/>
      <c r="AK949146" s="251"/>
    </row>
    <row r="949261" spans="25:37" x14ac:dyDescent="0.2">
      <c r="Y949261" s="5"/>
      <c r="AB949261" s="5"/>
      <c r="AE949261" s="5"/>
      <c r="AH949261" s="5"/>
      <c r="AK949261" s="5"/>
    </row>
    <row r="949271" spans="25:37" x14ac:dyDescent="0.2">
      <c r="Y949271" s="251"/>
      <c r="AB949271" s="251"/>
      <c r="AE949271" s="251"/>
      <c r="AH949271" s="251"/>
      <c r="AK949271" s="251"/>
    </row>
    <row r="949386" spans="25:37" x14ac:dyDescent="0.2">
      <c r="Y949386" s="5"/>
      <c r="AB949386" s="5"/>
      <c r="AE949386" s="5"/>
      <c r="AH949386" s="5"/>
      <c r="AK949386" s="5"/>
    </row>
    <row r="949396" spans="25:37" x14ac:dyDescent="0.2">
      <c r="Y949396" s="251"/>
      <c r="AB949396" s="251"/>
      <c r="AE949396" s="251"/>
      <c r="AH949396" s="251"/>
      <c r="AK949396" s="251"/>
    </row>
    <row r="949511" spans="25:37" x14ac:dyDescent="0.2">
      <c r="Y949511" s="5"/>
      <c r="AB949511" s="5"/>
      <c r="AE949511" s="5"/>
      <c r="AH949511" s="5"/>
      <c r="AK949511" s="5"/>
    </row>
    <row r="949521" spans="25:37" x14ac:dyDescent="0.2">
      <c r="Y949521" s="251"/>
      <c r="AB949521" s="251"/>
      <c r="AE949521" s="251"/>
      <c r="AH949521" s="251"/>
      <c r="AK949521" s="251"/>
    </row>
    <row r="949636" spans="25:37" x14ac:dyDescent="0.2">
      <c r="Y949636" s="5"/>
      <c r="AB949636" s="5"/>
      <c r="AE949636" s="5"/>
      <c r="AH949636" s="5"/>
      <c r="AK949636" s="5"/>
    </row>
    <row r="949646" spans="25:37" x14ac:dyDescent="0.2">
      <c r="Y949646" s="251"/>
      <c r="AB949646" s="251"/>
      <c r="AE949646" s="251"/>
      <c r="AH949646" s="251"/>
      <c r="AK949646" s="251"/>
    </row>
    <row r="949761" spans="25:37" x14ac:dyDescent="0.2">
      <c r="Y949761" s="5"/>
      <c r="AB949761" s="5"/>
      <c r="AE949761" s="5"/>
      <c r="AH949761" s="5"/>
      <c r="AK949761" s="5"/>
    </row>
    <row r="949771" spans="25:37" x14ac:dyDescent="0.2">
      <c r="Y949771" s="251"/>
      <c r="AB949771" s="251"/>
      <c r="AE949771" s="251"/>
      <c r="AH949771" s="251"/>
      <c r="AK949771" s="251"/>
    </row>
    <row r="949886" spans="25:37" x14ac:dyDescent="0.2">
      <c r="Y949886" s="5"/>
      <c r="AB949886" s="5"/>
      <c r="AE949886" s="5"/>
      <c r="AH949886" s="5"/>
      <c r="AK949886" s="5"/>
    </row>
    <row r="949896" spans="25:37" x14ac:dyDescent="0.2">
      <c r="Y949896" s="251"/>
      <c r="AB949896" s="251"/>
      <c r="AE949896" s="251"/>
      <c r="AH949896" s="251"/>
      <c r="AK949896" s="251"/>
    </row>
    <row r="950011" spans="25:37" x14ac:dyDescent="0.2">
      <c r="Y950011" s="5"/>
      <c r="AB950011" s="5"/>
      <c r="AE950011" s="5"/>
      <c r="AH950011" s="5"/>
      <c r="AK950011" s="5"/>
    </row>
    <row r="950021" spans="25:37" x14ac:dyDescent="0.2">
      <c r="Y950021" s="251"/>
      <c r="AB950021" s="251"/>
      <c r="AE950021" s="251"/>
      <c r="AH950021" s="251"/>
      <c r="AK950021" s="251"/>
    </row>
    <row r="950136" spans="25:37" x14ac:dyDescent="0.2">
      <c r="Y950136" s="5"/>
      <c r="AB950136" s="5"/>
      <c r="AE950136" s="5"/>
      <c r="AH950136" s="5"/>
      <c r="AK950136" s="5"/>
    </row>
    <row r="950146" spans="25:37" x14ac:dyDescent="0.2">
      <c r="Y950146" s="251"/>
      <c r="AB950146" s="251"/>
      <c r="AE950146" s="251"/>
      <c r="AH950146" s="251"/>
      <c r="AK950146" s="251"/>
    </row>
    <row r="950261" spans="25:37" x14ac:dyDescent="0.2">
      <c r="Y950261" s="5"/>
      <c r="AB950261" s="5"/>
      <c r="AE950261" s="5"/>
      <c r="AH950261" s="5"/>
      <c r="AK950261" s="5"/>
    </row>
    <row r="950271" spans="25:37" x14ac:dyDescent="0.2">
      <c r="Y950271" s="251"/>
      <c r="AB950271" s="251"/>
      <c r="AE950271" s="251"/>
      <c r="AH950271" s="251"/>
      <c r="AK950271" s="251"/>
    </row>
    <row r="950386" spans="25:37" x14ac:dyDescent="0.2">
      <c r="Y950386" s="5"/>
      <c r="AB950386" s="5"/>
      <c r="AE950386" s="5"/>
      <c r="AH950386" s="5"/>
      <c r="AK950386" s="5"/>
    </row>
    <row r="950396" spans="25:37" x14ac:dyDescent="0.2">
      <c r="Y950396" s="251"/>
      <c r="AB950396" s="251"/>
      <c r="AE950396" s="251"/>
      <c r="AH950396" s="251"/>
      <c r="AK950396" s="251"/>
    </row>
    <row r="950511" spans="25:37" x14ac:dyDescent="0.2">
      <c r="Y950511" s="5"/>
      <c r="AB950511" s="5"/>
      <c r="AE950511" s="5"/>
      <c r="AH950511" s="5"/>
      <c r="AK950511" s="5"/>
    </row>
    <row r="950521" spans="25:37" x14ac:dyDescent="0.2">
      <c r="Y950521" s="251"/>
      <c r="AB950521" s="251"/>
      <c r="AE950521" s="251"/>
      <c r="AH950521" s="251"/>
      <c r="AK950521" s="251"/>
    </row>
    <row r="950636" spans="25:37" x14ac:dyDescent="0.2">
      <c r="Y950636" s="5"/>
      <c r="AB950636" s="5"/>
      <c r="AE950636" s="5"/>
      <c r="AH950636" s="5"/>
      <c r="AK950636" s="5"/>
    </row>
    <row r="950646" spans="25:37" x14ac:dyDescent="0.2">
      <c r="Y950646" s="251"/>
      <c r="AB950646" s="251"/>
      <c r="AE950646" s="251"/>
      <c r="AH950646" s="251"/>
      <c r="AK950646" s="251"/>
    </row>
    <row r="950761" spans="25:37" x14ac:dyDescent="0.2">
      <c r="Y950761" s="5"/>
      <c r="AB950761" s="5"/>
      <c r="AE950761" s="5"/>
      <c r="AH950761" s="5"/>
      <c r="AK950761" s="5"/>
    </row>
    <row r="950771" spans="25:37" x14ac:dyDescent="0.2">
      <c r="Y950771" s="251"/>
      <c r="AB950771" s="251"/>
      <c r="AE950771" s="251"/>
      <c r="AH950771" s="251"/>
      <c r="AK950771" s="251"/>
    </row>
    <row r="950886" spans="25:37" x14ac:dyDescent="0.2">
      <c r="Y950886" s="5"/>
      <c r="AB950886" s="5"/>
      <c r="AE950886" s="5"/>
      <c r="AH950886" s="5"/>
      <c r="AK950886" s="5"/>
    </row>
    <row r="950896" spans="25:37" x14ac:dyDescent="0.2">
      <c r="Y950896" s="251"/>
      <c r="AB950896" s="251"/>
      <c r="AE950896" s="251"/>
      <c r="AH950896" s="251"/>
      <c r="AK950896" s="251"/>
    </row>
    <row r="951011" spans="25:37" x14ac:dyDescent="0.2">
      <c r="Y951011" s="5"/>
      <c r="AB951011" s="5"/>
      <c r="AE951011" s="5"/>
      <c r="AH951011" s="5"/>
      <c r="AK951011" s="5"/>
    </row>
    <row r="951021" spans="25:37" x14ac:dyDescent="0.2">
      <c r="Y951021" s="251"/>
      <c r="AB951021" s="251"/>
      <c r="AE951021" s="251"/>
      <c r="AH951021" s="251"/>
      <c r="AK951021" s="251"/>
    </row>
    <row r="951136" spans="25:37" x14ac:dyDescent="0.2">
      <c r="Y951136" s="5"/>
      <c r="AB951136" s="5"/>
      <c r="AE951136" s="5"/>
      <c r="AH951136" s="5"/>
      <c r="AK951136" s="5"/>
    </row>
    <row r="951146" spans="25:37" x14ac:dyDescent="0.2">
      <c r="Y951146" s="251"/>
      <c r="AB951146" s="251"/>
      <c r="AE951146" s="251"/>
      <c r="AH951146" s="251"/>
      <c r="AK951146" s="251"/>
    </row>
    <row r="951261" spans="25:37" x14ac:dyDescent="0.2">
      <c r="Y951261" s="5"/>
      <c r="AB951261" s="5"/>
      <c r="AE951261" s="5"/>
      <c r="AH951261" s="5"/>
      <c r="AK951261" s="5"/>
    </row>
    <row r="951271" spans="25:37" x14ac:dyDescent="0.2">
      <c r="Y951271" s="251"/>
      <c r="AB951271" s="251"/>
      <c r="AE951271" s="251"/>
      <c r="AH951271" s="251"/>
      <c r="AK951271" s="251"/>
    </row>
    <row r="951386" spans="25:37" x14ac:dyDescent="0.2">
      <c r="Y951386" s="5"/>
      <c r="AB951386" s="5"/>
      <c r="AE951386" s="5"/>
      <c r="AH951386" s="5"/>
      <c r="AK951386" s="5"/>
    </row>
    <row r="951396" spans="25:37" x14ac:dyDescent="0.2">
      <c r="Y951396" s="251"/>
      <c r="AB951396" s="251"/>
      <c r="AE951396" s="251"/>
      <c r="AH951396" s="251"/>
      <c r="AK951396" s="251"/>
    </row>
    <row r="951511" spans="25:37" x14ac:dyDescent="0.2">
      <c r="Y951511" s="5"/>
      <c r="AB951511" s="5"/>
      <c r="AE951511" s="5"/>
      <c r="AH951511" s="5"/>
      <c r="AK951511" s="5"/>
    </row>
    <row r="951521" spans="25:37" x14ac:dyDescent="0.2">
      <c r="Y951521" s="251"/>
      <c r="AB951521" s="251"/>
      <c r="AE951521" s="251"/>
      <c r="AH951521" s="251"/>
      <c r="AK951521" s="251"/>
    </row>
    <row r="951636" spans="25:37" x14ac:dyDescent="0.2">
      <c r="Y951636" s="5"/>
      <c r="AB951636" s="5"/>
      <c r="AE951636" s="5"/>
      <c r="AH951636" s="5"/>
      <c r="AK951636" s="5"/>
    </row>
    <row r="951646" spans="25:37" x14ac:dyDescent="0.2">
      <c r="Y951646" s="251"/>
      <c r="AB951646" s="251"/>
      <c r="AE951646" s="251"/>
      <c r="AH951646" s="251"/>
      <c r="AK951646" s="251"/>
    </row>
    <row r="951761" spans="25:37" x14ac:dyDescent="0.2">
      <c r="Y951761" s="5"/>
      <c r="AB951761" s="5"/>
      <c r="AE951761" s="5"/>
      <c r="AH951761" s="5"/>
      <c r="AK951761" s="5"/>
    </row>
    <row r="951771" spans="25:37" x14ac:dyDescent="0.2">
      <c r="Y951771" s="251"/>
      <c r="AB951771" s="251"/>
      <c r="AE951771" s="251"/>
      <c r="AH951771" s="251"/>
      <c r="AK951771" s="251"/>
    </row>
    <row r="951886" spans="25:37" x14ac:dyDescent="0.2">
      <c r="Y951886" s="5"/>
      <c r="AB951886" s="5"/>
      <c r="AE951886" s="5"/>
      <c r="AH951886" s="5"/>
      <c r="AK951886" s="5"/>
    </row>
    <row r="951896" spans="25:37" x14ac:dyDescent="0.2">
      <c r="Y951896" s="251"/>
      <c r="AB951896" s="251"/>
      <c r="AE951896" s="251"/>
      <c r="AH951896" s="251"/>
      <c r="AK951896" s="251"/>
    </row>
    <row r="952011" spans="25:37" x14ac:dyDescent="0.2">
      <c r="Y952011" s="5"/>
      <c r="AB952011" s="5"/>
      <c r="AE952011" s="5"/>
      <c r="AH952011" s="5"/>
      <c r="AK952011" s="5"/>
    </row>
    <row r="952021" spans="25:37" x14ac:dyDescent="0.2">
      <c r="Y952021" s="251"/>
      <c r="AB952021" s="251"/>
      <c r="AE952021" s="251"/>
      <c r="AH952021" s="251"/>
      <c r="AK952021" s="251"/>
    </row>
    <row r="952136" spans="25:37" x14ac:dyDescent="0.2">
      <c r="Y952136" s="5"/>
      <c r="AB952136" s="5"/>
      <c r="AE952136" s="5"/>
      <c r="AH952136" s="5"/>
      <c r="AK952136" s="5"/>
    </row>
    <row r="952146" spans="25:37" x14ac:dyDescent="0.2">
      <c r="Y952146" s="251"/>
      <c r="AB952146" s="251"/>
      <c r="AE952146" s="251"/>
      <c r="AH952146" s="251"/>
      <c r="AK952146" s="251"/>
    </row>
    <row r="952261" spans="25:37" x14ac:dyDescent="0.2">
      <c r="Y952261" s="5"/>
      <c r="AB952261" s="5"/>
      <c r="AE952261" s="5"/>
      <c r="AH952261" s="5"/>
      <c r="AK952261" s="5"/>
    </row>
    <row r="952271" spans="25:37" x14ac:dyDescent="0.2">
      <c r="Y952271" s="251"/>
      <c r="AB952271" s="251"/>
      <c r="AE952271" s="251"/>
      <c r="AH952271" s="251"/>
      <c r="AK952271" s="251"/>
    </row>
    <row r="952386" spans="25:37" x14ac:dyDescent="0.2">
      <c r="Y952386" s="5"/>
      <c r="AB952386" s="5"/>
      <c r="AE952386" s="5"/>
      <c r="AH952386" s="5"/>
      <c r="AK952386" s="5"/>
    </row>
    <row r="952396" spans="25:37" x14ac:dyDescent="0.2">
      <c r="Y952396" s="251"/>
      <c r="AB952396" s="251"/>
      <c r="AE952396" s="251"/>
      <c r="AH952396" s="251"/>
      <c r="AK952396" s="251"/>
    </row>
    <row r="952511" spans="25:37" x14ac:dyDescent="0.2">
      <c r="Y952511" s="5"/>
      <c r="AB952511" s="5"/>
      <c r="AE952511" s="5"/>
      <c r="AH952511" s="5"/>
      <c r="AK952511" s="5"/>
    </row>
    <row r="952521" spans="25:37" x14ac:dyDescent="0.2">
      <c r="Y952521" s="251"/>
      <c r="AB952521" s="251"/>
      <c r="AE952521" s="251"/>
      <c r="AH952521" s="251"/>
      <c r="AK952521" s="251"/>
    </row>
    <row r="952636" spans="25:37" x14ac:dyDescent="0.2">
      <c r="Y952636" s="5"/>
      <c r="AB952636" s="5"/>
      <c r="AE952636" s="5"/>
      <c r="AH952636" s="5"/>
      <c r="AK952636" s="5"/>
    </row>
    <row r="952646" spans="25:37" x14ac:dyDescent="0.2">
      <c r="Y952646" s="251"/>
      <c r="AB952646" s="251"/>
      <c r="AE952646" s="251"/>
      <c r="AH952646" s="251"/>
      <c r="AK952646" s="251"/>
    </row>
    <row r="952761" spans="25:37" x14ac:dyDescent="0.2">
      <c r="Y952761" s="5"/>
      <c r="AB952761" s="5"/>
      <c r="AE952761" s="5"/>
      <c r="AH952761" s="5"/>
      <c r="AK952761" s="5"/>
    </row>
    <row r="952771" spans="25:37" x14ac:dyDescent="0.2">
      <c r="Y952771" s="251"/>
      <c r="AB952771" s="251"/>
      <c r="AE952771" s="251"/>
      <c r="AH952771" s="251"/>
      <c r="AK952771" s="251"/>
    </row>
    <row r="952886" spans="25:37" x14ac:dyDescent="0.2">
      <c r="Y952886" s="5"/>
      <c r="AB952886" s="5"/>
      <c r="AE952886" s="5"/>
      <c r="AH952886" s="5"/>
      <c r="AK952886" s="5"/>
    </row>
    <row r="952896" spans="25:37" x14ac:dyDescent="0.2">
      <c r="Y952896" s="251"/>
      <c r="AB952896" s="251"/>
      <c r="AE952896" s="251"/>
      <c r="AH952896" s="251"/>
      <c r="AK952896" s="251"/>
    </row>
    <row r="953011" spans="25:37" x14ac:dyDescent="0.2">
      <c r="Y953011" s="5"/>
      <c r="AB953011" s="5"/>
      <c r="AE953011" s="5"/>
      <c r="AH953011" s="5"/>
      <c r="AK953011" s="5"/>
    </row>
    <row r="953021" spans="25:37" x14ac:dyDescent="0.2">
      <c r="Y953021" s="251"/>
      <c r="AB953021" s="251"/>
      <c r="AE953021" s="251"/>
      <c r="AH953021" s="251"/>
      <c r="AK953021" s="251"/>
    </row>
    <row r="953136" spans="25:37" x14ac:dyDescent="0.2">
      <c r="Y953136" s="5"/>
      <c r="AB953136" s="5"/>
      <c r="AE953136" s="5"/>
      <c r="AH953136" s="5"/>
      <c r="AK953136" s="5"/>
    </row>
    <row r="953146" spans="25:37" x14ac:dyDescent="0.2">
      <c r="Y953146" s="251"/>
      <c r="AB953146" s="251"/>
      <c r="AE953146" s="251"/>
      <c r="AH953146" s="251"/>
      <c r="AK953146" s="251"/>
    </row>
    <row r="953261" spans="25:37" x14ac:dyDescent="0.2">
      <c r="Y953261" s="5"/>
      <c r="AB953261" s="5"/>
      <c r="AE953261" s="5"/>
      <c r="AH953261" s="5"/>
      <c r="AK953261" s="5"/>
    </row>
    <row r="953271" spans="25:37" x14ac:dyDescent="0.2">
      <c r="Y953271" s="251"/>
      <c r="AB953271" s="251"/>
      <c r="AE953271" s="251"/>
      <c r="AH953271" s="251"/>
      <c r="AK953271" s="251"/>
    </row>
    <row r="953386" spans="25:37" x14ac:dyDescent="0.2">
      <c r="Y953386" s="5"/>
      <c r="AB953386" s="5"/>
      <c r="AE953386" s="5"/>
      <c r="AH953386" s="5"/>
      <c r="AK953386" s="5"/>
    </row>
    <row r="953396" spans="25:37" x14ac:dyDescent="0.2">
      <c r="Y953396" s="251"/>
      <c r="AB953396" s="251"/>
      <c r="AE953396" s="251"/>
      <c r="AH953396" s="251"/>
      <c r="AK953396" s="251"/>
    </row>
    <row r="953511" spans="25:37" x14ac:dyDescent="0.2">
      <c r="Y953511" s="5"/>
      <c r="AB953511" s="5"/>
      <c r="AE953511" s="5"/>
      <c r="AH953511" s="5"/>
      <c r="AK953511" s="5"/>
    </row>
    <row r="953521" spans="25:37" x14ac:dyDescent="0.2">
      <c r="Y953521" s="251"/>
      <c r="AB953521" s="251"/>
      <c r="AE953521" s="251"/>
      <c r="AH953521" s="251"/>
      <c r="AK953521" s="251"/>
    </row>
    <row r="953636" spans="25:37" x14ac:dyDescent="0.2">
      <c r="Y953636" s="5"/>
      <c r="AB953636" s="5"/>
      <c r="AE953636" s="5"/>
      <c r="AH953636" s="5"/>
      <c r="AK953636" s="5"/>
    </row>
    <row r="953646" spans="25:37" x14ac:dyDescent="0.2">
      <c r="Y953646" s="251"/>
      <c r="AB953646" s="251"/>
      <c r="AE953646" s="251"/>
      <c r="AH953646" s="251"/>
      <c r="AK953646" s="251"/>
    </row>
    <row r="953761" spans="25:37" x14ac:dyDescent="0.2">
      <c r="Y953761" s="5"/>
      <c r="AB953761" s="5"/>
      <c r="AE953761" s="5"/>
      <c r="AH953761" s="5"/>
      <c r="AK953761" s="5"/>
    </row>
    <row r="953771" spans="25:37" x14ac:dyDescent="0.2">
      <c r="Y953771" s="251"/>
      <c r="AB953771" s="251"/>
      <c r="AE953771" s="251"/>
      <c r="AH953771" s="251"/>
      <c r="AK953771" s="251"/>
    </row>
    <row r="953886" spans="25:37" x14ac:dyDescent="0.2">
      <c r="Y953886" s="5"/>
      <c r="AB953886" s="5"/>
      <c r="AE953886" s="5"/>
      <c r="AH953886" s="5"/>
      <c r="AK953886" s="5"/>
    </row>
    <row r="953896" spans="25:37" x14ac:dyDescent="0.2">
      <c r="Y953896" s="251"/>
      <c r="AB953896" s="251"/>
      <c r="AE953896" s="251"/>
      <c r="AH953896" s="251"/>
      <c r="AK953896" s="251"/>
    </row>
    <row r="954011" spans="25:37" x14ac:dyDescent="0.2">
      <c r="Y954011" s="5"/>
      <c r="AB954011" s="5"/>
      <c r="AE954011" s="5"/>
      <c r="AH954011" s="5"/>
      <c r="AK954011" s="5"/>
    </row>
    <row r="954021" spans="25:37" x14ac:dyDescent="0.2">
      <c r="Y954021" s="251"/>
      <c r="AB954021" s="251"/>
      <c r="AE954021" s="251"/>
      <c r="AH954021" s="251"/>
      <c r="AK954021" s="251"/>
    </row>
    <row r="954136" spans="25:37" x14ac:dyDescent="0.2">
      <c r="Y954136" s="5"/>
      <c r="AB954136" s="5"/>
      <c r="AE954136" s="5"/>
      <c r="AH954136" s="5"/>
      <c r="AK954136" s="5"/>
    </row>
    <row r="954146" spans="25:37" x14ac:dyDescent="0.2">
      <c r="Y954146" s="251"/>
      <c r="AB954146" s="251"/>
      <c r="AE954146" s="251"/>
      <c r="AH954146" s="251"/>
      <c r="AK954146" s="251"/>
    </row>
    <row r="954261" spans="25:37" x14ac:dyDescent="0.2">
      <c r="Y954261" s="5"/>
      <c r="AB954261" s="5"/>
      <c r="AE954261" s="5"/>
      <c r="AH954261" s="5"/>
      <c r="AK954261" s="5"/>
    </row>
    <row r="954271" spans="25:37" x14ac:dyDescent="0.2">
      <c r="Y954271" s="251"/>
      <c r="AB954271" s="251"/>
      <c r="AE954271" s="251"/>
      <c r="AH954271" s="251"/>
      <c r="AK954271" s="251"/>
    </row>
    <row r="954386" spans="25:37" x14ac:dyDescent="0.2">
      <c r="Y954386" s="5"/>
      <c r="AB954386" s="5"/>
      <c r="AE954386" s="5"/>
      <c r="AH954386" s="5"/>
      <c r="AK954386" s="5"/>
    </row>
    <row r="954396" spans="25:37" x14ac:dyDescent="0.2">
      <c r="Y954396" s="251"/>
      <c r="AB954396" s="251"/>
      <c r="AE954396" s="251"/>
      <c r="AH954396" s="251"/>
      <c r="AK954396" s="251"/>
    </row>
    <row r="954511" spans="25:37" x14ac:dyDescent="0.2">
      <c r="Y954511" s="5"/>
      <c r="AB954511" s="5"/>
      <c r="AE954511" s="5"/>
      <c r="AH954511" s="5"/>
      <c r="AK954511" s="5"/>
    </row>
    <row r="954521" spans="25:37" x14ac:dyDescent="0.2">
      <c r="Y954521" s="251"/>
      <c r="AB954521" s="251"/>
      <c r="AE954521" s="251"/>
      <c r="AH954521" s="251"/>
      <c r="AK954521" s="251"/>
    </row>
    <row r="954636" spans="25:37" x14ac:dyDescent="0.2">
      <c r="Y954636" s="5"/>
      <c r="AB954636" s="5"/>
      <c r="AE954636" s="5"/>
      <c r="AH954636" s="5"/>
      <c r="AK954636" s="5"/>
    </row>
    <row r="954646" spans="25:37" x14ac:dyDescent="0.2">
      <c r="Y954646" s="251"/>
      <c r="AB954646" s="251"/>
      <c r="AE954646" s="251"/>
      <c r="AH954646" s="251"/>
      <c r="AK954646" s="251"/>
    </row>
    <row r="954761" spans="25:37" x14ac:dyDescent="0.2">
      <c r="Y954761" s="5"/>
      <c r="AB954761" s="5"/>
      <c r="AE954761" s="5"/>
      <c r="AH954761" s="5"/>
      <c r="AK954761" s="5"/>
    </row>
    <row r="954771" spans="25:37" x14ac:dyDescent="0.2">
      <c r="Y954771" s="251"/>
      <c r="AB954771" s="251"/>
      <c r="AE954771" s="251"/>
      <c r="AH954771" s="251"/>
      <c r="AK954771" s="251"/>
    </row>
    <row r="954886" spans="25:37" x14ac:dyDescent="0.2">
      <c r="Y954886" s="5"/>
      <c r="AB954886" s="5"/>
      <c r="AE954886" s="5"/>
      <c r="AH954886" s="5"/>
      <c r="AK954886" s="5"/>
    </row>
    <row r="954896" spans="25:37" x14ac:dyDescent="0.2">
      <c r="Y954896" s="251"/>
      <c r="AB954896" s="251"/>
      <c r="AE954896" s="251"/>
      <c r="AH954896" s="251"/>
      <c r="AK954896" s="251"/>
    </row>
    <row r="955011" spans="25:37" x14ac:dyDescent="0.2">
      <c r="Y955011" s="5"/>
      <c r="AB955011" s="5"/>
      <c r="AE955011" s="5"/>
      <c r="AH955011" s="5"/>
      <c r="AK955011" s="5"/>
    </row>
    <row r="955021" spans="25:37" x14ac:dyDescent="0.2">
      <c r="Y955021" s="251"/>
      <c r="AB955021" s="251"/>
      <c r="AE955021" s="251"/>
      <c r="AH955021" s="251"/>
      <c r="AK955021" s="251"/>
    </row>
    <row r="955136" spans="25:37" x14ac:dyDescent="0.2">
      <c r="Y955136" s="5"/>
      <c r="AB955136" s="5"/>
      <c r="AE955136" s="5"/>
      <c r="AH955136" s="5"/>
      <c r="AK955136" s="5"/>
    </row>
    <row r="955146" spans="25:37" x14ac:dyDescent="0.2">
      <c r="Y955146" s="251"/>
      <c r="AB955146" s="251"/>
      <c r="AE955146" s="251"/>
      <c r="AH955146" s="251"/>
      <c r="AK955146" s="251"/>
    </row>
    <row r="955261" spans="25:37" x14ac:dyDescent="0.2">
      <c r="Y955261" s="5"/>
      <c r="AB955261" s="5"/>
      <c r="AE955261" s="5"/>
      <c r="AH955261" s="5"/>
      <c r="AK955261" s="5"/>
    </row>
    <row r="955271" spans="25:37" x14ac:dyDescent="0.2">
      <c r="Y955271" s="251"/>
      <c r="AB955271" s="251"/>
      <c r="AE955271" s="251"/>
      <c r="AH955271" s="251"/>
      <c r="AK955271" s="251"/>
    </row>
    <row r="955386" spans="25:37" x14ac:dyDescent="0.2">
      <c r="Y955386" s="5"/>
      <c r="AB955386" s="5"/>
      <c r="AE955386" s="5"/>
      <c r="AH955386" s="5"/>
      <c r="AK955386" s="5"/>
    </row>
    <row r="955396" spans="25:37" x14ac:dyDescent="0.2">
      <c r="Y955396" s="251"/>
      <c r="AB955396" s="251"/>
      <c r="AE955396" s="251"/>
      <c r="AH955396" s="251"/>
      <c r="AK955396" s="251"/>
    </row>
    <row r="955511" spans="25:37" x14ac:dyDescent="0.2">
      <c r="Y955511" s="5"/>
      <c r="AB955511" s="5"/>
      <c r="AE955511" s="5"/>
      <c r="AH955511" s="5"/>
      <c r="AK955511" s="5"/>
    </row>
    <row r="955521" spans="25:37" x14ac:dyDescent="0.2">
      <c r="Y955521" s="251"/>
      <c r="AB955521" s="251"/>
      <c r="AE955521" s="251"/>
      <c r="AH955521" s="251"/>
      <c r="AK955521" s="251"/>
    </row>
    <row r="955636" spans="25:37" x14ac:dyDescent="0.2">
      <c r="Y955636" s="5"/>
      <c r="AB955636" s="5"/>
      <c r="AE955636" s="5"/>
      <c r="AH955636" s="5"/>
      <c r="AK955636" s="5"/>
    </row>
    <row r="955646" spans="25:37" x14ac:dyDescent="0.2">
      <c r="Y955646" s="251"/>
      <c r="AB955646" s="251"/>
      <c r="AE955646" s="251"/>
      <c r="AH955646" s="251"/>
      <c r="AK955646" s="251"/>
    </row>
    <row r="955761" spans="25:37" x14ac:dyDescent="0.2">
      <c r="Y955761" s="5"/>
      <c r="AB955761" s="5"/>
      <c r="AE955761" s="5"/>
      <c r="AH955761" s="5"/>
      <c r="AK955761" s="5"/>
    </row>
    <row r="955771" spans="25:37" x14ac:dyDescent="0.2">
      <c r="Y955771" s="251"/>
      <c r="AB955771" s="251"/>
      <c r="AE955771" s="251"/>
      <c r="AH955771" s="251"/>
      <c r="AK955771" s="251"/>
    </row>
    <row r="955886" spans="25:37" x14ac:dyDescent="0.2">
      <c r="Y955886" s="5"/>
      <c r="AB955886" s="5"/>
      <c r="AE955886" s="5"/>
      <c r="AH955886" s="5"/>
      <c r="AK955886" s="5"/>
    </row>
    <row r="955896" spans="25:37" x14ac:dyDescent="0.2">
      <c r="Y955896" s="251"/>
      <c r="AB955896" s="251"/>
      <c r="AE955896" s="251"/>
      <c r="AH955896" s="251"/>
      <c r="AK955896" s="251"/>
    </row>
    <row r="956011" spans="25:37" x14ac:dyDescent="0.2">
      <c r="Y956011" s="5"/>
      <c r="AB956011" s="5"/>
      <c r="AE956011" s="5"/>
      <c r="AH956011" s="5"/>
      <c r="AK956011" s="5"/>
    </row>
    <row r="956021" spans="25:37" x14ac:dyDescent="0.2">
      <c r="Y956021" s="251"/>
      <c r="AB956021" s="251"/>
      <c r="AE956021" s="251"/>
      <c r="AH956021" s="251"/>
      <c r="AK956021" s="251"/>
    </row>
    <row r="956136" spans="25:37" x14ac:dyDescent="0.2">
      <c r="Y956136" s="5"/>
      <c r="AB956136" s="5"/>
      <c r="AE956136" s="5"/>
      <c r="AH956136" s="5"/>
      <c r="AK956136" s="5"/>
    </row>
    <row r="956146" spans="25:37" x14ac:dyDescent="0.2">
      <c r="Y956146" s="251"/>
      <c r="AB956146" s="251"/>
      <c r="AE956146" s="251"/>
      <c r="AH956146" s="251"/>
      <c r="AK956146" s="251"/>
    </row>
    <row r="956261" spans="25:37" x14ac:dyDescent="0.2">
      <c r="Y956261" s="5"/>
      <c r="AB956261" s="5"/>
      <c r="AE956261" s="5"/>
      <c r="AH956261" s="5"/>
      <c r="AK956261" s="5"/>
    </row>
    <row r="956271" spans="25:37" x14ac:dyDescent="0.2">
      <c r="Y956271" s="251"/>
      <c r="AB956271" s="251"/>
      <c r="AE956271" s="251"/>
      <c r="AH956271" s="251"/>
      <c r="AK956271" s="251"/>
    </row>
    <row r="956386" spans="25:37" x14ac:dyDescent="0.2">
      <c r="Y956386" s="5"/>
      <c r="AB956386" s="5"/>
      <c r="AE956386" s="5"/>
      <c r="AH956386" s="5"/>
      <c r="AK956386" s="5"/>
    </row>
    <row r="956396" spans="25:37" x14ac:dyDescent="0.2">
      <c r="Y956396" s="251"/>
      <c r="AB956396" s="251"/>
      <c r="AE956396" s="251"/>
      <c r="AH956396" s="251"/>
      <c r="AK956396" s="251"/>
    </row>
    <row r="956511" spans="25:37" x14ac:dyDescent="0.2">
      <c r="Y956511" s="5"/>
      <c r="AB956511" s="5"/>
      <c r="AE956511" s="5"/>
      <c r="AH956511" s="5"/>
      <c r="AK956511" s="5"/>
    </row>
    <row r="956521" spans="25:37" x14ac:dyDescent="0.2">
      <c r="Y956521" s="251"/>
      <c r="AB956521" s="251"/>
      <c r="AE956521" s="251"/>
      <c r="AH956521" s="251"/>
      <c r="AK956521" s="251"/>
    </row>
    <row r="956636" spans="25:37" x14ac:dyDescent="0.2">
      <c r="Y956636" s="5"/>
      <c r="AB956636" s="5"/>
      <c r="AE956636" s="5"/>
      <c r="AH956636" s="5"/>
      <c r="AK956636" s="5"/>
    </row>
    <row r="956646" spans="25:37" x14ac:dyDescent="0.2">
      <c r="Y956646" s="251"/>
      <c r="AB956646" s="251"/>
      <c r="AE956646" s="251"/>
      <c r="AH956646" s="251"/>
      <c r="AK956646" s="251"/>
    </row>
    <row r="956761" spans="25:37" x14ac:dyDescent="0.2">
      <c r="Y956761" s="5"/>
      <c r="AB956761" s="5"/>
      <c r="AE956761" s="5"/>
      <c r="AH956761" s="5"/>
      <c r="AK956761" s="5"/>
    </row>
    <row r="956771" spans="25:37" x14ac:dyDescent="0.2">
      <c r="Y956771" s="251"/>
      <c r="AB956771" s="251"/>
      <c r="AE956771" s="251"/>
      <c r="AH956771" s="251"/>
      <c r="AK956771" s="251"/>
    </row>
    <row r="956886" spans="25:37" x14ac:dyDescent="0.2">
      <c r="Y956886" s="5"/>
      <c r="AB956886" s="5"/>
      <c r="AE956886" s="5"/>
      <c r="AH956886" s="5"/>
      <c r="AK956886" s="5"/>
    </row>
    <row r="956896" spans="25:37" x14ac:dyDescent="0.2">
      <c r="Y956896" s="251"/>
      <c r="AB956896" s="251"/>
      <c r="AE956896" s="251"/>
      <c r="AH956896" s="251"/>
      <c r="AK956896" s="251"/>
    </row>
    <row r="957011" spans="25:37" x14ac:dyDescent="0.2">
      <c r="Y957011" s="5"/>
      <c r="AB957011" s="5"/>
      <c r="AE957011" s="5"/>
      <c r="AH957011" s="5"/>
      <c r="AK957011" s="5"/>
    </row>
    <row r="957021" spans="25:37" x14ac:dyDescent="0.2">
      <c r="Y957021" s="251"/>
      <c r="AB957021" s="251"/>
      <c r="AE957021" s="251"/>
      <c r="AH957021" s="251"/>
      <c r="AK957021" s="251"/>
    </row>
    <row r="957136" spans="25:37" x14ac:dyDescent="0.2">
      <c r="Y957136" s="5"/>
      <c r="AB957136" s="5"/>
      <c r="AE957136" s="5"/>
      <c r="AH957136" s="5"/>
      <c r="AK957136" s="5"/>
    </row>
    <row r="957146" spans="25:37" x14ac:dyDescent="0.2">
      <c r="Y957146" s="251"/>
      <c r="AB957146" s="251"/>
      <c r="AE957146" s="251"/>
      <c r="AH957146" s="251"/>
      <c r="AK957146" s="251"/>
    </row>
    <row r="957261" spans="25:37" x14ac:dyDescent="0.2">
      <c r="Y957261" s="5"/>
      <c r="AB957261" s="5"/>
      <c r="AE957261" s="5"/>
      <c r="AH957261" s="5"/>
      <c r="AK957261" s="5"/>
    </row>
    <row r="957271" spans="25:37" x14ac:dyDescent="0.2">
      <c r="Y957271" s="251"/>
      <c r="AB957271" s="251"/>
      <c r="AE957271" s="251"/>
      <c r="AH957271" s="251"/>
      <c r="AK957271" s="251"/>
    </row>
    <row r="957386" spans="25:37" x14ac:dyDescent="0.2">
      <c r="Y957386" s="5"/>
      <c r="AB957386" s="5"/>
      <c r="AE957386" s="5"/>
      <c r="AH957386" s="5"/>
      <c r="AK957386" s="5"/>
    </row>
    <row r="957396" spans="25:37" x14ac:dyDescent="0.2">
      <c r="Y957396" s="251"/>
      <c r="AB957396" s="251"/>
      <c r="AE957396" s="251"/>
      <c r="AH957396" s="251"/>
      <c r="AK957396" s="251"/>
    </row>
    <row r="957511" spans="25:37" x14ac:dyDescent="0.2">
      <c r="Y957511" s="5"/>
      <c r="AB957511" s="5"/>
      <c r="AE957511" s="5"/>
      <c r="AH957511" s="5"/>
      <c r="AK957511" s="5"/>
    </row>
    <row r="957521" spans="25:37" x14ac:dyDescent="0.2">
      <c r="Y957521" s="251"/>
      <c r="AB957521" s="251"/>
      <c r="AE957521" s="251"/>
      <c r="AH957521" s="251"/>
      <c r="AK957521" s="251"/>
    </row>
    <row r="957636" spans="25:37" x14ac:dyDescent="0.2">
      <c r="Y957636" s="5"/>
      <c r="AB957636" s="5"/>
      <c r="AE957636" s="5"/>
      <c r="AH957636" s="5"/>
      <c r="AK957636" s="5"/>
    </row>
    <row r="957646" spans="25:37" x14ac:dyDescent="0.2">
      <c r="Y957646" s="251"/>
      <c r="AB957646" s="251"/>
      <c r="AE957646" s="251"/>
      <c r="AH957646" s="251"/>
      <c r="AK957646" s="251"/>
    </row>
    <row r="957761" spans="25:37" x14ac:dyDescent="0.2">
      <c r="Y957761" s="5"/>
      <c r="AB957761" s="5"/>
      <c r="AE957761" s="5"/>
      <c r="AH957761" s="5"/>
      <c r="AK957761" s="5"/>
    </row>
    <row r="957771" spans="25:37" x14ac:dyDescent="0.2">
      <c r="Y957771" s="251"/>
      <c r="AB957771" s="251"/>
      <c r="AE957771" s="251"/>
      <c r="AH957771" s="251"/>
      <c r="AK957771" s="251"/>
    </row>
    <row r="957886" spans="25:37" x14ac:dyDescent="0.2">
      <c r="Y957886" s="5"/>
      <c r="AB957886" s="5"/>
      <c r="AE957886" s="5"/>
      <c r="AH957886" s="5"/>
      <c r="AK957886" s="5"/>
    </row>
    <row r="957896" spans="25:37" x14ac:dyDescent="0.2">
      <c r="Y957896" s="251"/>
      <c r="AB957896" s="251"/>
      <c r="AE957896" s="251"/>
      <c r="AH957896" s="251"/>
      <c r="AK957896" s="251"/>
    </row>
    <row r="958011" spans="25:37" x14ac:dyDescent="0.2">
      <c r="Y958011" s="5"/>
      <c r="AB958011" s="5"/>
      <c r="AE958011" s="5"/>
      <c r="AH958011" s="5"/>
      <c r="AK958011" s="5"/>
    </row>
    <row r="958021" spans="25:37" x14ac:dyDescent="0.2">
      <c r="Y958021" s="251"/>
      <c r="AB958021" s="251"/>
      <c r="AE958021" s="251"/>
      <c r="AH958021" s="251"/>
      <c r="AK958021" s="251"/>
    </row>
    <row r="958136" spans="25:37" x14ac:dyDescent="0.2">
      <c r="Y958136" s="5"/>
      <c r="AB958136" s="5"/>
      <c r="AE958136" s="5"/>
      <c r="AH958136" s="5"/>
      <c r="AK958136" s="5"/>
    </row>
    <row r="958146" spans="25:37" x14ac:dyDescent="0.2">
      <c r="Y958146" s="251"/>
      <c r="AB958146" s="251"/>
      <c r="AE958146" s="251"/>
      <c r="AH958146" s="251"/>
      <c r="AK958146" s="251"/>
    </row>
    <row r="958261" spans="25:37" x14ac:dyDescent="0.2">
      <c r="Y958261" s="5"/>
      <c r="AB958261" s="5"/>
      <c r="AE958261" s="5"/>
      <c r="AH958261" s="5"/>
      <c r="AK958261" s="5"/>
    </row>
    <row r="958271" spans="25:37" x14ac:dyDescent="0.2">
      <c r="Y958271" s="251"/>
      <c r="AB958271" s="251"/>
      <c r="AE958271" s="251"/>
      <c r="AH958271" s="251"/>
      <c r="AK958271" s="251"/>
    </row>
    <row r="958386" spans="25:37" x14ac:dyDescent="0.2">
      <c r="Y958386" s="5"/>
      <c r="AB958386" s="5"/>
      <c r="AE958386" s="5"/>
      <c r="AH958386" s="5"/>
      <c r="AK958386" s="5"/>
    </row>
    <row r="958396" spans="25:37" x14ac:dyDescent="0.2">
      <c r="Y958396" s="251"/>
      <c r="AB958396" s="251"/>
      <c r="AE958396" s="251"/>
      <c r="AH958396" s="251"/>
      <c r="AK958396" s="251"/>
    </row>
    <row r="958511" spans="25:37" x14ac:dyDescent="0.2">
      <c r="Y958511" s="5"/>
      <c r="AB958511" s="5"/>
      <c r="AE958511" s="5"/>
      <c r="AH958511" s="5"/>
      <c r="AK958511" s="5"/>
    </row>
    <row r="958521" spans="25:37" x14ac:dyDescent="0.2">
      <c r="Y958521" s="251"/>
      <c r="AB958521" s="251"/>
      <c r="AE958521" s="251"/>
      <c r="AH958521" s="251"/>
      <c r="AK958521" s="251"/>
    </row>
    <row r="958636" spans="25:37" x14ac:dyDescent="0.2">
      <c r="Y958636" s="5"/>
      <c r="AB958636" s="5"/>
      <c r="AE958636" s="5"/>
      <c r="AH958636" s="5"/>
      <c r="AK958636" s="5"/>
    </row>
    <row r="958646" spans="25:37" x14ac:dyDescent="0.2">
      <c r="Y958646" s="251"/>
      <c r="AB958646" s="251"/>
      <c r="AE958646" s="251"/>
      <c r="AH958646" s="251"/>
      <c r="AK958646" s="251"/>
    </row>
    <row r="958761" spans="25:37" x14ac:dyDescent="0.2">
      <c r="Y958761" s="5"/>
      <c r="AB958761" s="5"/>
      <c r="AE958761" s="5"/>
      <c r="AH958761" s="5"/>
      <c r="AK958761" s="5"/>
    </row>
    <row r="958771" spans="25:37" x14ac:dyDescent="0.2">
      <c r="Y958771" s="251"/>
      <c r="AB958771" s="251"/>
      <c r="AE958771" s="251"/>
      <c r="AH958771" s="251"/>
      <c r="AK958771" s="251"/>
    </row>
    <row r="958886" spans="25:37" x14ac:dyDescent="0.2">
      <c r="Y958886" s="5"/>
      <c r="AB958886" s="5"/>
      <c r="AE958886" s="5"/>
      <c r="AH958886" s="5"/>
      <c r="AK958886" s="5"/>
    </row>
    <row r="958896" spans="25:37" x14ac:dyDescent="0.2">
      <c r="Y958896" s="251"/>
      <c r="AB958896" s="251"/>
      <c r="AE958896" s="251"/>
      <c r="AH958896" s="251"/>
      <c r="AK958896" s="251"/>
    </row>
    <row r="959011" spans="25:37" x14ac:dyDescent="0.2">
      <c r="Y959011" s="5"/>
      <c r="AB959011" s="5"/>
      <c r="AE959011" s="5"/>
      <c r="AH959011" s="5"/>
      <c r="AK959011" s="5"/>
    </row>
    <row r="959021" spans="25:37" x14ac:dyDescent="0.2">
      <c r="Y959021" s="251"/>
      <c r="AB959021" s="251"/>
      <c r="AE959021" s="251"/>
      <c r="AH959021" s="251"/>
      <c r="AK959021" s="251"/>
    </row>
    <row r="959136" spans="25:37" x14ac:dyDescent="0.2">
      <c r="Y959136" s="5"/>
      <c r="AB959136" s="5"/>
      <c r="AE959136" s="5"/>
      <c r="AH959136" s="5"/>
      <c r="AK959136" s="5"/>
    </row>
    <row r="959146" spans="25:37" x14ac:dyDescent="0.2">
      <c r="Y959146" s="251"/>
      <c r="AB959146" s="251"/>
      <c r="AE959146" s="251"/>
      <c r="AH959146" s="251"/>
      <c r="AK959146" s="251"/>
    </row>
    <row r="959261" spans="25:37" x14ac:dyDescent="0.2">
      <c r="Y959261" s="5"/>
      <c r="AB959261" s="5"/>
      <c r="AE959261" s="5"/>
      <c r="AH959261" s="5"/>
      <c r="AK959261" s="5"/>
    </row>
    <row r="959271" spans="25:37" x14ac:dyDescent="0.2">
      <c r="Y959271" s="251"/>
      <c r="AB959271" s="251"/>
      <c r="AE959271" s="251"/>
      <c r="AH959271" s="251"/>
      <c r="AK959271" s="251"/>
    </row>
    <row r="959386" spans="25:37" x14ac:dyDescent="0.2">
      <c r="Y959386" s="5"/>
      <c r="AB959386" s="5"/>
      <c r="AE959386" s="5"/>
      <c r="AH959386" s="5"/>
      <c r="AK959386" s="5"/>
    </row>
    <row r="959396" spans="25:37" x14ac:dyDescent="0.2">
      <c r="Y959396" s="251"/>
      <c r="AB959396" s="251"/>
      <c r="AE959396" s="251"/>
      <c r="AH959396" s="251"/>
      <c r="AK959396" s="251"/>
    </row>
    <row r="959511" spans="25:37" x14ac:dyDescent="0.2">
      <c r="Y959511" s="5"/>
      <c r="AB959511" s="5"/>
      <c r="AE959511" s="5"/>
      <c r="AH959511" s="5"/>
      <c r="AK959511" s="5"/>
    </row>
    <row r="959521" spans="25:37" x14ac:dyDescent="0.2">
      <c r="Y959521" s="251"/>
      <c r="AB959521" s="251"/>
      <c r="AE959521" s="251"/>
      <c r="AH959521" s="251"/>
      <c r="AK959521" s="251"/>
    </row>
    <row r="959636" spans="25:37" x14ac:dyDescent="0.2">
      <c r="Y959636" s="5"/>
      <c r="AB959636" s="5"/>
      <c r="AE959636" s="5"/>
      <c r="AH959636" s="5"/>
      <c r="AK959636" s="5"/>
    </row>
    <row r="959646" spans="25:37" x14ac:dyDescent="0.2">
      <c r="Y959646" s="251"/>
      <c r="AB959646" s="251"/>
      <c r="AE959646" s="251"/>
      <c r="AH959646" s="251"/>
      <c r="AK959646" s="251"/>
    </row>
    <row r="959761" spans="25:37" x14ac:dyDescent="0.2">
      <c r="Y959761" s="5"/>
      <c r="AB959761" s="5"/>
      <c r="AE959761" s="5"/>
      <c r="AH959761" s="5"/>
      <c r="AK959761" s="5"/>
    </row>
    <row r="959771" spans="25:37" x14ac:dyDescent="0.2">
      <c r="Y959771" s="251"/>
      <c r="AB959771" s="251"/>
      <c r="AE959771" s="251"/>
      <c r="AH959771" s="251"/>
      <c r="AK959771" s="251"/>
    </row>
    <row r="959886" spans="25:37" x14ac:dyDescent="0.2">
      <c r="Y959886" s="5"/>
      <c r="AB959886" s="5"/>
      <c r="AE959886" s="5"/>
      <c r="AH959886" s="5"/>
      <c r="AK959886" s="5"/>
    </row>
    <row r="959896" spans="25:37" x14ac:dyDescent="0.2">
      <c r="Y959896" s="251"/>
      <c r="AB959896" s="251"/>
      <c r="AE959896" s="251"/>
      <c r="AH959896" s="251"/>
      <c r="AK959896" s="251"/>
    </row>
    <row r="960011" spans="25:37" x14ac:dyDescent="0.2">
      <c r="Y960011" s="5"/>
      <c r="AB960011" s="5"/>
      <c r="AE960011" s="5"/>
      <c r="AH960011" s="5"/>
      <c r="AK960011" s="5"/>
    </row>
    <row r="960021" spans="25:37" x14ac:dyDescent="0.2">
      <c r="Y960021" s="251"/>
      <c r="AB960021" s="251"/>
      <c r="AE960021" s="251"/>
      <c r="AH960021" s="251"/>
      <c r="AK960021" s="251"/>
    </row>
    <row r="960136" spans="25:37" x14ac:dyDescent="0.2">
      <c r="Y960136" s="5"/>
      <c r="AB960136" s="5"/>
      <c r="AE960136" s="5"/>
      <c r="AH960136" s="5"/>
      <c r="AK960136" s="5"/>
    </row>
    <row r="960146" spans="25:37" x14ac:dyDescent="0.2">
      <c r="Y960146" s="251"/>
      <c r="AB960146" s="251"/>
      <c r="AE960146" s="251"/>
      <c r="AH960146" s="251"/>
      <c r="AK960146" s="251"/>
    </row>
    <row r="960261" spans="25:37" x14ac:dyDescent="0.2">
      <c r="Y960261" s="5"/>
      <c r="AB960261" s="5"/>
      <c r="AE960261" s="5"/>
      <c r="AH960261" s="5"/>
      <c r="AK960261" s="5"/>
    </row>
    <row r="960271" spans="25:37" x14ac:dyDescent="0.2">
      <c r="Y960271" s="251"/>
      <c r="AB960271" s="251"/>
      <c r="AE960271" s="251"/>
      <c r="AH960271" s="251"/>
      <c r="AK960271" s="251"/>
    </row>
    <row r="960386" spans="25:37" x14ac:dyDescent="0.2">
      <c r="Y960386" s="5"/>
      <c r="AB960386" s="5"/>
      <c r="AE960386" s="5"/>
      <c r="AH960386" s="5"/>
      <c r="AK960386" s="5"/>
    </row>
    <row r="960396" spans="25:37" x14ac:dyDescent="0.2">
      <c r="Y960396" s="251"/>
      <c r="AB960396" s="251"/>
      <c r="AE960396" s="251"/>
      <c r="AH960396" s="251"/>
      <c r="AK960396" s="251"/>
    </row>
    <row r="960511" spans="25:37" x14ac:dyDescent="0.2">
      <c r="Y960511" s="5"/>
      <c r="AB960511" s="5"/>
      <c r="AE960511" s="5"/>
      <c r="AH960511" s="5"/>
      <c r="AK960511" s="5"/>
    </row>
    <row r="960521" spans="25:37" x14ac:dyDescent="0.2">
      <c r="Y960521" s="251"/>
      <c r="AB960521" s="251"/>
      <c r="AE960521" s="251"/>
      <c r="AH960521" s="251"/>
      <c r="AK960521" s="251"/>
    </row>
    <row r="960636" spans="25:37" x14ac:dyDescent="0.2">
      <c r="Y960636" s="5"/>
      <c r="AB960636" s="5"/>
      <c r="AE960636" s="5"/>
      <c r="AH960636" s="5"/>
      <c r="AK960636" s="5"/>
    </row>
    <row r="960646" spans="25:37" x14ac:dyDescent="0.2">
      <c r="Y960646" s="251"/>
      <c r="AB960646" s="251"/>
      <c r="AE960646" s="251"/>
      <c r="AH960646" s="251"/>
      <c r="AK960646" s="251"/>
    </row>
    <row r="960761" spans="25:37" x14ac:dyDescent="0.2">
      <c r="Y960761" s="5"/>
      <c r="AB960761" s="5"/>
      <c r="AE960761" s="5"/>
      <c r="AH960761" s="5"/>
      <c r="AK960761" s="5"/>
    </row>
    <row r="960771" spans="25:37" x14ac:dyDescent="0.2">
      <c r="Y960771" s="251"/>
      <c r="AB960771" s="251"/>
      <c r="AE960771" s="251"/>
      <c r="AH960771" s="251"/>
      <c r="AK960771" s="251"/>
    </row>
    <row r="960886" spans="25:37" x14ac:dyDescent="0.2">
      <c r="Y960886" s="5"/>
      <c r="AB960886" s="5"/>
      <c r="AE960886" s="5"/>
      <c r="AH960886" s="5"/>
      <c r="AK960886" s="5"/>
    </row>
    <row r="960896" spans="25:37" x14ac:dyDescent="0.2">
      <c r="Y960896" s="251"/>
      <c r="AB960896" s="251"/>
      <c r="AE960896" s="251"/>
      <c r="AH960896" s="251"/>
      <c r="AK960896" s="251"/>
    </row>
    <row r="961011" spans="25:37" x14ac:dyDescent="0.2">
      <c r="Y961011" s="5"/>
      <c r="AB961011" s="5"/>
      <c r="AE961011" s="5"/>
      <c r="AH961011" s="5"/>
      <c r="AK961011" s="5"/>
    </row>
    <row r="961021" spans="25:37" x14ac:dyDescent="0.2">
      <c r="Y961021" s="251"/>
      <c r="AB961021" s="251"/>
      <c r="AE961021" s="251"/>
      <c r="AH961021" s="251"/>
      <c r="AK961021" s="251"/>
    </row>
    <row r="961136" spans="25:37" x14ac:dyDescent="0.2">
      <c r="Y961136" s="5"/>
      <c r="AB961136" s="5"/>
      <c r="AE961136" s="5"/>
      <c r="AH961136" s="5"/>
      <c r="AK961136" s="5"/>
    </row>
    <row r="961146" spans="25:37" x14ac:dyDescent="0.2">
      <c r="Y961146" s="251"/>
      <c r="AB961146" s="251"/>
      <c r="AE961146" s="251"/>
      <c r="AH961146" s="251"/>
      <c r="AK961146" s="251"/>
    </row>
    <row r="961261" spans="25:37" x14ac:dyDescent="0.2">
      <c r="Y961261" s="5"/>
      <c r="AB961261" s="5"/>
      <c r="AE961261" s="5"/>
      <c r="AH961261" s="5"/>
      <c r="AK961261" s="5"/>
    </row>
    <row r="961271" spans="25:37" x14ac:dyDescent="0.2">
      <c r="Y961271" s="251"/>
      <c r="AB961271" s="251"/>
      <c r="AE961271" s="251"/>
      <c r="AH961271" s="251"/>
      <c r="AK961271" s="251"/>
    </row>
    <row r="961386" spans="25:37" x14ac:dyDescent="0.2">
      <c r="Y961386" s="5"/>
      <c r="AB961386" s="5"/>
      <c r="AE961386" s="5"/>
      <c r="AH961386" s="5"/>
      <c r="AK961386" s="5"/>
    </row>
    <row r="961396" spans="25:37" x14ac:dyDescent="0.2">
      <c r="Y961396" s="251"/>
      <c r="AB961396" s="251"/>
      <c r="AE961396" s="251"/>
      <c r="AH961396" s="251"/>
      <c r="AK961396" s="251"/>
    </row>
    <row r="961511" spans="25:37" x14ac:dyDescent="0.2">
      <c r="Y961511" s="5"/>
      <c r="AB961511" s="5"/>
      <c r="AE961511" s="5"/>
      <c r="AH961511" s="5"/>
      <c r="AK961511" s="5"/>
    </row>
    <row r="961521" spans="25:37" x14ac:dyDescent="0.2">
      <c r="Y961521" s="251"/>
      <c r="AB961521" s="251"/>
      <c r="AE961521" s="251"/>
      <c r="AH961521" s="251"/>
      <c r="AK961521" s="251"/>
    </row>
    <row r="961636" spans="25:37" x14ac:dyDescent="0.2">
      <c r="Y961636" s="5"/>
      <c r="AB961636" s="5"/>
      <c r="AE961636" s="5"/>
      <c r="AH961636" s="5"/>
      <c r="AK961636" s="5"/>
    </row>
    <row r="961646" spans="25:37" x14ac:dyDescent="0.2">
      <c r="Y961646" s="251"/>
      <c r="AB961646" s="251"/>
      <c r="AE961646" s="251"/>
      <c r="AH961646" s="251"/>
      <c r="AK961646" s="251"/>
    </row>
    <row r="961761" spans="25:37" x14ac:dyDescent="0.2">
      <c r="Y961761" s="5"/>
      <c r="AB961761" s="5"/>
      <c r="AE961761" s="5"/>
      <c r="AH961761" s="5"/>
      <c r="AK961761" s="5"/>
    </row>
    <row r="961771" spans="25:37" x14ac:dyDescent="0.2">
      <c r="Y961771" s="251"/>
      <c r="AB961771" s="251"/>
      <c r="AE961771" s="251"/>
      <c r="AH961771" s="251"/>
      <c r="AK961771" s="251"/>
    </row>
    <row r="961886" spans="25:37" x14ac:dyDescent="0.2">
      <c r="Y961886" s="5"/>
      <c r="AB961886" s="5"/>
      <c r="AE961886" s="5"/>
      <c r="AH961886" s="5"/>
      <c r="AK961886" s="5"/>
    </row>
    <row r="961896" spans="25:37" x14ac:dyDescent="0.2">
      <c r="Y961896" s="251"/>
      <c r="AB961896" s="251"/>
      <c r="AE961896" s="251"/>
      <c r="AH961896" s="251"/>
      <c r="AK961896" s="251"/>
    </row>
    <row r="962011" spans="25:37" x14ac:dyDescent="0.2">
      <c r="Y962011" s="5"/>
      <c r="AB962011" s="5"/>
      <c r="AE962011" s="5"/>
      <c r="AH962011" s="5"/>
      <c r="AK962011" s="5"/>
    </row>
    <row r="962021" spans="25:37" x14ac:dyDescent="0.2">
      <c r="Y962021" s="251"/>
      <c r="AB962021" s="251"/>
      <c r="AE962021" s="251"/>
      <c r="AH962021" s="251"/>
      <c r="AK962021" s="251"/>
    </row>
    <row r="962136" spans="25:37" x14ac:dyDescent="0.2">
      <c r="Y962136" s="5"/>
      <c r="AB962136" s="5"/>
      <c r="AE962136" s="5"/>
      <c r="AH962136" s="5"/>
      <c r="AK962136" s="5"/>
    </row>
    <row r="962146" spans="25:37" x14ac:dyDescent="0.2">
      <c r="Y962146" s="251"/>
      <c r="AB962146" s="251"/>
      <c r="AE962146" s="251"/>
      <c r="AH962146" s="251"/>
      <c r="AK962146" s="251"/>
    </row>
    <row r="962261" spans="25:37" x14ac:dyDescent="0.2">
      <c r="Y962261" s="5"/>
      <c r="AB962261" s="5"/>
      <c r="AE962261" s="5"/>
      <c r="AH962261" s="5"/>
      <c r="AK962261" s="5"/>
    </row>
    <row r="962271" spans="25:37" x14ac:dyDescent="0.2">
      <c r="Y962271" s="251"/>
      <c r="AB962271" s="251"/>
      <c r="AE962271" s="251"/>
      <c r="AH962271" s="251"/>
      <c r="AK962271" s="251"/>
    </row>
    <row r="962386" spans="25:37" x14ac:dyDescent="0.2">
      <c r="Y962386" s="5"/>
      <c r="AB962386" s="5"/>
      <c r="AE962386" s="5"/>
      <c r="AH962386" s="5"/>
      <c r="AK962386" s="5"/>
    </row>
    <row r="962396" spans="25:37" x14ac:dyDescent="0.2">
      <c r="Y962396" s="251"/>
      <c r="AB962396" s="251"/>
      <c r="AE962396" s="251"/>
      <c r="AH962396" s="251"/>
      <c r="AK962396" s="251"/>
    </row>
    <row r="962511" spans="25:37" x14ac:dyDescent="0.2">
      <c r="Y962511" s="5"/>
      <c r="AB962511" s="5"/>
      <c r="AE962511" s="5"/>
      <c r="AH962511" s="5"/>
      <c r="AK962511" s="5"/>
    </row>
    <row r="962521" spans="25:37" x14ac:dyDescent="0.2">
      <c r="Y962521" s="251"/>
      <c r="AB962521" s="251"/>
      <c r="AE962521" s="251"/>
      <c r="AH962521" s="251"/>
      <c r="AK962521" s="251"/>
    </row>
    <row r="962636" spans="25:37" x14ac:dyDescent="0.2">
      <c r="Y962636" s="5"/>
      <c r="AB962636" s="5"/>
      <c r="AE962636" s="5"/>
      <c r="AH962636" s="5"/>
      <c r="AK962636" s="5"/>
    </row>
    <row r="962646" spans="25:37" x14ac:dyDescent="0.2">
      <c r="Y962646" s="251"/>
      <c r="AB962646" s="251"/>
      <c r="AE962646" s="251"/>
      <c r="AH962646" s="251"/>
      <c r="AK962646" s="251"/>
    </row>
    <row r="962761" spans="25:37" x14ac:dyDescent="0.2">
      <c r="Y962761" s="5"/>
      <c r="AB962761" s="5"/>
      <c r="AE962761" s="5"/>
      <c r="AH962761" s="5"/>
      <c r="AK962761" s="5"/>
    </row>
    <row r="962771" spans="25:37" x14ac:dyDescent="0.2">
      <c r="Y962771" s="251"/>
      <c r="AB962771" s="251"/>
      <c r="AE962771" s="251"/>
      <c r="AH962771" s="251"/>
      <c r="AK962771" s="251"/>
    </row>
    <row r="962886" spans="25:37" x14ac:dyDescent="0.2">
      <c r="Y962886" s="5"/>
      <c r="AB962886" s="5"/>
      <c r="AE962886" s="5"/>
      <c r="AH962886" s="5"/>
      <c r="AK962886" s="5"/>
    </row>
    <row r="962896" spans="25:37" x14ac:dyDescent="0.2">
      <c r="Y962896" s="251"/>
      <c r="AB962896" s="251"/>
      <c r="AE962896" s="251"/>
      <c r="AH962896" s="251"/>
      <c r="AK962896" s="251"/>
    </row>
    <row r="963011" spans="25:37" x14ac:dyDescent="0.2">
      <c r="Y963011" s="5"/>
      <c r="AB963011" s="5"/>
      <c r="AE963011" s="5"/>
      <c r="AH963011" s="5"/>
      <c r="AK963011" s="5"/>
    </row>
    <row r="963021" spans="25:37" x14ac:dyDescent="0.2">
      <c r="Y963021" s="251"/>
      <c r="AB963021" s="251"/>
      <c r="AE963021" s="251"/>
      <c r="AH963021" s="251"/>
      <c r="AK963021" s="251"/>
    </row>
    <row r="963136" spans="25:37" x14ac:dyDescent="0.2">
      <c r="Y963136" s="5"/>
      <c r="AB963136" s="5"/>
      <c r="AE963136" s="5"/>
      <c r="AH963136" s="5"/>
      <c r="AK963136" s="5"/>
    </row>
    <row r="963146" spans="25:37" x14ac:dyDescent="0.2">
      <c r="Y963146" s="251"/>
      <c r="AB963146" s="251"/>
      <c r="AE963146" s="251"/>
      <c r="AH963146" s="251"/>
      <c r="AK963146" s="251"/>
    </row>
    <row r="963261" spans="25:37" x14ac:dyDescent="0.2">
      <c r="Y963261" s="5"/>
      <c r="AB963261" s="5"/>
      <c r="AE963261" s="5"/>
      <c r="AH963261" s="5"/>
      <c r="AK963261" s="5"/>
    </row>
    <row r="963271" spans="25:37" x14ac:dyDescent="0.2">
      <c r="Y963271" s="251"/>
      <c r="AB963271" s="251"/>
      <c r="AE963271" s="251"/>
      <c r="AH963271" s="251"/>
      <c r="AK963271" s="251"/>
    </row>
    <row r="963386" spans="25:37" x14ac:dyDescent="0.2">
      <c r="Y963386" s="5"/>
      <c r="AB963386" s="5"/>
      <c r="AE963386" s="5"/>
      <c r="AH963386" s="5"/>
      <c r="AK963386" s="5"/>
    </row>
    <row r="963396" spans="25:37" x14ac:dyDescent="0.2">
      <c r="Y963396" s="251"/>
      <c r="AB963396" s="251"/>
      <c r="AE963396" s="251"/>
      <c r="AH963396" s="251"/>
      <c r="AK963396" s="251"/>
    </row>
    <row r="963511" spans="25:37" x14ac:dyDescent="0.2">
      <c r="Y963511" s="5"/>
      <c r="AB963511" s="5"/>
      <c r="AE963511" s="5"/>
      <c r="AH963511" s="5"/>
      <c r="AK963511" s="5"/>
    </row>
    <row r="963521" spans="25:37" x14ac:dyDescent="0.2">
      <c r="Y963521" s="251"/>
      <c r="AB963521" s="251"/>
      <c r="AE963521" s="251"/>
      <c r="AH963521" s="251"/>
      <c r="AK963521" s="251"/>
    </row>
    <row r="963636" spans="25:37" x14ac:dyDescent="0.2">
      <c r="Y963636" s="5"/>
      <c r="AB963636" s="5"/>
      <c r="AE963636" s="5"/>
      <c r="AH963636" s="5"/>
      <c r="AK963636" s="5"/>
    </row>
    <row r="963646" spans="25:37" x14ac:dyDescent="0.2">
      <c r="Y963646" s="251"/>
      <c r="AB963646" s="251"/>
      <c r="AE963646" s="251"/>
      <c r="AH963646" s="251"/>
      <c r="AK963646" s="251"/>
    </row>
    <row r="963761" spans="25:37" x14ac:dyDescent="0.2">
      <c r="Y963761" s="5"/>
      <c r="AB963761" s="5"/>
      <c r="AE963761" s="5"/>
      <c r="AH963761" s="5"/>
      <c r="AK963761" s="5"/>
    </row>
    <row r="963771" spans="25:37" x14ac:dyDescent="0.2">
      <c r="Y963771" s="251"/>
      <c r="AB963771" s="251"/>
      <c r="AE963771" s="251"/>
      <c r="AH963771" s="251"/>
      <c r="AK963771" s="251"/>
    </row>
    <row r="963886" spans="25:37" x14ac:dyDescent="0.2">
      <c r="Y963886" s="5"/>
      <c r="AB963886" s="5"/>
      <c r="AE963886" s="5"/>
      <c r="AH963886" s="5"/>
      <c r="AK963886" s="5"/>
    </row>
    <row r="963896" spans="25:37" x14ac:dyDescent="0.2">
      <c r="Y963896" s="251"/>
      <c r="AB963896" s="251"/>
      <c r="AE963896" s="251"/>
      <c r="AH963896" s="251"/>
      <c r="AK963896" s="251"/>
    </row>
    <row r="964011" spans="25:37" x14ac:dyDescent="0.2">
      <c r="Y964011" s="5"/>
      <c r="AB964011" s="5"/>
      <c r="AE964011" s="5"/>
      <c r="AH964011" s="5"/>
      <c r="AK964011" s="5"/>
    </row>
    <row r="964021" spans="25:37" x14ac:dyDescent="0.2">
      <c r="Y964021" s="251"/>
      <c r="AB964021" s="251"/>
      <c r="AE964021" s="251"/>
      <c r="AH964021" s="251"/>
      <c r="AK964021" s="251"/>
    </row>
    <row r="964136" spans="25:37" x14ac:dyDescent="0.2">
      <c r="Y964136" s="5"/>
      <c r="AB964136" s="5"/>
      <c r="AE964136" s="5"/>
      <c r="AH964136" s="5"/>
      <c r="AK964136" s="5"/>
    </row>
    <row r="964146" spans="25:37" x14ac:dyDescent="0.2">
      <c r="Y964146" s="251"/>
      <c r="AB964146" s="251"/>
      <c r="AE964146" s="251"/>
      <c r="AH964146" s="251"/>
      <c r="AK964146" s="251"/>
    </row>
    <row r="964261" spans="25:37" x14ac:dyDescent="0.2">
      <c r="Y964261" s="5"/>
      <c r="AB964261" s="5"/>
      <c r="AE964261" s="5"/>
      <c r="AH964261" s="5"/>
      <c r="AK964261" s="5"/>
    </row>
    <row r="964271" spans="25:37" x14ac:dyDescent="0.2">
      <c r="Y964271" s="251"/>
      <c r="AB964271" s="251"/>
      <c r="AE964271" s="251"/>
      <c r="AH964271" s="251"/>
      <c r="AK964271" s="251"/>
    </row>
    <row r="964386" spans="25:37" x14ac:dyDescent="0.2">
      <c r="Y964386" s="5"/>
      <c r="AB964386" s="5"/>
      <c r="AE964386" s="5"/>
      <c r="AH964386" s="5"/>
      <c r="AK964386" s="5"/>
    </row>
    <row r="964396" spans="25:37" x14ac:dyDescent="0.2">
      <c r="Y964396" s="251"/>
      <c r="AB964396" s="251"/>
      <c r="AE964396" s="251"/>
      <c r="AH964396" s="251"/>
      <c r="AK964396" s="251"/>
    </row>
    <row r="964511" spans="25:37" x14ac:dyDescent="0.2">
      <c r="Y964511" s="5"/>
      <c r="AB964511" s="5"/>
      <c r="AE964511" s="5"/>
      <c r="AH964511" s="5"/>
      <c r="AK964511" s="5"/>
    </row>
    <row r="964521" spans="25:37" x14ac:dyDescent="0.2">
      <c r="Y964521" s="251"/>
      <c r="AB964521" s="251"/>
      <c r="AE964521" s="251"/>
      <c r="AH964521" s="251"/>
      <c r="AK964521" s="251"/>
    </row>
    <row r="964636" spans="25:37" x14ac:dyDescent="0.2">
      <c r="Y964636" s="5"/>
      <c r="AB964636" s="5"/>
      <c r="AE964636" s="5"/>
      <c r="AH964636" s="5"/>
      <c r="AK964636" s="5"/>
    </row>
    <row r="964646" spans="25:37" x14ac:dyDescent="0.2">
      <c r="Y964646" s="251"/>
      <c r="AB964646" s="251"/>
      <c r="AE964646" s="251"/>
      <c r="AH964646" s="251"/>
      <c r="AK964646" s="251"/>
    </row>
    <row r="964761" spans="25:37" x14ac:dyDescent="0.2">
      <c r="Y964761" s="5"/>
      <c r="AB964761" s="5"/>
      <c r="AE964761" s="5"/>
      <c r="AH964761" s="5"/>
      <c r="AK964761" s="5"/>
    </row>
    <row r="964771" spans="25:37" x14ac:dyDescent="0.2">
      <c r="Y964771" s="251"/>
      <c r="AB964771" s="251"/>
      <c r="AE964771" s="251"/>
      <c r="AH964771" s="251"/>
      <c r="AK964771" s="251"/>
    </row>
    <row r="964886" spans="25:37" x14ac:dyDescent="0.2">
      <c r="Y964886" s="5"/>
      <c r="AB964886" s="5"/>
      <c r="AE964886" s="5"/>
      <c r="AH964886" s="5"/>
      <c r="AK964886" s="5"/>
    </row>
    <row r="964896" spans="25:37" x14ac:dyDescent="0.2">
      <c r="Y964896" s="251"/>
      <c r="AB964896" s="251"/>
      <c r="AE964896" s="251"/>
      <c r="AH964896" s="251"/>
      <c r="AK964896" s="251"/>
    </row>
    <row r="965011" spans="25:37" x14ac:dyDescent="0.2">
      <c r="Y965011" s="5"/>
      <c r="AB965011" s="5"/>
      <c r="AE965011" s="5"/>
      <c r="AH965011" s="5"/>
      <c r="AK965011" s="5"/>
    </row>
    <row r="965021" spans="25:37" x14ac:dyDescent="0.2">
      <c r="Y965021" s="251"/>
      <c r="AB965021" s="251"/>
      <c r="AE965021" s="251"/>
      <c r="AH965021" s="251"/>
      <c r="AK965021" s="251"/>
    </row>
    <row r="965136" spans="25:37" x14ac:dyDescent="0.2">
      <c r="Y965136" s="5"/>
      <c r="AB965136" s="5"/>
      <c r="AE965136" s="5"/>
      <c r="AH965136" s="5"/>
      <c r="AK965136" s="5"/>
    </row>
    <row r="965146" spans="25:37" x14ac:dyDescent="0.2">
      <c r="Y965146" s="251"/>
      <c r="AB965146" s="251"/>
      <c r="AE965146" s="251"/>
      <c r="AH965146" s="251"/>
      <c r="AK965146" s="251"/>
    </row>
    <row r="965261" spans="25:37" x14ac:dyDescent="0.2">
      <c r="Y965261" s="5"/>
      <c r="AB965261" s="5"/>
      <c r="AE965261" s="5"/>
      <c r="AH965261" s="5"/>
      <c r="AK965261" s="5"/>
    </row>
    <row r="965271" spans="25:37" x14ac:dyDescent="0.2">
      <c r="Y965271" s="251"/>
      <c r="AB965271" s="251"/>
      <c r="AE965271" s="251"/>
      <c r="AH965271" s="251"/>
      <c r="AK965271" s="251"/>
    </row>
    <row r="965386" spans="25:37" x14ac:dyDescent="0.2">
      <c r="Y965386" s="5"/>
      <c r="AB965386" s="5"/>
      <c r="AE965386" s="5"/>
      <c r="AH965386" s="5"/>
      <c r="AK965386" s="5"/>
    </row>
    <row r="965396" spans="25:37" x14ac:dyDescent="0.2">
      <c r="Y965396" s="251"/>
      <c r="AB965396" s="251"/>
      <c r="AE965396" s="251"/>
      <c r="AH965396" s="251"/>
      <c r="AK965396" s="251"/>
    </row>
    <row r="965511" spans="25:37" x14ac:dyDescent="0.2">
      <c r="Y965511" s="5"/>
      <c r="AB965511" s="5"/>
      <c r="AE965511" s="5"/>
      <c r="AH965511" s="5"/>
      <c r="AK965511" s="5"/>
    </row>
    <row r="965521" spans="25:37" x14ac:dyDescent="0.2">
      <c r="Y965521" s="251"/>
      <c r="AB965521" s="251"/>
      <c r="AE965521" s="251"/>
      <c r="AH965521" s="251"/>
      <c r="AK965521" s="251"/>
    </row>
    <row r="965636" spans="25:37" x14ac:dyDescent="0.2">
      <c r="Y965636" s="5"/>
      <c r="AB965636" s="5"/>
      <c r="AE965636" s="5"/>
      <c r="AH965636" s="5"/>
      <c r="AK965636" s="5"/>
    </row>
    <row r="965646" spans="25:37" x14ac:dyDescent="0.2">
      <c r="Y965646" s="251"/>
      <c r="AB965646" s="251"/>
      <c r="AE965646" s="251"/>
      <c r="AH965646" s="251"/>
      <c r="AK965646" s="251"/>
    </row>
    <row r="965761" spans="25:37" x14ac:dyDescent="0.2">
      <c r="Y965761" s="5"/>
      <c r="AB965761" s="5"/>
      <c r="AE965761" s="5"/>
      <c r="AH965761" s="5"/>
      <c r="AK965761" s="5"/>
    </row>
    <row r="965771" spans="25:37" x14ac:dyDescent="0.2">
      <c r="Y965771" s="251"/>
      <c r="AB965771" s="251"/>
      <c r="AE965771" s="251"/>
      <c r="AH965771" s="251"/>
      <c r="AK965771" s="251"/>
    </row>
    <row r="965886" spans="25:37" x14ac:dyDescent="0.2">
      <c r="Y965886" s="5"/>
      <c r="AB965886" s="5"/>
      <c r="AE965886" s="5"/>
      <c r="AH965886" s="5"/>
      <c r="AK965886" s="5"/>
    </row>
    <row r="965896" spans="25:37" x14ac:dyDescent="0.2">
      <c r="Y965896" s="251"/>
      <c r="AB965896" s="251"/>
      <c r="AE965896" s="251"/>
      <c r="AH965896" s="251"/>
      <c r="AK965896" s="251"/>
    </row>
    <row r="966011" spans="25:37" x14ac:dyDescent="0.2">
      <c r="Y966011" s="5"/>
      <c r="AB966011" s="5"/>
      <c r="AE966011" s="5"/>
      <c r="AH966011" s="5"/>
      <c r="AK966011" s="5"/>
    </row>
    <row r="966021" spans="25:37" x14ac:dyDescent="0.2">
      <c r="Y966021" s="251"/>
      <c r="AB966021" s="251"/>
      <c r="AE966021" s="251"/>
      <c r="AH966021" s="251"/>
      <c r="AK966021" s="251"/>
    </row>
    <row r="966136" spans="25:37" x14ac:dyDescent="0.2">
      <c r="Y966136" s="5"/>
      <c r="AB966136" s="5"/>
      <c r="AE966136" s="5"/>
      <c r="AH966136" s="5"/>
      <c r="AK966136" s="5"/>
    </row>
    <row r="966146" spans="25:37" x14ac:dyDescent="0.2">
      <c r="Y966146" s="251"/>
      <c r="AB966146" s="251"/>
      <c r="AE966146" s="251"/>
      <c r="AH966146" s="251"/>
      <c r="AK966146" s="251"/>
    </row>
    <row r="966261" spans="25:37" x14ac:dyDescent="0.2">
      <c r="Y966261" s="5"/>
      <c r="AB966261" s="5"/>
      <c r="AE966261" s="5"/>
      <c r="AH966261" s="5"/>
      <c r="AK966261" s="5"/>
    </row>
    <row r="966271" spans="25:37" x14ac:dyDescent="0.2">
      <c r="Y966271" s="251"/>
      <c r="AB966271" s="251"/>
      <c r="AE966271" s="251"/>
      <c r="AH966271" s="251"/>
      <c r="AK966271" s="251"/>
    </row>
    <row r="966386" spans="25:37" x14ac:dyDescent="0.2">
      <c r="Y966386" s="5"/>
      <c r="AB966386" s="5"/>
      <c r="AE966386" s="5"/>
      <c r="AH966386" s="5"/>
      <c r="AK966386" s="5"/>
    </row>
    <row r="966396" spans="25:37" x14ac:dyDescent="0.2">
      <c r="Y966396" s="251"/>
      <c r="AB966396" s="251"/>
      <c r="AE966396" s="251"/>
      <c r="AH966396" s="251"/>
      <c r="AK966396" s="251"/>
    </row>
    <row r="966511" spans="25:37" x14ac:dyDescent="0.2">
      <c r="Y966511" s="5"/>
      <c r="AB966511" s="5"/>
      <c r="AE966511" s="5"/>
      <c r="AH966511" s="5"/>
      <c r="AK966511" s="5"/>
    </row>
    <row r="966521" spans="25:37" x14ac:dyDescent="0.2">
      <c r="Y966521" s="251"/>
      <c r="AB966521" s="251"/>
      <c r="AE966521" s="251"/>
      <c r="AH966521" s="251"/>
      <c r="AK966521" s="251"/>
    </row>
    <row r="966636" spans="25:37" x14ac:dyDescent="0.2">
      <c r="Y966636" s="5"/>
      <c r="AB966636" s="5"/>
      <c r="AE966636" s="5"/>
      <c r="AH966636" s="5"/>
      <c r="AK966636" s="5"/>
    </row>
    <row r="966646" spans="25:37" x14ac:dyDescent="0.2">
      <c r="Y966646" s="251"/>
      <c r="AB966646" s="251"/>
      <c r="AE966646" s="251"/>
      <c r="AH966646" s="251"/>
      <c r="AK966646" s="251"/>
    </row>
    <row r="966761" spans="25:37" x14ac:dyDescent="0.2">
      <c r="Y966761" s="5"/>
      <c r="AB966761" s="5"/>
      <c r="AE966761" s="5"/>
      <c r="AH966761" s="5"/>
      <c r="AK966761" s="5"/>
    </row>
    <row r="966771" spans="25:37" x14ac:dyDescent="0.2">
      <c r="Y966771" s="251"/>
      <c r="AB966771" s="251"/>
      <c r="AE966771" s="251"/>
      <c r="AH966771" s="251"/>
      <c r="AK966771" s="251"/>
    </row>
    <row r="966886" spans="25:37" x14ac:dyDescent="0.2">
      <c r="Y966886" s="5"/>
      <c r="AB966886" s="5"/>
      <c r="AE966886" s="5"/>
      <c r="AH966886" s="5"/>
      <c r="AK966886" s="5"/>
    </row>
    <row r="966896" spans="25:37" x14ac:dyDescent="0.2">
      <c r="Y966896" s="251"/>
      <c r="AB966896" s="251"/>
      <c r="AE966896" s="251"/>
      <c r="AH966896" s="251"/>
      <c r="AK966896" s="251"/>
    </row>
    <row r="967011" spans="25:37" x14ac:dyDescent="0.2">
      <c r="Y967011" s="5"/>
      <c r="AB967011" s="5"/>
      <c r="AE967011" s="5"/>
      <c r="AH967011" s="5"/>
      <c r="AK967011" s="5"/>
    </row>
    <row r="967021" spans="25:37" x14ac:dyDescent="0.2">
      <c r="Y967021" s="251"/>
      <c r="AB967021" s="251"/>
      <c r="AE967021" s="251"/>
      <c r="AH967021" s="251"/>
      <c r="AK967021" s="251"/>
    </row>
    <row r="967136" spans="25:37" x14ac:dyDescent="0.2">
      <c r="Y967136" s="5"/>
      <c r="AB967136" s="5"/>
      <c r="AE967136" s="5"/>
      <c r="AH967136" s="5"/>
      <c r="AK967136" s="5"/>
    </row>
    <row r="967146" spans="25:37" x14ac:dyDescent="0.2">
      <c r="Y967146" s="251"/>
      <c r="AB967146" s="251"/>
      <c r="AE967146" s="251"/>
      <c r="AH967146" s="251"/>
      <c r="AK967146" s="251"/>
    </row>
    <row r="967261" spans="25:37" x14ac:dyDescent="0.2">
      <c r="Y967261" s="5"/>
      <c r="AB967261" s="5"/>
      <c r="AE967261" s="5"/>
      <c r="AH967261" s="5"/>
      <c r="AK967261" s="5"/>
    </row>
    <row r="967271" spans="25:37" x14ac:dyDescent="0.2">
      <c r="Y967271" s="251"/>
      <c r="AB967271" s="251"/>
      <c r="AE967271" s="251"/>
      <c r="AH967271" s="251"/>
      <c r="AK967271" s="251"/>
    </row>
    <row r="967386" spans="25:37" x14ac:dyDescent="0.2">
      <c r="Y967386" s="5"/>
      <c r="AB967386" s="5"/>
      <c r="AE967386" s="5"/>
      <c r="AH967386" s="5"/>
      <c r="AK967386" s="5"/>
    </row>
    <row r="967396" spans="25:37" x14ac:dyDescent="0.2">
      <c r="Y967396" s="251"/>
      <c r="AB967396" s="251"/>
      <c r="AE967396" s="251"/>
      <c r="AH967396" s="251"/>
      <c r="AK967396" s="251"/>
    </row>
    <row r="967511" spans="25:37" x14ac:dyDescent="0.2">
      <c r="Y967511" s="5"/>
      <c r="AB967511" s="5"/>
      <c r="AE967511" s="5"/>
      <c r="AH967511" s="5"/>
      <c r="AK967511" s="5"/>
    </row>
    <row r="967521" spans="25:37" x14ac:dyDescent="0.2">
      <c r="Y967521" s="251"/>
      <c r="AB967521" s="251"/>
      <c r="AE967521" s="251"/>
      <c r="AH967521" s="251"/>
      <c r="AK967521" s="251"/>
    </row>
    <row r="967636" spans="25:37" x14ac:dyDescent="0.2">
      <c r="Y967636" s="5"/>
      <c r="AB967636" s="5"/>
      <c r="AE967636" s="5"/>
      <c r="AH967636" s="5"/>
      <c r="AK967636" s="5"/>
    </row>
    <row r="967646" spans="25:37" x14ac:dyDescent="0.2">
      <c r="Y967646" s="251"/>
      <c r="AB967646" s="251"/>
      <c r="AE967646" s="251"/>
      <c r="AH967646" s="251"/>
      <c r="AK967646" s="251"/>
    </row>
    <row r="967761" spans="25:37" x14ac:dyDescent="0.2">
      <c r="Y967761" s="5"/>
      <c r="AB967761" s="5"/>
      <c r="AE967761" s="5"/>
      <c r="AH967761" s="5"/>
      <c r="AK967761" s="5"/>
    </row>
    <row r="967771" spans="25:37" x14ac:dyDescent="0.2">
      <c r="Y967771" s="251"/>
      <c r="AB967771" s="251"/>
      <c r="AE967771" s="251"/>
      <c r="AH967771" s="251"/>
      <c r="AK967771" s="251"/>
    </row>
    <row r="967886" spans="25:37" x14ac:dyDescent="0.2">
      <c r="Y967886" s="5"/>
      <c r="AB967886" s="5"/>
      <c r="AE967886" s="5"/>
      <c r="AH967886" s="5"/>
      <c r="AK967886" s="5"/>
    </row>
    <row r="967896" spans="25:37" x14ac:dyDescent="0.2">
      <c r="Y967896" s="251"/>
      <c r="AB967896" s="251"/>
      <c r="AE967896" s="251"/>
      <c r="AH967896" s="251"/>
      <c r="AK967896" s="251"/>
    </row>
    <row r="968011" spans="25:37" x14ac:dyDescent="0.2">
      <c r="Y968011" s="5"/>
      <c r="AB968011" s="5"/>
      <c r="AE968011" s="5"/>
      <c r="AH968011" s="5"/>
      <c r="AK968011" s="5"/>
    </row>
    <row r="968021" spans="25:37" x14ac:dyDescent="0.2">
      <c r="Y968021" s="251"/>
      <c r="AB968021" s="251"/>
      <c r="AE968021" s="251"/>
      <c r="AH968021" s="251"/>
      <c r="AK968021" s="251"/>
    </row>
    <row r="968136" spans="25:37" x14ac:dyDescent="0.2">
      <c r="Y968136" s="5"/>
      <c r="AB968136" s="5"/>
      <c r="AE968136" s="5"/>
      <c r="AH968136" s="5"/>
      <c r="AK968136" s="5"/>
    </row>
    <row r="968146" spans="25:37" x14ac:dyDescent="0.2">
      <c r="Y968146" s="251"/>
      <c r="AB968146" s="251"/>
      <c r="AE968146" s="251"/>
      <c r="AH968146" s="251"/>
      <c r="AK968146" s="251"/>
    </row>
    <row r="968261" spans="25:37" x14ac:dyDescent="0.2">
      <c r="Y968261" s="5"/>
      <c r="AB968261" s="5"/>
      <c r="AE968261" s="5"/>
      <c r="AH968261" s="5"/>
      <c r="AK968261" s="5"/>
    </row>
    <row r="968271" spans="25:37" x14ac:dyDescent="0.2">
      <c r="Y968271" s="251"/>
      <c r="AB968271" s="251"/>
      <c r="AE968271" s="251"/>
      <c r="AH968271" s="251"/>
      <c r="AK968271" s="251"/>
    </row>
    <row r="968386" spans="25:37" x14ac:dyDescent="0.2">
      <c r="Y968386" s="5"/>
      <c r="AB968386" s="5"/>
      <c r="AE968386" s="5"/>
      <c r="AH968386" s="5"/>
      <c r="AK968386" s="5"/>
    </row>
    <row r="968396" spans="25:37" x14ac:dyDescent="0.2">
      <c r="Y968396" s="251"/>
      <c r="AB968396" s="251"/>
      <c r="AE968396" s="251"/>
      <c r="AH968396" s="251"/>
      <c r="AK968396" s="251"/>
    </row>
    <row r="968511" spans="25:37" x14ac:dyDescent="0.2">
      <c r="Y968511" s="5"/>
      <c r="AB968511" s="5"/>
      <c r="AE968511" s="5"/>
      <c r="AH968511" s="5"/>
      <c r="AK968511" s="5"/>
    </row>
    <row r="968521" spans="25:37" x14ac:dyDescent="0.2">
      <c r="Y968521" s="251"/>
      <c r="AB968521" s="251"/>
      <c r="AE968521" s="251"/>
      <c r="AH968521" s="251"/>
      <c r="AK968521" s="251"/>
    </row>
    <row r="968636" spans="25:37" x14ac:dyDescent="0.2">
      <c r="Y968636" s="5"/>
      <c r="AB968636" s="5"/>
      <c r="AE968636" s="5"/>
      <c r="AH968636" s="5"/>
      <c r="AK968636" s="5"/>
    </row>
    <row r="968646" spans="25:37" x14ac:dyDescent="0.2">
      <c r="Y968646" s="251"/>
      <c r="AB968646" s="251"/>
      <c r="AE968646" s="251"/>
      <c r="AH968646" s="251"/>
      <c r="AK968646" s="251"/>
    </row>
    <row r="968761" spans="25:37" x14ac:dyDescent="0.2">
      <c r="Y968761" s="5"/>
      <c r="AB968761" s="5"/>
      <c r="AE968761" s="5"/>
      <c r="AH968761" s="5"/>
      <c r="AK968761" s="5"/>
    </row>
    <row r="968771" spans="25:37" x14ac:dyDescent="0.2">
      <c r="Y968771" s="251"/>
      <c r="AB968771" s="251"/>
      <c r="AE968771" s="251"/>
      <c r="AH968771" s="251"/>
      <c r="AK968771" s="251"/>
    </row>
    <row r="968886" spans="25:37" x14ac:dyDescent="0.2">
      <c r="Y968886" s="5"/>
      <c r="AB968886" s="5"/>
      <c r="AE968886" s="5"/>
      <c r="AH968886" s="5"/>
      <c r="AK968886" s="5"/>
    </row>
    <row r="968896" spans="25:37" x14ac:dyDescent="0.2">
      <c r="Y968896" s="251"/>
      <c r="AB968896" s="251"/>
      <c r="AE968896" s="251"/>
      <c r="AH968896" s="251"/>
      <c r="AK968896" s="251"/>
    </row>
    <row r="969011" spans="25:37" x14ac:dyDescent="0.2">
      <c r="Y969011" s="5"/>
      <c r="AB969011" s="5"/>
      <c r="AE969011" s="5"/>
      <c r="AH969011" s="5"/>
      <c r="AK969011" s="5"/>
    </row>
    <row r="969021" spans="25:37" x14ac:dyDescent="0.2">
      <c r="Y969021" s="251"/>
      <c r="AB969021" s="251"/>
      <c r="AE969021" s="251"/>
      <c r="AH969021" s="251"/>
      <c r="AK969021" s="251"/>
    </row>
    <row r="969136" spans="25:37" x14ac:dyDescent="0.2">
      <c r="Y969136" s="5"/>
      <c r="AB969136" s="5"/>
      <c r="AE969136" s="5"/>
      <c r="AH969136" s="5"/>
      <c r="AK969136" s="5"/>
    </row>
    <row r="969146" spans="25:37" x14ac:dyDescent="0.2">
      <c r="Y969146" s="251"/>
      <c r="AB969146" s="251"/>
      <c r="AE969146" s="251"/>
      <c r="AH969146" s="251"/>
      <c r="AK969146" s="251"/>
    </row>
    <row r="969261" spans="25:37" x14ac:dyDescent="0.2">
      <c r="Y969261" s="5"/>
      <c r="AB969261" s="5"/>
      <c r="AE969261" s="5"/>
      <c r="AH969261" s="5"/>
      <c r="AK969261" s="5"/>
    </row>
    <row r="969271" spans="25:37" x14ac:dyDescent="0.2">
      <c r="Y969271" s="251"/>
      <c r="AB969271" s="251"/>
      <c r="AE969271" s="251"/>
      <c r="AH969271" s="251"/>
      <c r="AK969271" s="251"/>
    </row>
    <row r="969386" spans="25:37" x14ac:dyDescent="0.2">
      <c r="Y969386" s="5"/>
      <c r="AB969386" s="5"/>
      <c r="AE969386" s="5"/>
      <c r="AH969386" s="5"/>
      <c r="AK969386" s="5"/>
    </row>
    <row r="969396" spans="25:37" x14ac:dyDescent="0.2">
      <c r="Y969396" s="251"/>
      <c r="AB969396" s="251"/>
      <c r="AE969396" s="251"/>
      <c r="AH969396" s="251"/>
      <c r="AK969396" s="251"/>
    </row>
    <row r="969511" spans="25:37" x14ac:dyDescent="0.2">
      <c r="Y969511" s="5"/>
      <c r="AB969511" s="5"/>
      <c r="AE969511" s="5"/>
      <c r="AH969511" s="5"/>
      <c r="AK969511" s="5"/>
    </row>
    <row r="969521" spans="25:37" x14ac:dyDescent="0.2">
      <c r="Y969521" s="251"/>
      <c r="AB969521" s="251"/>
      <c r="AE969521" s="251"/>
      <c r="AH969521" s="251"/>
      <c r="AK969521" s="251"/>
    </row>
    <row r="969636" spans="25:37" x14ac:dyDescent="0.2">
      <c r="Y969636" s="5"/>
      <c r="AB969636" s="5"/>
      <c r="AE969636" s="5"/>
      <c r="AH969636" s="5"/>
      <c r="AK969636" s="5"/>
    </row>
    <row r="969646" spans="25:37" x14ac:dyDescent="0.2">
      <c r="Y969646" s="251"/>
      <c r="AB969646" s="251"/>
      <c r="AE969646" s="251"/>
      <c r="AH969646" s="251"/>
      <c r="AK969646" s="251"/>
    </row>
    <row r="969761" spans="25:37" x14ac:dyDescent="0.2">
      <c r="Y969761" s="5"/>
      <c r="AB969761" s="5"/>
      <c r="AE969761" s="5"/>
      <c r="AH969761" s="5"/>
      <c r="AK969761" s="5"/>
    </row>
    <row r="969771" spans="25:37" x14ac:dyDescent="0.2">
      <c r="Y969771" s="251"/>
      <c r="AB969771" s="251"/>
      <c r="AE969771" s="251"/>
      <c r="AH969771" s="251"/>
      <c r="AK969771" s="251"/>
    </row>
    <row r="969886" spans="25:37" x14ac:dyDescent="0.2">
      <c r="Y969886" s="5"/>
      <c r="AB969886" s="5"/>
      <c r="AE969886" s="5"/>
      <c r="AH969886" s="5"/>
      <c r="AK969886" s="5"/>
    </row>
    <row r="969896" spans="25:37" x14ac:dyDescent="0.2">
      <c r="Y969896" s="251"/>
      <c r="AB969896" s="251"/>
      <c r="AE969896" s="251"/>
      <c r="AH969896" s="251"/>
      <c r="AK969896" s="251"/>
    </row>
    <row r="970011" spans="25:37" x14ac:dyDescent="0.2">
      <c r="Y970011" s="5"/>
      <c r="AB970011" s="5"/>
      <c r="AE970011" s="5"/>
      <c r="AH970011" s="5"/>
      <c r="AK970011" s="5"/>
    </row>
    <row r="970021" spans="25:37" x14ac:dyDescent="0.2">
      <c r="Y970021" s="251"/>
      <c r="AB970021" s="251"/>
      <c r="AE970021" s="251"/>
      <c r="AH970021" s="251"/>
      <c r="AK970021" s="251"/>
    </row>
    <row r="970136" spans="25:37" x14ac:dyDescent="0.2">
      <c r="Y970136" s="5"/>
      <c r="AB970136" s="5"/>
      <c r="AE970136" s="5"/>
      <c r="AH970136" s="5"/>
      <c r="AK970136" s="5"/>
    </row>
    <row r="970146" spans="25:37" x14ac:dyDescent="0.2">
      <c r="Y970146" s="251"/>
      <c r="AB970146" s="251"/>
      <c r="AE970146" s="251"/>
      <c r="AH970146" s="251"/>
      <c r="AK970146" s="251"/>
    </row>
    <row r="970261" spans="25:37" x14ac:dyDescent="0.2">
      <c r="Y970261" s="5"/>
      <c r="AB970261" s="5"/>
      <c r="AE970261" s="5"/>
      <c r="AH970261" s="5"/>
      <c r="AK970261" s="5"/>
    </row>
    <row r="970271" spans="25:37" x14ac:dyDescent="0.2">
      <c r="Y970271" s="251"/>
      <c r="AB970271" s="251"/>
      <c r="AE970271" s="251"/>
      <c r="AH970271" s="251"/>
      <c r="AK970271" s="251"/>
    </row>
    <row r="970386" spans="25:37" x14ac:dyDescent="0.2">
      <c r="Y970386" s="5"/>
      <c r="AB970386" s="5"/>
      <c r="AE970386" s="5"/>
      <c r="AH970386" s="5"/>
      <c r="AK970386" s="5"/>
    </row>
    <row r="970396" spans="25:37" x14ac:dyDescent="0.2">
      <c r="Y970396" s="251"/>
      <c r="AB970396" s="251"/>
      <c r="AE970396" s="251"/>
      <c r="AH970396" s="251"/>
      <c r="AK970396" s="251"/>
    </row>
    <row r="970511" spans="25:37" x14ac:dyDescent="0.2">
      <c r="Y970511" s="5"/>
      <c r="AB970511" s="5"/>
      <c r="AE970511" s="5"/>
      <c r="AH970511" s="5"/>
      <c r="AK970511" s="5"/>
    </row>
    <row r="970521" spans="25:37" x14ac:dyDescent="0.2">
      <c r="Y970521" s="251"/>
      <c r="AB970521" s="251"/>
      <c r="AE970521" s="251"/>
      <c r="AH970521" s="251"/>
      <c r="AK970521" s="251"/>
    </row>
    <row r="970636" spans="25:37" x14ac:dyDescent="0.2">
      <c r="Y970636" s="5"/>
      <c r="AB970636" s="5"/>
      <c r="AE970636" s="5"/>
      <c r="AH970636" s="5"/>
      <c r="AK970636" s="5"/>
    </row>
    <row r="970646" spans="25:37" x14ac:dyDescent="0.2">
      <c r="Y970646" s="251"/>
      <c r="AB970646" s="251"/>
      <c r="AE970646" s="251"/>
      <c r="AH970646" s="251"/>
      <c r="AK970646" s="251"/>
    </row>
    <row r="970761" spans="25:37" x14ac:dyDescent="0.2">
      <c r="Y970761" s="5"/>
      <c r="AB970761" s="5"/>
      <c r="AE970761" s="5"/>
      <c r="AH970761" s="5"/>
      <c r="AK970761" s="5"/>
    </row>
    <row r="970771" spans="25:37" x14ac:dyDescent="0.2">
      <c r="Y970771" s="251"/>
      <c r="AB970771" s="251"/>
      <c r="AE970771" s="251"/>
      <c r="AH970771" s="251"/>
      <c r="AK970771" s="251"/>
    </row>
    <row r="970886" spans="25:37" x14ac:dyDescent="0.2">
      <c r="Y970886" s="5"/>
      <c r="AB970886" s="5"/>
      <c r="AE970886" s="5"/>
      <c r="AH970886" s="5"/>
      <c r="AK970886" s="5"/>
    </row>
    <row r="970896" spans="25:37" x14ac:dyDescent="0.2">
      <c r="Y970896" s="251"/>
      <c r="AB970896" s="251"/>
      <c r="AE970896" s="251"/>
      <c r="AH970896" s="251"/>
      <c r="AK970896" s="251"/>
    </row>
    <row r="971011" spans="25:37" x14ac:dyDescent="0.2">
      <c r="Y971011" s="5"/>
      <c r="AB971011" s="5"/>
      <c r="AE971011" s="5"/>
      <c r="AH971011" s="5"/>
      <c r="AK971011" s="5"/>
    </row>
    <row r="971021" spans="25:37" x14ac:dyDescent="0.2">
      <c r="Y971021" s="251"/>
      <c r="AB971021" s="251"/>
      <c r="AE971021" s="251"/>
      <c r="AH971021" s="251"/>
      <c r="AK971021" s="251"/>
    </row>
    <row r="971136" spans="25:37" x14ac:dyDescent="0.2">
      <c r="Y971136" s="5"/>
      <c r="AB971136" s="5"/>
      <c r="AE971136" s="5"/>
      <c r="AH971136" s="5"/>
      <c r="AK971136" s="5"/>
    </row>
    <row r="971146" spans="25:37" x14ac:dyDescent="0.2">
      <c r="Y971146" s="251"/>
      <c r="AB971146" s="251"/>
      <c r="AE971146" s="251"/>
      <c r="AH971146" s="251"/>
      <c r="AK971146" s="251"/>
    </row>
    <row r="971261" spans="25:37" x14ac:dyDescent="0.2">
      <c r="Y971261" s="5"/>
      <c r="AB971261" s="5"/>
      <c r="AE971261" s="5"/>
      <c r="AH971261" s="5"/>
      <c r="AK971261" s="5"/>
    </row>
    <row r="971271" spans="25:37" x14ac:dyDescent="0.2">
      <c r="Y971271" s="251"/>
      <c r="AB971271" s="251"/>
      <c r="AE971271" s="251"/>
      <c r="AH971271" s="251"/>
      <c r="AK971271" s="251"/>
    </row>
    <row r="971386" spans="25:37" x14ac:dyDescent="0.2">
      <c r="Y971386" s="5"/>
      <c r="AB971386" s="5"/>
      <c r="AE971386" s="5"/>
      <c r="AH971386" s="5"/>
      <c r="AK971386" s="5"/>
    </row>
    <row r="971396" spans="25:37" x14ac:dyDescent="0.2">
      <c r="Y971396" s="251"/>
      <c r="AB971396" s="251"/>
      <c r="AE971396" s="251"/>
      <c r="AH971396" s="251"/>
      <c r="AK971396" s="251"/>
    </row>
    <row r="971511" spans="25:37" x14ac:dyDescent="0.2">
      <c r="Y971511" s="5"/>
      <c r="AB971511" s="5"/>
      <c r="AE971511" s="5"/>
      <c r="AH971511" s="5"/>
      <c r="AK971511" s="5"/>
    </row>
    <row r="971521" spans="25:37" x14ac:dyDescent="0.2">
      <c r="Y971521" s="251"/>
      <c r="AB971521" s="251"/>
      <c r="AE971521" s="251"/>
      <c r="AH971521" s="251"/>
      <c r="AK971521" s="251"/>
    </row>
    <row r="971636" spans="25:37" x14ac:dyDescent="0.2">
      <c r="Y971636" s="5"/>
      <c r="AB971636" s="5"/>
      <c r="AE971636" s="5"/>
      <c r="AH971636" s="5"/>
      <c r="AK971636" s="5"/>
    </row>
    <row r="971646" spans="25:37" x14ac:dyDescent="0.2">
      <c r="Y971646" s="251"/>
      <c r="AB971646" s="251"/>
      <c r="AE971646" s="251"/>
      <c r="AH971646" s="251"/>
      <c r="AK971646" s="251"/>
    </row>
    <row r="971761" spans="25:37" x14ac:dyDescent="0.2">
      <c r="Y971761" s="5"/>
      <c r="AB971761" s="5"/>
      <c r="AE971761" s="5"/>
      <c r="AH971761" s="5"/>
      <c r="AK971761" s="5"/>
    </row>
    <row r="971771" spans="25:37" x14ac:dyDescent="0.2">
      <c r="Y971771" s="251"/>
      <c r="AB971771" s="251"/>
      <c r="AE971771" s="251"/>
      <c r="AH971771" s="251"/>
      <c r="AK971771" s="251"/>
    </row>
    <row r="971886" spans="25:37" x14ac:dyDescent="0.2">
      <c r="Y971886" s="5"/>
      <c r="AB971886" s="5"/>
      <c r="AE971886" s="5"/>
      <c r="AH971886" s="5"/>
      <c r="AK971886" s="5"/>
    </row>
    <row r="971896" spans="25:37" x14ac:dyDescent="0.2">
      <c r="Y971896" s="251"/>
      <c r="AB971896" s="251"/>
      <c r="AE971896" s="251"/>
      <c r="AH971896" s="251"/>
      <c r="AK971896" s="251"/>
    </row>
    <row r="972011" spans="25:37" x14ac:dyDescent="0.2">
      <c r="Y972011" s="5"/>
      <c r="AB972011" s="5"/>
      <c r="AE972011" s="5"/>
      <c r="AH972011" s="5"/>
      <c r="AK972011" s="5"/>
    </row>
    <row r="972021" spans="25:37" x14ac:dyDescent="0.2">
      <c r="Y972021" s="251"/>
      <c r="AB972021" s="251"/>
      <c r="AE972021" s="251"/>
      <c r="AH972021" s="251"/>
      <c r="AK972021" s="251"/>
    </row>
    <row r="972136" spans="25:37" x14ac:dyDescent="0.2">
      <c r="Y972136" s="5"/>
      <c r="AB972136" s="5"/>
      <c r="AE972136" s="5"/>
      <c r="AH972136" s="5"/>
      <c r="AK972136" s="5"/>
    </row>
    <row r="972146" spans="25:37" x14ac:dyDescent="0.2">
      <c r="Y972146" s="251"/>
      <c r="AB972146" s="251"/>
      <c r="AE972146" s="251"/>
      <c r="AH972146" s="251"/>
      <c r="AK972146" s="251"/>
    </row>
    <row r="972261" spans="25:37" x14ac:dyDescent="0.2">
      <c r="Y972261" s="5"/>
      <c r="AB972261" s="5"/>
      <c r="AE972261" s="5"/>
      <c r="AH972261" s="5"/>
      <c r="AK972261" s="5"/>
    </row>
    <row r="972271" spans="25:37" x14ac:dyDescent="0.2">
      <c r="Y972271" s="251"/>
      <c r="AB972271" s="251"/>
      <c r="AE972271" s="251"/>
      <c r="AH972271" s="251"/>
      <c r="AK972271" s="251"/>
    </row>
    <row r="972386" spans="25:37" x14ac:dyDescent="0.2">
      <c r="Y972386" s="5"/>
      <c r="AB972386" s="5"/>
      <c r="AE972386" s="5"/>
      <c r="AH972386" s="5"/>
      <c r="AK972386" s="5"/>
    </row>
    <row r="972396" spans="25:37" x14ac:dyDescent="0.2">
      <c r="Y972396" s="251"/>
      <c r="AB972396" s="251"/>
      <c r="AE972396" s="251"/>
      <c r="AH972396" s="251"/>
      <c r="AK972396" s="251"/>
    </row>
    <row r="972511" spans="25:37" x14ac:dyDescent="0.2">
      <c r="Y972511" s="5"/>
      <c r="AB972511" s="5"/>
      <c r="AE972511" s="5"/>
      <c r="AH972511" s="5"/>
      <c r="AK972511" s="5"/>
    </row>
    <row r="972521" spans="25:37" x14ac:dyDescent="0.2">
      <c r="Y972521" s="251"/>
      <c r="AB972521" s="251"/>
      <c r="AE972521" s="251"/>
      <c r="AH972521" s="251"/>
      <c r="AK972521" s="251"/>
    </row>
    <row r="972636" spans="25:37" x14ac:dyDescent="0.2">
      <c r="Y972636" s="5"/>
      <c r="AB972636" s="5"/>
      <c r="AE972636" s="5"/>
      <c r="AH972636" s="5"/>
      <c r="AK972636" s="5"/>
    </row>
    <row r="972646" spans="25:37" x14ac:dyDescent="0.2">
      <c r="Y972646" s="251"/>
      <c r="AB972646" s="251"/>
      <c r="AE972646" s="251"/>
      <c r="AH972646" s="251"/>
      <c r="AK972646" s="251"/>
    </row>
    <row r="972761" spans="25:37" x14ac:dyDescent="0.2">
      <c r="Y972761" s="5"/>
      <c r="AB972761" s="5"/>
      <c r="AE972761" s="5"/>
      <c r="AH972761" s="5"/>
      <c r="AK972761" s="5"/>
    </row>
    <row r="972771" spans="25:37" x14ac:dyDescent="0.2">
      <c r="Y972771" s="251"/>
      <c r="AB972771" s="251"/>
      <c r="AE972771" s="251"/>
      <c r="AH972771" s="251"/>
      <c r="AK972771" s="251"/>
    </row>
    <row r="972886" spans="25:37" x14ac:dyDescent="0.2">
      <c r="Y972886" s="5"/>
      <c r="AB972886" s="5"/>
      <c r="AE972886" s="5"/>
      <c r="AH972886" s="5"/>
      <c r="AK972886" s="5"/>
    </row>
    <row r="972896" spans="25:37" x14ac:dyDescent="0.2">
      <c r="Y972896" s="251"/>
      <c r="AB972896" s="251"/>
      <c r="AE972896" s="251"/>
      <c r="AH972896" s="251"/>
      <c r="AK972896" s="251"/>
    </row>
    <row r="973011" spans="25:37" x14ac:dyDescent="0.2">
      <c r="Y973011" s="5"/>
      <c r="AB973011" s="5"/>
      <c r="AE973011" s="5"/>
      <c r="AH973011" s="5"/>
      <c r="AK973011" s="5"/>
    </row>
    <row r="973021" spans="25:37" x14ac:dyDescent="0.2">
      <c r="Y973021" s="251"/>
      <c r="AB973021" s="251"/>
      <c r="AE973021" s="251"/>
      <c r="AH973021" s="251"/>
      <c r="AK973021" s="251"/>
    </row>
    <row r="973136" spans="25:37" x14ac:dyDescent="0.2">
      <c r="Y973136" s="5"/>
      <c r="AB973136" s="5"/>
      <c r="AE973136" s="5"/>
      <c r="AH973136" s="5"/>
      <c r="AK973136" s="5"/>
    </row>
    <row r="973146" spans="25:37" x14ac:dyDescent="0.2">
      <c r="Y973146" s="251"/>
      <c r="AB973146" s="251"/>
      <c r="AE973146" s="251"/>
      <c r="AH973146" s="251"/>
      <c r="AK973146" s="251"/>
    </row>
    <row r="973261" spans="25:37" x14ac:dyDescent="0.2">
      <c r="Y973261" s="5"/>
      <c r="AB973261" s="5"/>
      <c r="AE973261" s="5"/>
      <c r="AH973261" s="5"/>
      <c r="AK973261" s="5"/>
    </row>
    <row r="973271" spans="25:37" x14ac:dyDescent="0.2">
      <c r="Y973271" s="251"/>
      <c r="AB973271" s="251"/>
      <c r="AE973271" s="251"/>
      <c r="AH973271" s="251"/>
      <c r="AK973271" s="251"/>
    </row>
    <row r="973386" spans="25:37" x14ac:dyDescent="0.2">
      <c r="Y973386" s="5"/>
      <c r="AB973386" s="5"/>
      <c r="AE973386" s="5"/>
      <c r="AH973386" s="5"/>
      <c r="AK973386" s="5"/>
    </row>
    <row r="973396" spans="25:37" x14ac:dyDescent="0.2">
      <c r="Y973396" s="251"/>
      <c r="AB973396" s="251"/>
      <c r="AE973396" s="251"/>
      <c r="AH973396" s="251"/>
      <c r="AK973396" s="251"/>
    </row>
    <row r="973511" spans="25:37" x14ac:dyDescent="0.2">
      <c r="Y973511" s="5"/>
      <c r="AB973511" s="5"/>
      <c r="AE973511" s="5"/>
      <c r="AH973511" s="5"/>
      <c r="AK973511" s="5"/>
    </row>
    <row r="973521" spans="25:37" x14ac:dyDescent="0.2">
      <c r="Y973521" s="251"/>
      <c r="AB973521" s="251"/>
      <c r="AE973521" s="251"/>
      <c r="AH973521" s="251"/>
      <c r="AK973521" s="251"/>
    </row>
    <row r="973636" spans="25:37" x14ac:dyDescent="0.2">
      <c r="Y973636" s="5"/>
      <c r="AB973636" s="5"/>
      <c r="AE973636" s="5"/>
      <c r="AH973636" s="5"/>
      <c r="AK973636" s="5"/>
    </row>
    <row r="973646" spans="25:37" x14ac:dyDescent="0.2">
      <c r="Y973646" s="251"/>
      <c r="AB973646" s="251"/>
      <c r="AE973646" s="251"/>
      <c r="AH973646" s="251"/>
      <c r="AK973646" s="251"/>
    </row>
    <row r="973761" spans="25:37" x14ac:dyDescent="0.2">
      <c r="Y973761" s="5"/>
      <c r="AB973761" s="5"/>
      <c r="AE973761" s="5"/>
      <c r="AH973761" s="5"/>
      <c r="AK973761" s="5"/>
    </row>
    <row r="973771" spans="25:37" x14ac:dyDescent="0.2">
      <c r="Y973771" s="251"/>
      <c r="AB973771" s="251"/>
      <c r="AE973771" s="251"/>
      <c r="AH973771" s="251"/>
      <c r="AK973771" s="251"/>
    </row>
    <row r="973886" spans="25:37" x14ac:dyDescent="0.2">
      <c r="Y973886" s="5"/>
      <c r="AB973886" s="5"/>
      <c r="AE973886" s="5"/>
      <c r="AH973886" s="5"/>
      <c r="AK973886" s="5"/>
    </row>
    <row r="973896" spans="25:37" x14ac:dyDescent="0.2">
      <c r="Y973896" s="251"/>
      <c r="AB973896" s="251"/>
      <c r="AE973896" s="251"/>
      <c r="AH973896" s="251"/>
      <c r="AK973896" s="251"/>
    </row>
    <row r="974011" spans="25:37" x14ac:dyDescent="0.2">
      <c r="Y974011" s="5"/>
      <c r="AB974011" s="5"/>
      <c r="AE974011" s="5"/>
      <c r="AH974011" s="5"/>
      <c r="AK974011" s="5"/>
    </row>
    <row r="974021" spans="25:37" x14ac:dyDescent="0.2">
      <c r="Y974021" s="251"/>
      <c r="AB974021" s="251"/>
      <c r="AE974021" s="251"/>
      <c r="AH974021" s="251"/>
      <c r="AK974021" s="251"/>
    </row>
    <row r="974136" spans="25:37" x14ac:dyDescent="0.2">
      <c r="Y974136" s="5"/>
      <c r="AB974136" s="5"/>
      <c r="AE974136" s="5"/>
      <c r="AH974136" s="5"/>
      <c r="AK974136" s="5"/>
    </row>
    <row r="974146" spans="25:37" x14ac:dyDescent="0.2">
      <c r="Y974146" s="251"/>
      <c r="AB974146" s="251"/>
      <c r="AE974146" s="251"/>
      <c r="AH974146" s="251"/>
      <c r="AK974146" s="251"/>
    </row>
    <row r="974261" spans="25:37" x14ac:dyDescent="0.2">
      <c r="Y974261" s="5"/>
      <c r="AB974261" s="5"/>
      <c r="AE974261" s="5"/>
      <c r="AH974261" s="5"/>
      <c r="AK974261" s="5"/>
    </row>
    <row r="974271" spans="25:37" x14ac:dyDescent="0.2">
      <c r="Y974271" s="251"/>
      <c r="AB974271" s="251"/>
      <c r="AE974271" s="251"/>
      <c r="AH974271" s="251"/>
      <c r="AK974271" s="251"/>
    </row>
    <row r="974386" spans="25:37" x14ac:dyDescent="0.2">
      <c r="Y974386" s="5"/>
      <c r="AB974386" s="5"/>
      <c r="AE974386" s="5"/>
      <c r="AH974386" s="5"/>
      <c r="AK974386" s="5"/>
    </row>
    <row r="974396" spans="25:37" x14ac:dyDescent="0.2">
      <c r="Y974396" s="251"/>
      <c r="AB974396" s="251"/>
      <c r="AE974396" s="251"/>
      <c r="AH974396" s="251"/>
      <c r="AK974396" s="251"/>
    </row>
    <row r="974511" spans="25:37" x14ac:dyDescent="0.2">
      <c r="Y974511" s="5"/>
      <c r="AB974511" s="5"/>
      <c r="AE974511" s="5"/>
      <c r="AH974511" s="5"/>
      <c r="AK974511" s="5"/>
    </row>
    <row r="974521" spans="25:37" x14ac:dyDescent="0.2">
      <c r="Y974521" s="251"/>
      <c r="AB974521" s="251"/>
      <c r="AE974521" s="251"/>
      <c r="AH974521" s="251"/>
      <c r="AK974521" s="251"/>
    </row>
    <row r="974636" spans="25:37" x14ac:dyDescent="0.2">
      <c r="Y974636" s="5"/>
      <c r="AB974636" s="5"/>
      <c r="AE974636" s="5"/>
      <c r="AH974636" s="5"/>
      <c r="AK974636" s="5"/>
    </row>
    <row r="974646" spans="25:37" x14ac:dyDescent="0.2">
      <c r="Y974646" s="251"/>
      <c r="AB974646" s="251"/>
      <c r="AE974646" s="251"/>
      <c r="AH974646" s="251"/>
      <c r="AK974646" s="251"/>
    </row>
    <row r="974761" spans="25:37" x14ac:dyDescent="0.2">
      <c r="Y974761" s="5"/>
      <c r="AB974761" s="5"/>
      <c r="AE974761" s="5"/>
      <c r="AH974761" s="5"/>
      <c r="AK974761" s="5"/>
    </row>
    <row r="974771" spans="25:37" x14ac:dyDescent="0.2">
      <c r="Y974771" s="251"/>
      <c r="AB974771" s="251"/>
      <c r="AE974771" s="251"/>
      <c r="AH974771" s="251"/>
      <c r="AK974771" s="251"/>
    </row>
    <row r="974886" spans="25:37" x14ac:dyDescent="0.2">
      <c r="Y974886" s="5"/>
      <c r="AB974886" s="5"/>
      <c r="AE974886" s="5"/>
      <c r="AH974886" s="5"/>
      <c r="AK974886" s="5"/>
    </row>
    <row r="974896" spans="25:37" x14ac:dyDescent="0.2">
      <c r="Y974896" s="251"/>
      <c r="AB974896" s="251"/>
      <c r="AE974896" s="251"/>
      <c r="AH974896" s="251"/>
      <c r="AK974896" s="251"/>
    </row>
    <row r="975011" spans="25:37" x14ac:dyDescent="0.2">
      <c r="Y975011" s="5"/>
      <c r="AB975011" s="5"/>
      <c r="AE975011" s="5"/>
      <c r="AH975011" s="5"/>
      <c r="AK975011" s="5"/>
    </row>
    <row r="975021" spans="25:37" x14ac:dyDescent="0.2">
      <c r="Y975021" s="251"/>
      <c r="AB975021" s="251"/>
      <c r="AE975021" s="251"/>
      <c r="AH975021" s="251"/>
      <c r="AK975021" s="251"/>
    </row>
    <row r="975136" spans="25:37" x14ac:dyDescent="0.2">
      <c r="Y975136" s="5"/>
      <c r="AB975136" s="5"/>
      <c r="AE975136" s="5"/>
      <c r="AH975136" s="5"/>
      <c r="AK975136" s="5"/>
    </row>
    <row r="975146" spans="25:37" x14ac:dyDescent="0.2">
      <c r="Y975146" s="251"/>
      <c r="AB975146" s="251"/>
      <c r="AE975146" s="251"/>
      <c r="AH975146" s="251"/>
      <c r="AK975146" s="251"/>
    </row>
    <row r="975261" spans="25:37" x14ac:dyDescent="0.2">
      <c r="Y975261" s="5"/>
      <c r="AB975261" s="5"/>
      <c r="AE975261" s="5"/>
      <c r="AH975261" s="5"/>
      <c r="AK975261" s="5"/>
    </row>
    <row r="975271" spans="25:37" x14ac:dyDescent="0.2">
      <c r="Y975271" s="251"/>
      <c r="AB975271" s="251"/>
      <c r="AE975271" s="251"/>
      <c r="AH975271" s="251"/>
      <c r="AK975271" s="251"/>
    </row>
    <row r="975386" spans="25:37" x14ac:dyDescent="0.2">
      <c r="Y975386" s="5"/>
      <c r="AB975386" s="5"/>
      <c r="AE975386" s="5"/>
      <c r="AH975386" s="5"/>
      <c r="AK975386" s="5"/>
    </row>
    <row r="975396" spans="25:37" x14ac:dyDescent="0.2">
      <c r="Y975396" s="251"/>
      <c r="AB975396" s="251"/>
      <c r="AE975396" s="251"/>
      <c r="AH975396" s="251"/>
      <c r="AK975396" s="251"/>
    </row>
    <row r="975511" spans="25:37" x14ac:dyDescent="0.2">
      <c r="Y975511" s="5"/>
      <c r="AB975511" s="5"/>
      <c r="AE975511" s="5"/>
      <c r="AH975511" s="5"/>
      <c r="AK975511" s="5"/>
    </row>
    <row r="975521" spans="25:37" x14ac:dyDescent="0.2">
      <c r="Y975521" s="251"/>
      <c r="AB975521" s="251"/>
      <c r="AE975521" s="251"/>
      <c r="AH975521" s="251"/>
      <c r="AK975521" s="251"/>
    </row>
    <row r="975636" spans="25:37" x14ac:dyDescent="0.2">
      <c r="Y975636" s="5"/>
      <c r="AB975636" s="5"/>
      <c r="AE975636" s="5"/>
      <c r="AH975636" s="5"/>
      <c r="AK975636" s="5"/>
    </row>
    <row r="975646" spans="25:37" x14ac:dyDescent="0.2">
      <c r="Y975646" s="251"/>
      <c r="AB975646" s="251"/>
      <c r="AE975646" s="251"/>
      <c r="AH975646" s="251"/>
      <c r="AK975646" s="251"/>
    </row>
    <row r="975761" spans="25:37" x14ac:dyDescent="0.2">
      <c r="Y975761" s="5"/>
      <c r="AB975761" s="5"/>
      <c r="AE975761" s="5"/>
      <c r="AH975761" s="5"/>
      <c r="AK975761" s="5"/>
    </row>
    <row r="975771" spans="25:37" x14ac:dyDescent="0.2">
      <c r="Y975771" s="251"/>
      <c r="AB975771" s="251"/>
      <c r="AE975771" s="251"/>
      <c r="AH975771" s="251"/>
      <c r="AK975771" s="251"/>
    </row>
    <row r="975886" spans="25:37" x14ac:dyDescent="0.2">
      <c r="Y975886" s="5"/>
      <c r="AB975886" s="5"/>
      <c r="AE975886" s="5"/>
      <c r="AH975886" s="5"/>
      <c r="AK975886" s="5"/>
    </row>
    <row r="975896" spans="25:37" x14ac:dyDescent="0.2">
      <c r="Y975896" s="251"/>
      <c r="AB975896" s="251"/>
      <c r="AE975896" s="251"/>
      <c r="AH975896" s="251"/>
      <c r="AK975896" s="251"/>
    </row>
    <row r="976011" spans="25:37" x14ac:dyDescent="0.2">
      <c r="Y976011" s="5"/>
      <c r="AB976011" s="5"/>
      <c r="AE976011" s="5"/>
      <c r="AH976011" s="5"/>
      <c r="AK976011" s="5"/>
    </row>
    <row r="976021" spans="25:37" x14ac:dyDescent="0.2">
      <c r="Y976021" s="251"/>
      <c r="AB976021" s="251"/>
      <c r="AE976021" s="251"/>
      <c r="AH976021" s="251"/>
      <c r="AK976021" s="251"/>
    </row>
    <row r="976136" spans="25:37" x14ac:dyDescent="0.2">
      <c r="Y976136" s="5"/>
      <c r="AB976136" s="5"/>
      <c r="AE976136" s="5"/>
      <c r="AH976136" s="5"/>
      <c r="AK976136" s="5"/>
    </row>
    <row r="976146" spans="25:37" x14ac:dyDescent="0.2">
      <c r="Y976146" s="251"/>
      <c r="AB976146" s="251"/>
      <c r="AE976146" s="251"/>
      <c r="AH976146" s="251"/>
      <c r="AK976146" s="251"/>
    </row>
    <row r="976261" spans="25:37" x14ac:dyDescent="0.2">
      <c r="Y976261" s="5"/>
      <c r="AB976261" s="5"/>
      <c r="AE976261" s="5"/>
      <c r="AH976261" s="5"/>
      <c r="AK976261" s="5"/>
    </row>
    <row r="976271" spans="25:37" x14ac:dyDescent="0.2">
      <c r="Y976271" s="251"/>
      <c r="AB976271" s="251"/>
      <c r="AE976271" s="251"/>
      <c r="AH976271" s="251"/>
      <c r="AK976271" s="251"/>
    </row>
    <row r="976386" spans="25:37" x14ac:dyDescent="0.2">
      <c r="Y976386" s="5"/>
      <c r="AB976386" s="5"/>
      <c r="AE976386" s="5"/>
      <c r="AH976386" s="5"/>
      <c r="AK976386" s="5"/>
    </row>
    <row r="976396" spans="25:37" x14ac:dyDescent="0.2">
      <c r="Y976396" s="251"/>
      <c r="AB976396" s="251"/>
      <c r="AE976396" s="251"/>
      <c r="AH976396" s="251"/>
      <c r="AK976396" s="251"/>
    </row>
    <row r="976511" spans="25:37" x14ac:dyDescent="0.2">
      <c r="Y976511" s="5"/>
      <c r="AB976511" s="5"/>
      <c r="AE976511" s="5"/>
      <c r="AH976511" s="5"/>
      <c r="AK976511" s="5"/>
    </row>
    <row r="976521" spans="25:37" x14ac:dyDescent="0.2">
      <c r="Y976521" s="251"/>
      <c r="AB976521" s="251"/>
      <c r="AE976521" s="251"/>
      <c r="AH976521" s="251"/>
      <c r="AK976521" s="251"/>
    </row>
    <row r="976636" spans="25:37" x14ac:dyDescent="0.2">
      <c r="Y976636" s="5"/>
      <c r="AB976636" s="5"/>
      <c r="AE976636" s="5"/>
      <c r="AH976636" s="5"/>
      <c r="AK976636" s="5"/>
    </row>
    <row r="976646" spans="25:37" x14ac:dyDescent="0.2">
      <c r="Y976646" s="251"/>
      <c r="AB976646" s="251"/>
      <c r="AE976646" s="251"/>
      <c r="AH976646" s="251"/>
      <c r="AK976646" s="251"/>
    </row>
    <row r="976761" spans="25:37" x14ac:dyDescent="0.2">
      <c r="Y976761" s="5"/>
      <c r="AB976761" s="5"/>
      <c r="AE976761" s="5"/>
      <c r="AH976761" s="5"/>
      <c r="AK976761" s="5"/>
    </row>
    <row r="976771" spans="25:37" x14ac:dyDescent="0.2">
      <c r="Y976771" s="251"/>
      <c r="AB976771" s="251"/>
      <c r="AE976771" s="251"/>
      <c r="AH976771" s="251"/>
      <c r="AK976771" s="251"/>
    </row>
    <row r="976886" spans="25:37" x14ac:dyDescent="0.2">
      <c r="Y976886" s="5"/>
      <c r="AB976886" s="5"/>
      <c r="AE976886" s="5"/>
      <c r="AH976886" s="5"/>
      <c r="AK976886" s="5"/>
    </row>
    <row r="976896" spans="25:37" x14ac:dyDescent="0.2">
      <c r="Y976896" s="251"/>
      <c r="AB976896" s="251"/>
      <c r="AE976896" s="251"/>
      <c r="AH976896" s="251"/>
      <c r="AK976896" s="251"/>
    </row>
    <row r="977011" spans="25:37" x14ac:dyDescent="0.2">
      <c r="Y977011" s="5"/>
      <c r="AB977011" s="5"/>
      <c r="AE977011" s="5"/>
      <c r="AH977011" s="5"/>
      <c r="AK977011" s="5"/>
    </row>
    <row r="977021" spans="25:37" x14ac:dyDescent="0.2">
      <c r="Y977021" s="251"/>
      <c r="AB977021" s="251"/>
      <c r="AE977021" s="251"/>
      <c r="AH977021" s="251"/>
      <c r="AK977021" s="251"/>
    </row>
    <row r="977136" spans="25:37" x14ac:dyDescent="0.2">
      <c r="Y977136" s="5"/>
      <c r="AB977136" s="5"/>
      <c r="AE977136" s="5"/>
      <c r="AH977136" s="5"/>
      <c r="AK977136" s="5"/>
    </row>
    <row r="977146" spans="25:37" x14ac:dyDescent="0.2">
      <c r="Y977146" s="251"/>
      <c r="AB977146" s="251"/>
      <c r="AE977146" s="251"/>
      <c r="AH977146" s="251"/>
      <c r="AK977146" s="251"/>
    </row>
    <row r="977261" spans="25:37" x14ac:dyDescent="0.2">
      <c r="Y977261" s="5"/>
      <c r="AB977261" s="5"/>
      <c r="AE977261" s="5"/>
      <c r="AH977261" s="5"/>
      <c r="AK977261" s="5"/>
    </row>
    <row r="977271" spans="25:37" x14ac:dyDescent="0.2">
      <c r="Y977271" s="251"/>
      <c r="AB977271" s="251"/>
      <c r="AE977271" s="251"/>
      <c r="AH977271" s="251"/>
      <c r="AK977271" s="251"/>
    </row>
    <row r="977386" spans="25:37" x14ac:dyDescent="0.2">
      <c r="Y977386" s="5"/>
      <c r="AB977386" s="5"/>
      <c r="AE977386" s="5"/>
      <c r="AH977386" s="5"/>
      <c r="AK977386" s="5"/>
    </row>
    <row r="977396" spans="25:37" x14ac:dyDescent="0.2">
      <c r="Y977396" s="251"/>
      <c r="AB977396" s="251"/>
      <c r="AE977396" s="251"/>
      <c r="AH977396" s="251"/>
      <c r="AK977396" s="251"/>
    </row>
    <row r="977511" spans="25:37" x14ac:dyDescent="0.2">
      <c r="Y977511" s="5"/>
      <c r="AB977511" s="5"/>
      <c r="AE977511" s="5"/>
      <c r="AH977511" s="5"/>
      <c r="AK977511" s="5"/>
    </row>
    <row r="977521" spans="25:37" x14ac:dyDescent="0.2">
      <c r="Y977521" s="251"/>
      <c r="AB977521" s="251"/>
      <c r="AE977521" s="251"/>
      <c r="AH977521" s="251"/>
      <c r="AK977521" s="251"/>
    </row>
    <row r="977636" spans="25:37" x14ac:dyDescent="0.2">
      <c r="Y977636" s="5"/>
      <c r="AB977636" s="5"/>
      <c r="AE977636" s="5"/>
      <c r="AH977636" s="5"/>
      <c r="AK977636" s="5"/>
    </row>
    <row r="977646" spans="25:37" x14ac:dyDescent="0.2">
      <c r="Y977646" s="251"/>
      <c r="AB977646" s="251"/>
      <c r="AE977646" s="251"/>
      <c r="AH977646" s="251"/>
      <c r="AK977646" s="251"/>
    </row>
    <row r="977761" spans="25:37" x14ac:dyDescent="0.2">
      <c r="Y977761" s="5"/>
      <c r="AB977761" s="5"/>
      <c r="AE977761" s="5"/>
      <c r="AH977761" s="5"/>
      <c r="AK977761" s="5"/>
    </row>
    <row r="977771" spans="25:37" x14ac:dyDescent="0.2">
      <c r="Y977771" s="251"/>
      <c r="AB977771" s="251"/>
      <c r="AE977771" s="251"/>
      <c r="AH977771" s="251"/>
      <c r="AK977771" s="251"/>
    </row>
    <row r="977886" spans="25:37" x14ac:dyDescent="0.2">
      <c r="Y977886" s="5"/>
      <c r="AB977886" s="5"/>
      <c r="AE977886" s="5"/>
      <c r="AH977886" s="5"/>
      <c r="AK977886" s="5"/>
    </row>
    <row r="977896" spans="25:37" x14ac:dyDescent="0.2">
      <c r="Y977896" s="251"/>
      <c r="AB977896" s="251"/>
      <c r="AE977896" s="251"/>
      <c r="AH977896" s="251"/>
      <c r="AK977896" s="251"/>
    </row>
    <row r="978011" spans="25:37" x14ac:dyDescent="0.2">
      <c r="Y978011" s="5"/>
      <c r="AB978011" s="5"/>
      <c r="AE978011" s="5"/>
      <c r="AH978011" s="5"/>
      <c r="AK978011" s="5"/>
    </row>
    <row r="978021" spans="25:37" x14ac:dyDescent="0.2">
      <c r="Y978021" s="251"/>
      <c r="AB978021" s="251"/>
      <c r="AE978021" s="251"/>
      <c r="AH978021" s="251"/>
      <c r="AK978021" s="251"/>
    </row>
    <row r="978136" spans="25:37" x14ac:dyDescent="0.2">
      <c r="Y978136" s="5"/>
      <c r="AB978136" s="5"/>
      <c r="AE978136" s="5"/>
      <c r="AH978136" s="5"/>
      <c r="AK978136" s="5"/>
    </row>
    <row r="978146" spans="25:37" x14ac:dyDescent="0.2">
      <c r="Y978146" s="251"/>
      <c r="AB978146" s="251"/>
      <c r="AE978146" s="251"/>
      <c r="AH978146" s="251"/>
      <c r="AK978146" s="251"/>
    </row>
    <row r="978261" spans="25:37" x14ac:dyDescent="0.2">
      <c r="Y978261" s="5"/>
      <c r="AB978261" s="5"/>
      <c r="AE978261" s="5"/>
      <c r="AH978261" s="5"/>
      <c r="AK978261" s="5"/>
    </row>
    <row r="978271" spans="25:37" x14ac:dyDescent="0.2">
      <c r="Y978271" s="251"/>
      <c r="AB978271" s="251"/>
      <c r="AE978271" s="251"/>
      <c r="AH978271" s="251"/>
      <c r="AK978271" s="251"/>
    </row>
    <row r="978386" spans="25:37" x14ac:dyDescent="0.2">
      <c r="Y978386" s="5"/>
      <c r="AB978386" s="5"/>
      <c r="AE978386" s="5"/>
      <c r="AH978386" s="5"/>
      <c r="AK978386" s="5"/>
    </row>
    <row r="978396" spans="25:37" x14ac:dyDescent="0.2">
      <c r="Y978396" s="251"/>
      <c r="AB978396" s="251"/>
      <c r="AE978396" s="251"/>
      <c r="AH978396" s="251"/>
      <c r="AK978396" s="251"/>
    </row>
    <row r="978511" spans="25:37" x14ac:dyDescent="0.2">
      <c r="Y978511" s="5"/>
      <c r="AB978511" s="5"/>
      <c r="AE978511" s="5"/>
      <c r="AH978511" s="5"/>
      <c r="AK978511" s="5"/>
    </row>
    <row r="978521" spans="25:37" x14ac:dyDescent="0.2">
      <c r="Y978521" s="251"/>
      <c r="AB978521" s="251"/>
      <c r="AE978521" s="251"/>
      <c r="AH978521" s="251"/>
      <c r="AK978521" s="251"/>
    </row>
    <row r="978636" spans="25:37" x14ac:dyDescent="0.2">
      <c r="Y978636" s="5"/>
      <c r="AB978636" s="5"/>
      <c r="AE978636" s="5"/>
      <c r="AH978636" s="5"/>
      <c r="AK978636" s="5"/>
    </row>
    <row r="978646" spans="25:37" x14ac:dyDescent="0.2">
      <c r="Y978646" s="251"/>
      <c r="AB978646" s="251"/>
      <c r="AE978646" s="251"/>
      <c r="AH978646" s="251"/>
      <c r="AK978646" s="251"/>
    </row>
    <row r="978761" spans="25:37" x14ac:dyDescent="0.2">
      <c r="Y978761" s="5"/>
      <c r="AB978761" s="5"/>
      <c r="AE978761" s="5"/>
      <c r="AH978761" s="5"/>
      <c r="AK978761" s="5"/>
    </row>
    <row r="978771" spans="25:37" x14ac:dyDescent="0.2">
      <c r="Y978771" s="251"/>
      <c r="AB978771" s="251"/>
      <c r="AE978771" s="251"/>
      <c r="AH978771" s="251"/>
      <c r="AK978771" s="251"/>
    </row>
    <row r="978886" spans="25:37" x14ac:dyDescent="0.2">
      <c r="Y978886" s="5"/>
      <c r="AB978886" s="5"/>
      <c r="AE978886" s="5"/>
      <c r="AH978886" s="5"/>
      <c r="AK978886" s="5"/>
    </row>
    <row r="978896" spans="25:37" x14ac:dyDescent="0.2">
      <c r="Y978896" s="251"/>
      <c r="AB978896" s="251"/>
      <c r="AE978896" s="251"/>
      <c r="AH978896" s="251"/>
      <c r="AK978896" s="251"/>
    </row>
    <row r="979011" spans="25:37" x14ac:dyDescent="0.2">
      <c r="Y979011" s="5"/>
      <c r="AB979011" s="5"/>
      <c r="AE979011" s="5"/>
      <c r="AH979011" s="5"/>
      <c r="AK979011" s="5"/>
    </row>
    <row r="979021" spans="25:37" x14ac:dyDescent="0.2">
      <c r="Y979021" s="251"/>
      <c r="AB979021" s="251"/>
      <c r="AE979021" s="251"/>
      <c r="AH979021" s="251"/>
      <c r="AK979021" s="251"/>
    </row>
    <row r="979136" spans="25:37" x14ac:dyDescent="0.2">
      <c r="Y979136" s="5"/>
      <c r="AB979136" s="5"/>
      <c r="AE979136" s="5"/>
      <c r="AH979136" s="5"/>
      <c r="AK979136" s="5"/>
    </row>
    <row r="979146" spans="25:37" x14ac:dyDescent="0.2">
      <c r="Y979146" s="251"/>
      <c r="AB979146" s="251"/>
      <c r="AE979146" s="251"/>
      <c r="AH979146" s="251"/>
      <c r="AK979146" s="251"/>
    </row>
    <row r="979261" spans="25:37" x14ac:dyDescent="0.2">
      <c r="Y979261" s="5"/>
      <c r="AB979261" s="5"/>
      <c r="AE979261" s="5"/>
      <c r="AH979261" s="5"/>
      <c r="AK979261" s="5"/>
    </row>
    <row r="979271" spans="25:37" x14ac:dyDescent="0.2">
      <c r="Y979271" s="251"/>
      <c r="AB979271" s="251"/>
      <c r="AE979271" s="251"/>
      <c r="AH979271" s="251"/>
      <c r="AK979271" s="251"/>
    </row>
    <row r="979386" spans="25:37" x14ac:dyDescent="0.2">
      <c r="Y979386" s="5"/>
      <c r="AB979386" s="5"/>
      <c r="AE979386" s="5"/>
      <c r="AH979386" s="5"/>
      <c r="AK979386" s="5"/>
    </row>
    <row r="979396" spans="25:37" x14ac:dyDescent="0.2">
      <c r="Y979396" s="251"/>
      <c r="AB979396" s="251"/>
      <c r="AE979396" s="251"/>
      <c r="AH979396" s="251"/>
      <c r="AK979396" s="251"/>
    </row>
    <row r="979511" spans="25:37" x14ac:dyDescent="0.2">
      <c r="Y979511" s="5"/>
      <c r="AB979511" s="5"/>
      <c r="AE979511" s="5"/>
      <c r="AH979511" s="5"/>
      <c r="AK979511" s="5"/>
    </row>
    <row r="979521" spans="25:37" x14ac:dyDescent="0.2">
      <c r="Y979521" s="251"/>
      <c r="AB979521" s="251"/>
      <c r="AE979521" s="251"/>
      <c r="AH979521" s="251"/>
      <c r="AK979521" s="251"/>
    </row>
    <row r="979636" spans="25:37" x14ac:dyDescent="0.2">
      <c r="Y979636" s="5"/>
      <c r="AB979636" s="5"/>
      <c r="AE979636" s="5"/>
      <c r="AH979636" s="5"/>
      <c r="AK979636" s="5"/>
    </row>
    <row r="979646" spans="25:37" x14ac:dyDescent="0.2">
      <c r="Y979646" s="251"/>
      <c r="AB979646" s="251"/>
      <c r="AE979646" s="251"/>
      <c r="AH979646" s="251"/>
      <c r="AK979646" s="251"/>
    </row>
    <row r="979761" spans="25:37" x14ac:dyDescent="0.2">
      <c r="Y979761" s="5"/>
      <c r="AB979761" s="5"/>
      <c r="AE979761" s="5"/>
      <c r="AH979761" s="5"/>
      <c r="AK979761" s="5"/>
    </row>
    <row r="979771" spans="25:37" x14ac:dyDescent="0.2">
      <c r="Y979771" s="251"/>
      <c r="AB979771" s="251"/>
      <c r="AE979771" s="251"/>
      <c r="AH979771" s="251"/>
      <c r="AK979771" s="251"/>
    </row>
    <row r="979886" spans="25:37" x14ac:dyDescent="0.2">
      <c r="Y979886" s="5"/>
      <c r="AB979886" s="5"/>
      <c r="AE979886" s="5"/>
      <c r="AH979886" s="5"/>
      <c r="AK979886" s="5"/>
    </row>
    <row r="979896" spans="25:37" x14ac:dyDescent="0.2">
      <c r="Y979896" s="251"/>
      <c r="AB979896" s="251"/>
      <c r="AE979896" s="251"/>
      <c r="AH979896" s="251"/>
      <c r="AK979896" s="251"/>
    </row>
    <row r="980011" spans="25:37" x14ac:dyDescent="0.2">
      <c r="Y980011" s="5"/>
      <c r="AB980011" s="5"/>
      <c r="AE980011" s="5"/>
      <c r="AH980011" s="5"/>
      <c r="AK980011" s="5"/>
    </row>
    <row r="980021" spans="25:37" x14ac:dyDescent="0.2">
      <c r="Y980021" s="251"/>
      <c r="AB980021" s="251"/>
      <c r="AE980021" s="251"/>
      <c r="AH980021" s="251"/>
      <c r="AK980021" s="251"/>
    </row>
    <row r="980136" spans="25:37" x14ac:dyDescent="0.2">
      <c r="Y980136" s="5"/>
      <c r="AB980136" s="5"/>
      <c r="AE980136" s="5"/>
      <c r="AH980136" s="5"/>
      <c r="AK980136" s="5"/>
    </row>
    <row r="980146" spans="25:37" x14ac:dyDescent="0.2">
      <c r="Y980146" s="251"/>
      <c r="AB980146" s="251"/>
      <c r="AE980146" s="251"/>
      <c r="AH980146" s="251"/>
      <c r="AK980146" s="251"/>
    </row>
    <row r="980261" spans="25:37" x14ac:dyDescent="0.2">
      <c r="Y980261" s="5"/>
      <c r="AB980261" s="5"/>
      <c r="AE980261" s="5"/>
      <c r="AH980261" s="5"/>
      <c r="AK980261" s="5"/>
    </row>
    <row r="980271" spans="25:37" x14ac:dyDescent="0.2">
      <c r="Y980271" s="251"/>
      <c r="AB980271" s="251"/>
      <c r="AE980271" s="251"/>
      <c r="AH980271" s="251"/>
      <c r="AK980271" s="251"/>
    </row>
    <row r="980386" spans="25:37" x14ac:dyDescent="0.2">
      <c r="Y980386" s="5"/>
      <c r="AB980386" s="5"/>
      <c r="AE980386" s="5"/>
      <c r="AH980386" s="5"/>
      <c r="AK980386" s="5"/>
    </row>
    <row r="980396" spans="25:37" x14ac:dyDescent="0.2">
      <c r="Y980396" s="251"/>
      <c r="AB980396" s="251"/>
      <c r="AE980396" s="251"/>
      <c r="AH980396" s="251"/>
      <c r="AK980396" s="251"/>
    </row>
    <row r="980511" spans="25:37" x14ac:dyDescent="0.2">
      <c r="Y980511" s="5"/>
      <c r="AB980511" s="5"/>
      <c r="AE980511" s="5"/>
      <c r="AH980511" s="5"/>
      <c r="AK980511" s="5"/>
    </row>
    <row r="980521" spans="25:37" x14ac:dyDescent="0.2">
      <c r="Y980521" s="251"/>
      <c r="AB980521" s="251"/>
      <c r="AE980521" s="251"/>
      <c r="AH980521" s="251"/>
      <c r="AK980521" s="251"/>
    </row>
    <row r="980636" spans="25:37" x14ac:dyDescent="0.2">
      <c r="Y980636" s="5"/>
      <c r="AB980636" s="5"/>
      <c r="AE980636" s="5"/>
      <c r="AH980636" s="5"/>
      <c r="AK980636" s="5"/>
    </row>
    <row r="980646" spans="25:37" x14ac:dyDescent="0.2">
      <c r="Y980646" s="251"/>
      <c r="AB980646" s="251"/>
      <c r="AE980646" s="251"/>
      <c r="AH980646" s="251"/>
      <c r="AK980646" s="251"/>
    </row>
    <row r="980761" spans="25:37" x14ac:dyDescent="0.2">
      <c r="Y980761" s="5"/>
      <c r="AB980761" s="5"/>
      <c r="AE980761" s="5"/>
      <c r="AH980761" s="5"/>
      <c r="AK980761" s="5"/>
    </row>
    <row r="980771" spans="25:37" x14ac:dyDescent="0.2">
      <c r="Y980771" s="251"/>
      <c r="AB980771" s="251"/>
      <c r="AE980771" s="251"/>
      <c r="AH980771" s="251"/>
      <c r="AK980771" s="251"/>
    </row>
    <row r="980886" spans="25:37" x14ac:dyDescent="0.2">
      <c r="Y980886" s="5"/>
      <c r="AB980886" s="5"/>
      <c r="AE980886" s="5"/>
      <c r="AH980886" s="5"/>
      <c r="AK980886" s="5"/>
    </row>
    <row r="980896" spans="25:37" x14ac:dyDescent="0.2">
      <c r="Y980896" s="251"/>
      <c r="AB980896" s="251"/>
      <c r="AE980896" s="251"/>
      <c r="AH980896" s="251"/>
      <c r="AK980896" s="251"/>
    </row>
    <row r="981011" spans="25:37" x14ac:dyDescent="0.2">
      <c r="Y981011" s="5"/>
      <c r="AB981011" s="5"/>
      <c r="AE981011" s="5"/>
      <c r="AH981011" s="5"/>
      <c r="AK981011" s="5"/>
    </row>
    <row r="981021" spans="25:37" x14ac:dyDescent="0.2">
      <c r="Y981021" s="251"/>
      <c r="AB981021" s="251"/>
      <c r="AE981021" s="251"/>
      <c r="AH981021" s="251"/>
      <c r="AK981021" s="251"/>
    </row>
    <row r="981136" spans="25:37" x14ac:dyDescent="0.2">
      <c r="Y981136" s="5"/>
      <c r="AB981136" s="5"/>
      <c r="AE981136" s="5"/>
      <c r="AH981136" s="5"/>
      <c r="AK981136" s="5"/>
    </row>
    <row r="981146" spans="25:37" x14ac:dyDescent="0.2">
      <c r="Y981146" s="251"/>
      <c r="AB981146" s="251"/>
      <c r="AE981146" s="251"/>
      <c r="AH981146" s="251"/>
      <c r="AK981146" s="251"/>
    </row>
    <row r="981261" spans="25:37" x14ac:dyDescent="0.2">
      <c r="Y981261" s="5"/>
      <c r="AB981261" s="5"/>
      <c r="AE981261" s="5"/>
      <c r="AH981261" s="5"/>
      <c r="AK981261" s="5"/>
    </row>
    <row r="981271" spans="25:37" x14ac:dyDescent="0.2">
      <c r="Y981271" s="251"/>
      <c r="AB981271" s="251"/>
      <c r="AE981271" s="251"/>
      <c r="AH981271" s="251"/>
      <c r="AK981271" s="251"/>
    </row>
    <row r="981386" spans="25:37" x14ac:dyDescent="0.2">
      <c r="Y981386" s="5"/>
      <c r="AB981386" s="5"/>
      <c r="AE981386" s="5"/>
      <c r="AH981386" s="5"/>
      <c r="AK981386" s="5"/>
    </row>
    <row r="981396" spans="25:37" x14ac:dyDescent="0.2">
      <c r="Y981396" s="251"/>
      <c r="AB981396" s="251"/>
      <c r="AE981396" s="251"/>
      <c r="AH981396" s="251"/>
      <c r="AK981396" s="251"/>
    </row>
    <row r="981511" spans="25:37" x14ac:dyDescent="0.2">
      <c r="Y981511" s="5"/>
      <c r="AB981511" s="5"/>
      <c r="AE981511" s="5"/>
      <c r="AH981511" s="5"/>
      <c r="AK981511" s="5"/>
    </row>
    <row r="981521" spans="25:37" x14ac:dyDescent="0.2">
      <c r="Y981521" s="251"/>
      <c r="AB981521" s="251"/>
      <c r="AE981521" s="251"/>
      <c r="AH981521" s="251"/>
      <c r="AK981521" s="251"/>
    </row>
    <row r="981636" spans="25:37" x14ac:dyDescent="0.2">
      <c r="Y981636" s="5"/>
      <c r="AB981636" s="5"/>
      <c r="AE981636" s="5"/>
      <c r="AH981636" s="5"/>
      <c r="AK981636" s="5"/>
    </row>
    <row r="981646" spans="25:37" x14ac:dyDescent="0.2">
      <c r="Y981646" s="251"/>
      <c r="AB981646" s="251"/>
      <c r="AE981646" s="251"/>
      <c r="AH981646" s="251"/>
      <c r="AK981646" s="251"/>
    </row>
    <row r="981761" spans="25:37" x14ac:dyDescent="0.2">
      <c r="Y981761" s="5"/>
      <c r="AB981761" s="5"/>
      <c r="AE981761" s="5"/>
      <c r="AH981761" s="5"/>
      <c r="AK981761" s="5"/>
    </row>
    <row r="981771" spans="25:37" x14ac:dyDescent="0.2">
      <c r="Y981771" s="251"/>
      <c r="AB981771" s="251"/>
      <c r="AE981771" s="251"/>
      <c r="AH981771" s="251"/>
      <c r="AK981771" s="251"/>
    </row>
    <row r="981886" spans="25:37" x14ac:dyDescent="0.2">
      <c r="Y981886" s="5"/>
      <c r="AB981886" s="5"/>
      <c r="AE981886" s="5"/>
      <c r="AH981886" s="5"/>
      <c r="AK981886" s="5"/>
    </row>
    <row r="981896" spans="25:37" x14ac:dyDescent="0.2">
      <c r="Y981896" s="251"/>
      <c r="AB981896" s="251"/>
      <c r="AE981896" s="251"/>
      <c r="AH981896" s="251"/>
      <c r="AK981896" s="251"/>
    </row>
    <row r="982011" spans="25:37" x14ac:dyDescent="0.2">
      <c r="Y982011" s="5"/>
      <c r="AB982011" s="5"/>
      <c r="AE982011" s="5"/>
      <c r="AH982011" s="5"/>
      <c r="AK982011" s="5"/>
    </row>
    <row r="982021" spans="25:37" x14ac:dyDescent="0.2">
      <c r="Y982021" s="251"/>
      <c r="AB982021" s="251"/>
      <c r="AE982021" s="251"/>
      <c r="AH982021" s="251"/>
      <c r="AK982021" s="251"/>
    </row>
    <row r="982136" spans="25:37" x14ac:dyDescent="0.2">
      <c r="Y982136" s="5"/>
      <c r="AB982136" s="5"/>
      <c r="AE982136" s="5"/>
      <c r="AH982136" s="5"/>
      <c r="AK982136" s="5"/>
    </row>
    <row r="982146" spans="25:37" x14ac:dyDescent="0.2">
      <c r="Y982146" s="251"/>
      <c r="AB982146" s="251"/>
      <c r="AE982146" s="251"/>
      <c r="AH982146" s="251"/>
      <c r="AK982146" s="251"/>
    </row>
    <row r="982261" spans="25:37" x14ac:dyDescent="0.2">
      <c r="Y982261" s="5"/>
      <c r="AB982261" s="5"/>
      <c r="AE982261" s="5"/>
      <c r="AH982261" s="5"/>
      <c r="AK982261" s="5"/>
    </row>
    <row r="982271" spans="25:37" x14ac:dyDescent="0.2">
      <c r="Y982271" s="251"/>
      <c r="AB982271" s="251"/>
      <c r="AE982271" s="251"/>
      <c r="AH982271" s="251"/>
      <c r="AK982271" s="251"/>
    </row>
    <row r="982386" spans="25:37" x14ac:dyDescent="0.2">
      <c r="Y982386" s="5"/>
      <c r="AB982386" s="5"/>
      <c r="AE982386" s="5"/>
      <c r="AH982386" s="5"/>
      <c r="AK982386" s="5"/>
    </row>
    <row r="982396" spans="25:37" x14ac:dyDescent="0.2">
      <c r="Y982396" s="251"/>
      <c r="AB982396" s="251"/>
      <c r="AE982396" s="251"/>
      <c r="AH982396" s="251"/>
      <c r="AK982396" s="251"/>
    </row>
    <row r="982511" spans="25:37" x14ac:dyDescent="0.2">
      <c r="Y982511" s="5"/>
      <c r="AB982511" s="5"/>
      <c r="AE982511" s="5"/>
      <c r="AH982511" s="5"/>
      <c r="AK982511" s="5"/>
    </row>
    <row r="982521" spans="25:37" x14ac:dyDescent="0.2">
      <c r="Y982521" s="251"/>
      <c r="AB982521" s="251"/>
      <c r="AE982521" s="251"/>
      <c r="AH982521" s="251"/>
      <c r="AK982521" s="251"/>
    </row>
    <row r="982636" spans="25:37" x14ac:dyDescent="0.2">
      <c r="Y982636" s="5"/>
      <c r="AB982636" s="5"/>
      <c r="AE982636" s="5"/>
      <c r="AH982636" s="5"/>
      <c r="AK982636" s="5"/>
    </row>
    <row r="982646" spans="25:37" x14ac:dyDescent="0.2">
      <c r="Y982646" s="251"/>
      <c r="AB982646" s="251"/>
      <c r="AE982646" s="251"/>
      <c r="AH982646" s="251"/>
      <c r="AK982646" s="251"/>
    </row>
    <row r="982761" spans="25:37" x14ac:dyDescent="0.2">
      <c r="Y982761" s="5"/>
      <c r="AB982761" s="5"/>
      <c r="AE982761" s="5"/>
      <c r="AH982761" s="5"/>
      <c r="AK982761" s="5"/>
    </row>
    <row r="982771" spans="25:37" x14ac:dyDescent="0.2">
      <c r="Y982771" s="251"/>
      <c r="AB982771" s="251"/>
      <c r="AE982771" s="251"/>
      <c r="AH982771" s="251"/>
      <c r="AK982771" s="251"/>
    </row>
    <row r="982886" spans="25:37" x14ac:dyDescent="0.2">
      <c r="Y982886" s="5"/>
      <c r="AB982886" s="5"/>
      <c r="AE982886" s="5"/>
      <c r="AH982886" s="5"/>
      <c r="AK982886" s="5"/>
    </row>
    <row r="982896" spans="25:37" x14ac:dyDescent="0.2">
      <c r="Y982896" s="251"/>
      <c r="AB982896" s="251"/>
      <c r="AE982896" s="251"/>
      <c r="AH982896" s="251"/>
      <c r="AK982896" s="251"/>
    </row>
    <row r="983011" spans="25:37" x14ac:dyDescent="0.2">
      <c r="Y983011" s="5"/>
      <c r="AB983011" s="5"/>
      <c r="AE983011" s="5"/>
      <c r="AH983011" s="5"/>
      <c r="AK983011" s="5"/>
    </row>
    <row r="983021" spans="25:37" x14ac:dyDescent="0.2">
      <c r="Y983021" s="251"/>
      <c r="AB983021" s="251"/>
      <c r="AE983021" s="251"/>
      <c r="AH983021" s="251"/>
      <c r="AK983021" s="251"/>
    </row>
    <row r="983136" spans="25:37" x14ac:dyDescent="0.2">
      <c r="Y983136" s="5"/>
      <c r="AB983136" s="5"/>
      <c r="AE983136" s="5"/>
      <c r="AH983136" s="5"/>
      <c r="AK983136" s="5"/>
    </row>
    <row r="983146" spans="25:37" x14ac:dyDescent="0.2">
      <c r="Y983146" s="251"/>
      <c r="AB983146" s="251"/>
      <c r="AE983146" s="251"/>
      <c r="AH983146" s="251"/>
      <c r="AK983146" s="251"/>
    </row>
    <row r="983261" spans="25:37" x14ac:dyDescent="0.2">
      <c r="Y983261" s="5"/>
      <c r="AB983261" s="5"/>
      <c r="AE983261" s="5"/>
      <c r="AH983261" s="5"/>
      <c r="AK983261" s="5"/>
    </row>
    <row r="983271" spans="25:37" x14ac:dyDescent="0.2">
      <c r="Y983271" s="251"/>
      <c r="AB983271" s="251"/>
      <c r="AE983271" s="251"/>
      <c r="AH983271" s="251"/>
      <c r="AK983271" s="251"/>
    </row>
    <row r="983386" spans="25:37" x14ac:dyDescent="0.2">
      <c r="Y983386" s="5"/>
      <c r="AB983386" s="5"/>
      <c r="AE983386" s="5"/>
      <c r="AH983386" s="5"/>
      <c r="AK983386" s="5"/>
    </row>
    <row r="983396" spans="25:37" x14ac:dyDescent="0.2">
      <c r="Y983396" s="251"/>
      <c r="AB983396" s="251"/>
      <c r="AE983396" s="251"/>
      <c r="AH983396" s="251"/>
      <c r="AK983396" s="251"/>
    </row>
    <row r="983511" spans="25:37" x14ac:dyDescent="0.2">
      <c r="Y983511" s="5"/>
      <c r="AB983511" s="5"/>
      <c r="AE983511" s="5"/>
      <c r="AH983511" s="5"/>
      <c r="AK983511" s="5"/>
    </row>
    <row r="983521" spans="25:37" x14ac:dyDescent="0.2">
      <c r="Y983521" s="251"/>
      <c r="AB983521" s="251"/>
      <c r="AE983521" s="251"/>
      <c r="AH983521" s="251"/>
      <c r="AK983521" s="251"/>
    </row>
    <row r="983636" spans="25:37" x14ac:dyDescent="0.2">
      <c r="Y983636" s="5"/>
      <c r="AB983636" s="5"/>
      <c r="AE983636" s="5"/>
      <c r="AH983636" s="5"/>
      <c r="AK983636" s="5"/>
    </row>
    <row r="983646" spans="25:37" x14ac:dyDescent="0.2">
      <c r="Y983646" s="251"/>
      <c r="AB983646" s="251"/>
      <c r="AE983646" s="251"/>
      <c r="AH983646" s="251"/>
      <c r="AK983646" s="251"/>
    </row>
    <row r="983761" spans="25:37" x14ac:dyDescent="0.2">
      <c r="Y983761" s="5"/>
      <c r="AB983761" s="5"/>
      <c r="AE983761" s="5"/>
      <c r="AH983761" s="5"/>
      <c r="AK983761" s="5"/>
    </row>
    <row r="983771" spans="25:37" x14ac:dyDescent="0.2">
      <c r="Y983771" s="251"/>
      <c r="AB983771" s="251"/>
      <c r="AE983771" s="251"/>
      <c r="AH983771" s="251"/>
      <c r="AK983771" s="251"/>
    </row>
    <row r="983886" spans="25:37" x14ac:dyDescent="0.2">
      <c r="Y983886" s="5"/>
      <c r="AB983886" s="5"/>
      <c r="AE983886" s="5"/>
      <c r="AH983886" s="5"/>
      <c r="AK983886" s="5"/>
    </row>
    <row r="983896" spans="25:37" x14ac:dyDescent="0.2">
      <c r="Y983896" s="251"/>
      <c r="AB983896" s="251"/>
      <c r="AE983896" s="251"/>
      <c r="AH983896" s="251"/>
      <c r="AK983896" s="251"/>
    </row>
    <row r="984011" spans="25:37" x14ac:dyDescent="0.2">
      <c r="Y984011" s="5"/>
      <c r="AB984011" s="5"/>
      <c r="AE984011" s="5"/>
      <c r="AH984011" s="5"/>
      <c r="AK984011" s="5"/>
    </row>
    <row r="984021" spans="25:37" x14ac:dyDescent="0.2">
      <c r="Y984021" s="251"/>
      <c r="AB984021" s="251"/>
      <c r="AE984021" s="251"/>
      <c r="AH984021" s="251"/>
      <c r="AK984021" s="251"/>
    </row>
    <row r="984136" spans="25:37" x14ac:dyDescent="0.2">
      <c r="Y984136" s="5"/>
      <c r="AB984136" s="5"/>
      <c r="AE984136" s="5"/>
      <c r="AH984136" s="5"/>
      <c r="AK984136" s="5"/>
    </row>
    <row r="984146" spans="25:37" x14ac:dyDescent="0.2">
      <c r="Y984146" s="251"/>
      <c r="AB984146" s="251"/>
      <c r="AE984146" s="251"/>
      <c r="AH984146" s="251"/>
      <c r="AK984146" s="251"/>
    </row>
    <row r="984261" spans="25:37" x14ac:dyDescent="0.2">
      <c r="Y984261" s="5"/>
      <c r="AB984261" s="5"/>
      <c r="AE984261" s="5"/>
      <c r="AH984261" s="5"/>
      <c r="AK984261" s="5"/>
    </row>
    <row r="984271" spans="25:37" x14ac:dyDescent="0.2">
      <c r="Y984271" s="251"/>
      <c r="AB984271" s="251"/>
      <c r="AE984271" s="251"/>
      <c r="AH984271" s="251"/>
      <c r="AK984271" s="251"/>
    </row>
    <row r="984386" spans="25:37" x14ac:dyDescent="0.2">
      <c r="Y984386" s="5"/>
      <c r="AB984386" s="5"/>
      <c r="AE984386" s="5"/>
      <c r="AH984386" s="5"/>
      <c r="AK984386" s="5"/>
    </row>
    <row r="984396" spans="25:37" x14ac:dyDescent="0.2">
      <c r="Y984396" s="251"/>
      <c r="AB984396" s="251"/>
      <c r="AE984396" s="251"/>
      <c r="AH984396" s="251"/>
      <c r="AK984396" s="251"/>
    </row>
    <row r="984511" spans="25:37" x14ac:dyDescent="0.2">
      <c r="Y984511" s="5"/>
      <c r="AB984511" s="5"/>
      <c r="AE984511" s="5"/>
      <c r="AH984511" s="5"/>
      <c r="AK984511" s="5"/>
    </row>
    <row r="984521" spans="25:37" x14ac:dyDescent="0.2">
      <c r="Y984521" s="251"/>
      <c r="AB984521" s="251"/>
      <c r="AE984521" s="251"/>
      <c r="AH984521" s="251"/>
      <c r="AK984521" s="251"/>
    </row>
    <row r="984636" spans="25:37" x14ac:dyDescent="0.2">
      <c r="Y984636" s="5"/>
      <c r="AB984636" s="5"/>
      <c r="AE984636" s="5"/>
      <c r="AH984636" s="5"/>
      <c r="AK984636" s="5"/>
    </row>
    <row r="984646" spans="25:37" x14ac:dyDescent="0.2">
      <c r="Y984646" s="251"/>
      <c r="AB984646" s="251"/>
      <c r="AE984646" s="251"/>
      <c r="AH984646" s="251"/>
      <c r="AK984646" s="251"/>
    </row>
    <row r="984761" spans="25:37" x14ac:dyDescent="0.2">
      <c r="Y984761" s="5"/>
      <c r="AB984761" s="5"/>
      <c r="AE984761" s="5"/>
      <c r="AH984761" s="5"/>
      <c r="AK984761" s="5"/>
    </row>
    <row r="984771" spans="25:37" x14ac:dyDescent="0.2">
      <c r="Y984771" s="251"/>
      <c r="AB984771" s="251"/>
      <c r="AE984771" s="251"/>
      <c r="AH984771" s="251"/>
      <c r="AK984771" s="251"/>
    </row>
    <row r="984886" spans="25:37" x14ac:dyDescent="0.2">
      <c r="Y984886" s="5"/>
      <c r="AB984886" s="5"/>
      <c r="AE984886" s="5"/>
      <c r="AH984886" s="5"/>
      <c r="AK984886" s="5"/>
    </row>
    <row r="984896" spans="25:37" x14ac:dyDescent="0.2">
      <c r="Y984896" s="251"/>
      <c r="AB984896" s="251"/>
      <c r="AE984896" s="251"/>
      <c r="AH984896" s="251"/>
      <c r="AK984896" s="251"/>
    </row>
    <row r="985011" spans="25:37" x14ac:dyDescent="0.2">
      <c r="Y985011" s="5"/>
      <c r="AB985011" s="5"/>
      <c r="AE985011" s="5"/>
      <c r="AH985011" s="5"/>
      <c r="AK985011" s="5"/>
    </row>
    <row r="985021" spans="25:37" x14ac:dyDescent="0.2">
      <c r="Y985021" s="251"/>
      <c r="AB985021" s="251"/>
      <c r="AE985021" s="251"/>
      <c r="AH985021" s="251"/>
      <c r="AK985021" s="251"/>
    </row>
    <row r="985136" spans="25:37" x14ac:dyDescent="0.2">
      <c r="Y985136" s="5"/>
      <c r="AB985136" s="5"/>
      <c r="AE985136" s="5"/>
      <c r="AH985136" s="5"/>
      <c r="AK985136" s="5"/>
    </row>
    <row r="985146" spans="25:37" x14ac:dyDescent="0.2">
      <c r="Y985146" s="251"/>
      <c r="AB985146" s="251"/>
      <c r="AE985146" s="251"/>
      <c r="AH985146" s="251"/>
      <c r="AK985146" s="251"/>
    </row>
    <row r="985261" spans="25:37" x14ac:dyDescent="0.2">
      <c r="Y985261" s="5"/>
      <c r="AB985261" s="5"/>
      <c r="AE985261" s="5"/>
      <c r="AH985261" s="5"/>
      <c r="AK985261" s="5"/>
    </row>
    <row r="985271" spans="25:37" x14ac:dyDescent="0.2">
      <c r="Y985271" s="251"/>
      <c r="AB985271" s="251"/>
      <c r="AE985271" s="251"/>
      <c r="AH985271" s="251"/>
      <c r="AK985271" s="251"/>
    </row>
    <row r="985386" spans="25:37" x14ac:dyDescent="0.2">
      <c r="Y985386" s="5"/>
      <c r="AB985386" s="5"/>
      <c r="AE985386" s="5"/>
      <c r="AH985386" s="5"/>
      <c r="AK985386" s="5"/>
    </row>
    <row r="985396" spans="25:37" x14ac:dyDescent="0.2">
      <c r="Y985396" s="251"/>
      <c r="AB985396" s="251"/>
      <c r="AE985396" s="251"/>
      <c r="AH985396" s="251"/>
      <c r="AK985396" s="251"/>
    </row>
    <row r="985511" spans="25:37" x14ac:dyDescent="0.2">
      <c r="Y985511" s="5"/>
      <c r="AB985511" s="5"/>
      <c r="AE985511" s="5"/>
      <c r="AH985511" s="5"/>
      <c r="AK985511" s="5"/>
    </row>
    <row r="985521" spans="25:37" x14ac:dyDescent="0.2">
      <c r="Y985521" s="251"/>
      <c r="AB985521" s="251"/>
      <c r="AE985521" s="251"/>
      <c r="AH985521" s="251"/>
      <c r="AK985521" s="251"/>
    </row>
    <row r="985636" spans="25:37" x14ac:dyDescent="0.2">
      <c r="Y985636" s="5"/>
      <c r="AB985636" s="5"/>
      <c r="AE985636" s="5"/>
      <c r="AH985636" s="5"/>
      <c r="AK985636" s="5"/>
    </row>
    <row r="985646" spans="25:37" x14ac:dyDescent="0.2">
      <c r="Y985646" s="251"/>
      <c r="AB985646" s="251"/>
      <c r="AE985646" s="251"/>
      <c r="AH985646" s="251"/>
      <c r="AK985646" s="251"/>
    </row>
    <row r="985761" spans="25:37" x14ac:dyDescent="0.2">
      <c r="Y985761" s="5"/>
      <c r="AB985761" s="5"/>
      <c r="AE985761" s="5"/>
      <c r="AH985761" s="5"/>
      <c r="AK985761" s="5"/>
    </row>
    <row r="985771" spans="25:37" x14ac:dyDescent="0.2">
      <c r="Y985771" s="251"/>
      <c r="AB985771" s="251"/>
      <c r="AE985771" s="251"/>
      <c r="AH985771" s="251"/>
      <c r="AK985771" s="251"/>
    </row>
    <row r="985886" spans="25:37" x14ac:dyDescent="0.2">
      <c r="Y985886" s="5"/>
      <c r="AB985886" s="5"/>
      <c r="AE985886" s="5"/>
      <c r="AH985886" s="5"/>
      <c r="AK985886" s="5"/>
    </row>
    <row r="985896" spans="25:37" x14ac:dyDescent="0.2">
      <c r="Y985896" s="251"/>
      <c r="AB985896" s="251"/>
      <c r="AE985896" s="251"/>
      <c r="AH985896" s="251"/>
      <c r="AK985896" s="251"/>
    </row>
    <row r="986011" spans="25:37" x14ac:dyDescent="0.2">
      <c r="Y986011" s="5"/>
      <c r="AB986011" s="5"/>
      <c r="AE986011" s="5"/>
      <c r="AH986011" s="5"/>
      <c r="AK986011" s="5"/>
    </row>
    <row r="986021" spans="25:37" x14ac:dyDescent="0.2">
      <c r="Y986021" s="251"/>
      <c r="AB986021" s="251"/>
      <c r="AE986021" s="251"/>
      <c r="AH986021" s="251"/>
      <c r="AK986021" s="251"/>
    </row>
    <row r="986136" spans="25:37" x14ac:dyDescent="0.2">
      <c r="Y986136" s="5"/>
      <c r="AB986136" s="5"/>
      <c r="AE986136" s="5"/>
      <c r="AH986136" s="5"/>
      <c r="AK986136" s="5"/>
    </row>
    <row r="986146" spans="25:37" x14ac:dyDescent="0.2">
      <c r="Y986146" s="251"/>
      <c r="AB986146" s="251"/>
      <c r="AE986146" s="251"/>
      <c r="AH986146" s="251"/>
      <c r="AK986146" s="251"/>
    </row>
    <row r="986261" spans="25:37" x14ac:dyDescent="0.2">
      <c r="Y986261" s="5"/>
      <c r="AB986261" s="5"/>
      <c r="AE986261" s="5"/>
      <c r="AH986261" s="5"/>
      <c r="AK986261" s="5"/>
    </row>
    <row r="986271" spans="25:37" x14ac:dyDescent="0.2">
      <c r="Y986271" s="251"/>
      <c r="AB986271" s="251"/>
      <c r="AE986271" s="251"/>
      <c r="AH986271" s="251"/>
      <c r="AK986271" s="251"/>
    </row>
    <row r="986386" spans="25:37" x14ac:dyDescent="0.2">
      <c r="Y986386" s="5"/>
      <c r="AB986386" s="5"/>
      <c r="AE986386" s="5"/>
      <c r="AH986386" s="5"/>
      <c r="AK986386" s="5"/>
    </row>
    <row r="986396" spans="25:37" x14ac:dyDescent="0.2">
      <c r="Y986396" s="251"/>
      <c r="AB986396" s="251"/>
      <c r="AE986396" s="251"/>
      <c r="AH986396" s="251"/>
      <c r="AK986396" s="251"/>
    </row>
    <row r="986511" spans="25:37" x14ac:dyDescent="0.2">
      <c r="Y986511" s="5"/>
      <c r="AB986511" s="5"/>
      <c r="AE986511" s="5"/>
      <c r="AH986511" s="5"/>
      <c r="AK986511" s="5"/>
    </row>
    <row r="986521" spans="25:37" x14ac:dyDescent="0.2">
      <c r="Y986521" s="251"/>
      <c r="AB986521" s="251"/>
      <c r="AE986521" s="251"/>
      <c r="AH986521" s="251"/>
      <c r="AK986521" s="251"/>
    </row>
    <row r="986636" spans="25:37" x14ac:dyDescent="0.2">
      <c r="Y986636" s="5"/>
      <c r="AB986636" s="5"/>
      <c r="AE986636" s="5"/>
      <c r="AH986636" s="5"/>
      <c r="AK986636" s="5"/>
    </row>
    <row r="986646" spans="25:37" x14ac:dyDescent="0.2">
      <c r="Y986646" s="251"/>
      <c r="AB986646" s="251"/>
      <c r="AE986646" s="251"/>
      <c r="AH986646" s="251"/>
      <c r="AK986646" s="251"/>
    </row>
    <row r="986761" spans="25:37" x14ac:dyDescent="0.2">
      <c r="Y986761" s="5"/>
      <c r="AB986761" s="5"/>
      <c r="AE986761" s="5"/>
      <c r="AH986761" s="5"/>
      <c r="AK986761" s="5"/>
    </row>
    <row r="986771" spans="25:37" x14ac:dyDescent="0.2">
      <c r="Y986771" s="251"/>
      <c r="AB986771" s="251"/>
      <c r="AE986771" s="251"/>
      <c r="AH986771" s="251"/>
      <c r="AK986771" s="251"/>
    </row>
    <row r="986886" spans="25:37" x14ac:dyDescent="0.2">
      <c r="Y986886" s="5"/>
      <c r="AB986886" s="5"/>
      <c r="AE986886" s="5"/>
      <c r="AH986886" s="5"/>
      <c r="AK986886" s="5"/>
    </row>
    <row r="986896" spans="25:37" x14ac:dyDescent="0.2">
      <c r="Y986896" s="251"/>
      <c r="AB986896" s="251"/>
      <c r="AE986896" s="251"/>
      <c r="AH986896" s="251"/>
      <c r="AK986896" s="251"/>
    </row>
    <row r="987011" spans="25:37" x14ac:dyDescent="0.2">
      <c r="Y987011" s="5"/>
      <c r="AB987011" s="5"/>
      <c r="AE987011" s="5"/>
      <c r="AH987011" s="5"/>
      <c r="AK987011" s="5"/>
    </row>
    <row r="987021" spans="25:37" x14ac:dyDescent="0.2">
      <c r="Y987021" s="251"/>
      <c r="AB987021" s="251"/>
      <c r="AE987021" s="251"/>
      <c r="AH987021" s="251"/>
      <c r="AK987021" s="251"/>
    </row>
    <row r="987136" spans="25:37" x14ac:dyDescent="0.2">
      <c r="Y987136" s="5"/>
      <c r="AB987136" s="5"/>
      <c r="AE987136" s="5"/>
      <c r="AH987136" s="5"/>
      <c r="AK987136" s="5"/>
    </row>
    <row r="987146" spans="25:37" x14ac:dyDescent="0.2">
      <c r="Y987146" s="251"/>
      <c r="AB987146" s="251"/>
      <c r="AE987146" s="251"/>
      <c r="AH987146" s="251"/>
      <c r="AK987146" s="251"/>
    </row>
    <row r="987261" spans="25:37" x14ac:dyDescent="0.2">
      <c r="Y987261" s="5"/>
      <c r="AB987261" s="5"/>
      <c r="AE987261" s="5"/>
      <c r="AH987261" s="5"/>
      <c r="AK987261" s="5"/>
    </row>
    <row r="987271" spans="25:37" x14ac:dyDescent="0.2">
      <c r="Y987271" s="251"/>
      <c r="AB987271" s="251"/>
      <c r="AE987271" s="251"/>
      <c r="AH987271" s="251"/>
      <c r="AK987271" s="251"/>
    </row>
    <row r="987386" spans="25:37" x14ac:dyDescent="0.2">
      <c r="Y987386" s="5"/>
      <c r="AB987386" s="5"/>
      <c r="AE987386" s="5"/>
      <c r="AH987386" s="5"/>
      <c r="AK987386" s="5"/>
    </row>
    <row r="987396" spans="25:37" x14ac:dyDescent="0.2">
      <c r="Y987396" s="251"/>
      <c r="AB987396" s="251"/>
      <c r="AE987396" s="251"/>
      <c r="AH987396" s="251"/>
      <c r="AK987396" s="251"/>
    </row>
    <row r="987511" spans="25:37" x14ac:dyDescent="0.2">
      <c r="Y987511" s="5"/>
      <c r="AB987511" s="5"/>
      <c r="AE987511" s="5"/>
      <c r="AH987511" s="5"/>
      <c r="AK987511" s="5"/>
    </row>
    <row r="987521" spans="25:37" x14ac:dyDescent="0.2">
      <c r="Y987521" s="251"/>
      <c r="AB987521" s="251"/>
      <c r="AE987521" s="251"/>
      <c r="AH987521" s="251"/>
      <c r="AK987521" s="251"/>
    </row>
    <row r="987636" spans="25:37" x14ac:dyDescent="0.2">
      <c r="Y987636" s="5"/>
      <c r="AB987636" s="5"/>
      <c r="AE987636" s="5"/>
      <c r="AH987636" s="5"/>
      <c r="AK987636" s="5"/>
    </row>
    <row r="987646" spans="25:37" x14ac:dyDescent="0.2">
      <c r="Y987646" s="251"/>
      <c r="AB987646" s="251"/>
      <c r="AE987646" s="251"/>
      <c r="AH987646" s="251"/>
      <c r="AK987646" s="251"/>
    </row>
    <row r="987761" spans="25:37" x14ac:dyDescent="0.2">
      <c r="Y987761" s="5"/>
      <c r="AB987761" s="5"/>
      <c r="AE987761" s="5"/>
      <c r="AH987761" s="5"/>
      <c r="AK987761" s="5"/>
    </row>
    <row r="987771" spans="25:37" x14ac:dyDescent="0.2">
      <c r="Y987771" s="251"/>
      <c r="AB987771" s="251"/>
      <c r="AE987771" s="251"/>
      <c r="AH987771" s="251"/>
      <c r="AK987771" s="251"/>
    </row>
    <row r="987886" spans="25:37" x14ac:dyDescent="0.2">
      <c r="Y987886" s="5"/>
      <c r="AB987886" s="5"/>
      <c r="AE987886" s="5"/>
      <c r="AH987886" s="5"/>
      <c r="AK987886" s="5"/>
    </row>
    <row r="987896" spans="25:37" x14ac:dyDescent="0.2">
      <c r="Y987896" s="251"/>
      <c r="AB987896" s="251"/>
      <c r="AE987896" s="251"/>
      <c r="AH987896" s="251"/>
      <c r="AK987896" s="251"/>
    </row>
    <row r="988011" spans="25:37" x14ac:dyDescent="0.2">
      <c r="Y988011" s="5"/>
      <c r="AB988011" s="5"/>
      <c r="AE988011" s="5"/>
      <c r="AH988011" s="5"/>
      <c r="AK988011" s="5"/>
    </row>
    <row r="988021" spans="25:37" x14ac:dyDescent="0.2">
      <c r="Y988021" s="251"/>
      <c r="AB988021" s="251"/>
      <c r="AE988021" s="251"/>
      <c r="AH988021" s="251"/>
      <c r="AK988021" s="251"/>
    </row>
    <row r="988136" spans="25:37" x14ac:dyDescent="0.2">
      <c r="Y988136" s="5"/>
      <c r="AB988136" s="5"/>
      <c r="AE988136" s="5"/>
      <c r="AH988136" s="5"/>
      <c r="AK988136" s="5"/>
    </row>
    <row r="988146" spans="25:37" x14ac:dyDescent="0.2">
      <c r="Y988146" s="251"/>
      <c r="AB988146" s="251"/>
      <c r="AE988146" s="251"/>
      <c r="AH988146" s="251"/>
      <c r="AK988146" s="251"/>
    </row>
    <row r="988261" spans="25:37" x14ac:dyDescent="0.2">
      <c r="Y988261" s="5"/>
      <c r="AB988261" s="5"/>
      <c r="AE988261" s="5"/>
      <c r="AH988261" s="5"/>
      <c r="AK988261" s="5"/>
    </row>
    <row r="988271" spans="25:37" x14ac:dyDescent="0.2">
      <c r="Y988271" s="251"/>
      <c r="AB988271" s="251"/>
      <c r="AE988271" s="251"/>
      <c r="AH988271" s="251"/>
      <c r="AK988271" s="251"/>
    </row>
    <row r="988386" spans="25:37" x14ac:dyDescent="0.2">
      <c r="Y988386" s="5"/>
      <c r="AB988386" s="5"/>
      <c r="AE988386" s="5"/>
      <c r="AH988386" s="5"/>
      <c r="AK988386" s="5"/>
    </row>
    <row r="988396" spans="25:37" x14ac:dyDescent="0.2">
      <c r="Y988396" s="251"/>
      <c r="AB988396" s="251"/>
      <c r="AE988396" s="251"/>
      <c r="AH988396" s="251"/>
      <c r="AK988396" s="251"/>
    </row>
    <row r="988511" spans="25:37" x14ac:dyDescent="0.2">
      <c r="Y988511" s="5"/>
      <c r="AB988511" s="5"/>
      <c r="AE988511" s="5"/>
      <c r="AH988511" s="5"/>
      <c r="AK988511" s="5"/>
    </row>
    <row r="988521" spans="25:37" x14ac:dyDescent="0.2">
      <c r="Y988521" s="251"/>
      <c r="AB988521" s="251"/>
      <c r="AE988521" s="251"/>
      <c r="AH988521" s="251"/>
      <c r="AK988521" s="251"/>
    </row>
    <row r="988636" spans="25:37" x14ac:dyDescent="0.2">
      <c r="Y988636" s="5"/>
      <c r="AB988636" s="5"/>
      <c r="AE988636" s="5"/>
      <c r="AH988636" s="5"/>
      <c r="AK988636" s="5"/>
    </row>
    <row r="988646" spans="25:37" x14ac:dyDescent="0.2">
      <c r="Y988646" s="251"/>
      <c r="AB988646" s="251"/>
      <c r="AE988646" s="251"/>
      <c r="AH988646" s="251"/>
      <c r="AK988646" s="251"/>
    </row>
    <row r="988761" spans="25:37" x14ac:dyDescent="0.2">
      <c r="Y988761" s="5"/>
      <c r="AB988761" s="5"/>
      <c r="AE988761" s="5"/>
      <c r="AH988761" s="5"/>
      <c r="AK988761" s="5"/>
    </row>
    <row r="988771" spans="25:37" x14ac:dyDescent="0.2">
      <c r="Y988771" s="251"/>
      <c r="AB988771" s="251"/>
      <c r="AE988771" s="251"/>
      <c r="AH988771" s="251"/>
      <c r="AK988771" s="251"/>
    </row>
    <row r="988886" spans="25:37" x14ac:dyDescent="0.2">
      <c r="Y988886" s="5"/>
      <c r="AB988886" s="5"/>
      <c r="AE988886" s="5"/>
      <c r="AH988886" s="5"/>
      <c r="AK988886" s="5"/>
    </row>
    <row r="988896" spans="25:37" x14ac:dyDescent="0.2">
      <c r="Y988896" s="251"/>
      <c r="AB988896" s="251"/>
      <c r="AE988896" s="251"/>
      <c r="AH988896" s="251"/>
      <c r="AK988896" s="251"/>
    </row>
    <row r="989011" spans="25:37" x14ac:dyDescent="0.2">
      <c r="Y989011" s="5"/>
      <c r="AB989011" s="5"/>
      <c r="AE989011" s="5"/>
      <c r="AH989011" s="5"/>
      <c r="AK989011" s="5"/>
    </row>
    <row r="989021" spans="25:37" x14ac:dyDescent="0.2">
      <c r="Y989021" s="251"/>
      <c r="AB989021" s="251"/>
      <c r="AE989021" s="251"/>
      <c r="AH989021" s="251"/>
      <c r="AK989021" s="251"/>
    </row>
    <row r="989136" spans="25:37" x14ac:dyDescent="0.2">
      <c r="Y989136" s="5"/>
      <c r="AB989136" s="5"/>
      <c r="AE989136" s="5"/>
      <c r="AH989136" s="5"/>
      <c r="AK989136" s="5"/>
    </row>
    <row r="989146" spans="25:37" x14ac:dyDescent="0.2">
      <c r="Y989146" s="251"/>
      <c r="AB989146" s="251"/>
      <c r="AE989146" s="251"/>
      <c r="AH989146" s="251"/>
      <c r="AK989146" s="251"/>
    </row>
    <row r="989261" spans="25:37" x14ac:dyDescent="0.2">
      <c r="Y989261" s="5"/>
      <c r="AB989261" s="5"/>
      <c r="AE989261" s="5"/>
      <c r="AH989261" s="5"/>
      <c r="AK989261" s="5"/>
    </row>
    <row r="989271" spans="25:37" x14ac:dyDescent="0.2">
      <c r="Y989271" s="251"/>
      <c r="AB989271" s="251"/>
      <c r="AE989271" s="251"/>
      <c r="AH989271" s="251"/>
      <c r="AK989271" s="251"/>
    </row>
    <row r="989386" spans="25:37" x14ac:dyDescent="0.2">
      <c r="Y989386" s="5"/>
      <c r="AB989386" s="5"/>
      <c r="AE989386" s="5"/>
      <c r="AH989386" s="5"/>
      <c r="AK989386" s="5"/>
    </row>
    <row r="989396" spans="25:37" x14ac:dyDescent="0.2">
      <c r="Y989396" s="251"/>
      <c r="AB989396" s="251"/>
      <c r="AE989396" s="251"/>
      <c r="AH989396" s="251"/>
      <c r="AK989396" s="251"/>
    </row>
    <row r="989511" spans="25:37" x14ac:dyDescent="0.2">
      <c r="Y989511" s="5"/>
      <c r="AB989511" s="5"/>
      <c r="AE989511" s="5"/>
      <c r="AH989511" s="5"/>
      <c r="AK989511" s="5"/>
    </row>
    <row r="989521" spans="25:37" x14ac:dyDescent="0.2">
      <c r="Y989521" s="251"/>
      <c r="AB989521" s="251"/>
      <c r="AE989521" s="251"/>
      <c r="AH989521" s="251"/>
      <c r="AK989521" s="251"/>
    </row>
    <row r="989636" spans="25:37" x14ac:dyDescent="0.2">
      <c r="Y989636" s="5"/>
      <c r="AB989636" s="5"/>
      <c r="AE989636" s="5"/>
      <c r="AH989636" s="5"/>
      <c r="AK989636" s="5"/>
    </row>
    <row r="989646" spans="25:37" x14ac:dyDescent="0.2">
      <c r="Y989646" s="251"/>
      <c r="AB989646" s="251"/>
      <c r="AE989646" s="251"/>
      <c r="AH989646" s="251"/>
      <c r="AK989646" s="251"/>
    </row>
    <row r="989761" spans="25:37" x14ac:dyDescent="0.2">
      <c r="Y989761" s="5"/>
      <c r="AB989761" s="5"/>
      <c r="AE989761" s="5"/>
      <c r="AH989761" s="5"/>
      <c r="AK989761" s="5"/>
    </row>
    <row r="989771" spans="25:37" x14ac:dyDescent="0.2">
      <c r="Y989771" s="251"/>
      <c r="AB989771" s="251"/>
      <c r="AE989771" s="251"/>
      <c r="AH989771" s="251"/>
      <c r="AK989771" s="251"/>
    </row>
    <row r="989886" spans="25:37" x14ac:dyDescent="0.2">
      <c r="Y989886" s="5"/>
      <c r="AB989886" s="5"/>
      <c r="AE989886" s="5"/>
      <c r="AH989886" s="5"/>
      <c r="AK989886" s="5"/>
    </row>
    <row r="989896" spans="25:37" x14ac:dyDescent="0.2">
      <c r="Y989896" s="251"/>
      <c r="AB989896" s="251"/>
      <c r="AE989896" s="251"/>
      <c r="AH989896" s="251"/>
      <c r="AK989896" s="251"/>
    </row>
    <row r="990011" spans="25:37" x14ac:dyDescent="0.2">
      <c r="Y990011" s="5"/>
      <c r="AB990011" s="5"/>
      <c r="AE990011" s="5"/>
      <c r="AH990011" s="5"/>
      <c r="AK990011" s="5"/>
    </row>
    <row r="990021" spans="25:37" x14ac:dyDescent="0.2">
      <c r="Y990021" s="251"/>
      <c r="AB990021" s="251"/>
      <c r="AE990021" s="251"/>
      <c r="AH990021" s="251"/>
      <c r="AK990021" s="251"/>
    </row>
    <row r="990136" spans="25:37" x14ac:dyDescent="0.2">
      <c r="Y990136" s="5"/>
      <c r="AB990136" s="5"/>
      <c r="AE990136" s="5"/>
      <c r="AH990136" s="5"/>
      <c r="AK990136" s="5"/>
    </row>
    <row r="990146" spans="25:37" x14ac:dyDescent="0.2">
      <c r="Y990146" s="251"/>
      <c r="AB990146" s="251"/>
      <c r="AE990146" s="251"/>
      <c r="AH990146" s="251"/>
      <c r="AK990146" s="251"/>
    </row>
    <row r="990261" spans="25:37" x14ac:dyDescent="0.2">
      <c r="Y990261" s="5"/>
      <c r="AB990261" s="5"/>
      <c r="AE990261" s="5"/>
      <c r="AH990261" s="5"/>
      <c r="AK990261" s="5"/>
    </row>
    <row r="990271" spans="25:37" x14ac:dyDescent="0.2">
      <c r="Y990271" s="251"/>
      <c r="AB990271" s="251"/>
      <c r="AE990271" s="251"/>
      <c r="AH990271" s="251"/>
      <c r="AK990271" s="251"/>
    </row>
    <row r="990386" spans="25:37" x14ac:dyDescent="0.2">
      <c r="Y990386" s="5"/>
      <c r="AB990386" s="5"/>
      <c r="AE990386" s="5"/>
      <c r="AH990386" s="5"/>
      <c r="AK990386" s="5"/>
    </row>
    <row r="990396" spans="25:37" x14ac:dyDescent="0.2">
      <c r="Y990396" s="251"/>
      <c r="AB990396" s="251"/>
      <c r="AE990396" s="251"/>
      <c r="AH990396" s="251"/>
      <c r="AK990396" s="251"/>
    </row>
    <row r="990511" spans="25:37" x14ac:dyDescent="0.2">
      <c r="Y990511" s="5"/>
      <c r="AB990511" s="5"/>
      <c r="AE990511" s="5"/>
      <c r="AH990511" s="5"/>
      <c r="AK990511" s="5"/>
    </row>
    <row r="990521" spans="25:37" x14ac:dyDescent="0.2">
      <c r="Y990521" s="251"/>
      <c r="AB990521" s="251"/>
      <c r="AE990521" s="251"/>
      <c r="AH990521" s="251"/>
      <c r="AK990521" s="251"/>
    </row>
    <row r="990636" spans="25:37" x14ac:dyDescent="0.2">
      <c r="Y990636" s="5"/>
      <c r="AB990636" s="5"/>
      <c r="AE990636" s="5"/>
      <c r="AH990636" s="5"/>
      <c r="AK990636" s="5"/>
    </row>
    <row r="990646" spans="25:37" x14ac:dyDescent="0.2">
      <c r="Y990646" s="251"/>
      <c r="AB990646" s="251"/>
      <c r="AE990646" s="251"/>
      <c r="AH990646" s="251"/>
      <c r="AK990646" s="251"/>
    </row>
    <row r="990761" spans="25:37" x14ac:dyDescent="0.2">
      <c r="Y990761" s="5"/>
      <c r="AB990761" s="5"/>
      <c r="AE990761" s="5"/>
      <c r="AH990761" s="5"/>
      <c r="AK990761" s="5"/>
    </row>
    <row r="990771" spans="25:37" x14ac:dyDescent="0.2">
      <c r="Y990771" s="251"/>
      <c r="AB990771" s="251"/>
      <c r="AE990771" s="251"/>
      <c r="AH990771" s="251"/>
      <c r="AK990771" s="251"/>
    </row>
    <row r="990886" spans="25:37" x14ac:dyDescent="0.2">
      <c r="Y990886" s="5"/>
      <c r="AB990886" s="5"/>
      <c r="AE990886" s="5"/>
      <c r="AH990886" s="5"/>
      <c r="AK990886" s="5"/>
    </row>
    <row r="990896" spans="25:37" x14ac:dyDescent="0.2">
      <c r="Y990896" s="251"/>
      <c r="AB990896" s="251"/>
      <c r="AE990896" s="251"/>
      <c r="AH990896" s="251"/>
      <c r="AK990896" s="251"/>
    </row>
    <row r="991011" spans="25:37" x14ac:dyDescent="0.2">
      <c r="Y991011" s="5"/>
      <c r="AB991011" s="5"/>
      <c r="AE991011" s="5"/>
      <c r="AH991011" s="5"/>
      <c r="AK991011" s="5"/>
    </row>
    <row r="991021" spans="25:37" x14ac:dyDescent="0.2">
      <c r="Y991021" s="251"/>
      <c r="AB991021" s="251"/>
      <c r="AE991021" s="251"/>
      <c r="AH991021" s="251"/>
      <c r="AK991021" s="251"/>
    </row>
    <row r="991136" spans="25:37" x14ac:dyDescent="0.2">
      <c r="Y991136" s="5"/>
      <c r="AB991136" s="5"/>
      <c r="AE991136" s="5"/>
      <c r="AH991136" s="5"/>
      <c r="AK991136" s="5"/>
    </row>
    <row r="991146" spans="25:37" x14ac:dyDescent="0.2">
      <c r="Y991146" s="251"/>
      <c r="AB991146" s="251"/>
      <c r="AE991146" s="251"/>
      <c r="AH991146" s="251"/>
      <c r="AK991146" s="251"/>
    </row>
    <row r="991261" spans="25:37" x14ac:dyDescent="0.2">
      <c r="Y991261" s="5"/>
      <c r="AB991261" s="5"/>
      <c r="AE991261" s="5"/>
      <c r="AH991261" s="5"/>
      <c r="AK991261" s="5"/>
    </row>
    <row r="991271" spans="25:37" x14ac:dyDescent="0.2">
      <c r="Y991271" s="251"/>
      <c r="AB991271" s="251"/>
      <c r="AE991271" s="251"/>
      <c r="AH991271" s="251"/>
      <c r="AK991271" s="251"/>
    </row>
    <row r="991386" spans="25:37" x14ac:dyDescent="0.2">
      <c r="Y991386" s="5"/>
      <c r="AB991386" s="5"/>
      <c r="AE991386" s="5"/>
      <c r="AH991386" s="5"/>
      <c r="AK991386" s="5"/>
    </row>
    <row r="991396" spans="25:37" x14ac:dyDescent="0.2">
      <c r="Y991396" s="251"/>
      <c r="AB991396" s="251"/>
      <c r="AE991396" s="251"/>
      <c r="AH991396" s="251"/>
      <c r="AK991396" s="251"/>
    </row>
    <row r="991511" spans="25:37" x14ac:dyDescent="0.2">
      <c r="Y991511" s="5"/>
      <c r="AB991511" s="5"/>
      <c r="AE991511" s="5"/>
      <c r="AH991511" s="5"/>
      <c r="AK991511" s="5"/>
    </row>
    <row r="991521" spans="25:37" x14ac:dyDescent="0.2">
      <c r="Y991521" s="251"/>
      <c r="AB991521" s="251"/>
      <c r="AE991521" s="251"/>
      <c r="AH991521" s="251"/>
      <c r="AK991521" s="251"/>
    </row>
    <row r="991636" spans="25:37" x14ac:dyDescent="0.2">
      <c r="Y991636" s="5"/>
      <c r="AB991636" s="5"/>
      <c r="AE991636" s="5"/>
      <c r="AH991636" s="5"/>
      <c r="AK991636" s="5"/>
    </row>
    <row r="991646" spans="25:37" x14ac:dyDescent="0.2">
      <c r="Y991646" s="251"/>
      <c r="AB991646" s="251"/>
      <c r="AE991646" s="251"/>
      <c r="AH991646" s="251"/>
      <c r="AK991646" s="251"/>
    </row>
    <row r="991761" spans="25:37" x14ac:dyDescent="0.2">
      <c r="Y991761" s="5"/>
      <c r="AB991761" s="5"/>
      <c r="AE991761" s="5"/>
      <c r="AH991761" s="5"/>
      <c r="AK991761" s="5"/>
    </row>
    <row r="991771" spans="25:37" x14ac:dyDescent="0.2">
      <c r="Y991771" s="251"/>
      <c r="AB991771" s="251"/>
      <c r="AE991771" s="251"/>
      <c r="AH991771" s="251"/>
      <c r="AK991771" s="251"/>
    </row>
    <row r="991886" spans="25:37" x14ac:dyDescent="0.2">
      <c r="Y991886" s="5"/>
      <c r="AB991886" s="5"/>
      <c r="AE991886" s="5"/>
      <c r="AH991886" s="5"/>
      <c r="AK991886" s="5"/>
    </row>
    <row r="991896" spans="25:37" x14ac:dyDescent="0.2">
      <c r="Y991896" s="251"/>
      <c r="AB991896" s="251"/>
      <c r="AE991896" s="251"/>
      <c r="AH991896" s="251"/>
      <c r="AK991896" s="251"/>
    </row>
    <row r="992011" spans="25:37" x14ac:dyDescent="0.2">
      <c r="Y992011" s="5"/>
      <c r="AB992011" s="5"/>
      <c r="AE992011" s="5"/>
      <c r="AH992011" s="5"/>
      <c r="AK992011" s="5"/>
    </row>
    <row r="992021" spans="25:37" x14ac:dyDescent="0.2">
      <c r="Y992021" s="251"/>
      <c r="AB992021" s="251"/>
      <c r="AE992021" s="251"/>
      <c r="AH992021" s="251"/>
      <c r="AK992021" s="251"/>
    </row>
    <row r="992136" spans="25:37" x14ac:dyDescent="0.2">
      <c r="Y992136" s="5"/>
      <c r="AB992136" s="5"/>
      <c r="AE992136" s="5"/>
      <c r="AH992136" s="5"/>
      <c r="AK992136" s="5"/>
    </row>
    <row r="992146" spans="25:37" x14ac:dyDescent="0.2">
      <c r="Y992146" s="251"/>
      <c r="AB992146" s="251"/>
      <c r="AE992146" s="251"/>
      <c r="AH992146" s="251"/>
      <c r="AK992146" s="251"/>
    </row>
    <row r="992261" spans="25:37" x14ac:dyDescent="0.2">
      <c r="Y992261" s="5"/>
      <c r="AB992261" s="5"/>
      <c r="AE992261" s="5"/>
      <c r="AH992261" s="5"/>
      <c r="AK992261" s="5"/>
    </row>
    <row r="992271" spans="25:37" x14ac:dyDescent="0.2">
      <c r="Y992271" s="251"/>
      <c r="AB992271" s="251"/>
      <c r="AE992271" s="251"/>
      <c r="AH992271" s="251"/>
      <c r="AK992271" s="251"/>
    </row>
    <row r="992386" spans="25:37" x14ac:dyDescent="0.2">
      <c r="Y992386" s="5"/>
      <c r="AB992386" s="5"/>
      <c r="AE992386" s="5"/>
      <c r="AH992386" s="5"/>
      <c r="AK992386" s="5"/>
    </row>
    <row r="992396" spans="25:37" x14ac:dyDescent="0.2">
      <c r="Y992396" s="251"/>
      <c r="AB992396" s="251"/>
      <c r="AE992396" s="251"/>
      <c r="AH992396" s="251"/>
      <c r="AK992396" s="251"/>
    </row>
    <row r="992511" spans="25:37" x14ac:dyDescent="0.2">
      <c r="Y992511" s="5"/>
      <c r="AB992511" s="5"/>
      <c r="AE992511" s="5"/>
      <c r="AH992511" s="5"/>
      <c r="AK992511" s="5"/>
    </row>
    <row r="992521" spans="25:37" x14ac:dyDescent="0.2">
      <c r="Y992521" s="251"/>
      <c r="AB992521" s="251"/>
      <c r="AE992521" s="251"/>
      <c r="AH992521" s="251"/>
      <c r="AK992521" s="251"/>
    </row>
    <row r="992636" spans="25:37" x14ac:dyDescent="0.2">
      <c r="Y992636" s="5"/>
      <c r="AB992636" s="5"/>
      <c r="AE992636" s="5"/>
      <c r="AH992636" s="5"/>
      <c r="AK992636" s="5"/>
    </row>
    <row r="992646" spans="25:37" x14ac:dyDescent="0.2">
      <c r="Y992646" s="251"/>
      <c r="AB992646" s="251"/>
      <c r="AE992646" s="251"/>
      <c r="AH992646" s="251"/>
      <c r="AK992646" s="251"/>
    </row>
    <row r="992761" spans="25:37" x14ac:dyDescent="0.2">
      <c r="Y992761" s="5"/>
      <c r="AB992761" s="5"/>
      <c r="AE992761" s="5"/>
      <c r="AH992761" s="5"/>
      <c r="AK992761" s="5"/>
    </row>
    <row r="992771" spans="25:37" x14ac:dyDescent="0.2">
      <c r="Y992771" s="251"/>
      <c r="AB992771" s="251"/>
      <c r="AE992771" s="251"/>
      <c r="AH992771" s="251"/>
      <c r="AK992771" s="251"/>
    </row>
    <row r="992886" spans="25:37" x14ac:dyDescent="0.2">
      <c r="Y992886" s="5"/>
      <c r="AB992886" s="5"/>
      <c r="AE992886" s="5"/>
      <c r="AH992886" s="5"/>
      <c r="AK992886" s="5"/>
    </row>
    <row r="992896" spans="25:37" x14ac:dyDescent="0.2">
      <c r="Y992896" s="251"/>
      <c r="AB992896" s="251"/>
      <c r="AE992896" s="251"/>
      <c r="AH992896" s="251"/>
      <c r="AK992896" s="251"/>
    </row>
    <row r="993011" spans="25:37" x14ac:dyDescent="0.2">
      <c r="Y993011" s="5"/>
      <c r="AB993011" s="5"/>
      <c r="AE993011" s="5"/>
      <c r="AH993011" s="5"/>
      <c r="AK993011" s="5"/>
    </row>
    <row r="993021" spans="25:37" x14ac:dyDescent="0.2">
      <c r="Y993021" s="251"/>
      <c r="AB993021" s="251"/>
      <c r="AE993021" s="251"/>
      <c r="AH993021" s="251"/>
      <c r="AK993021" s="251"/>
    </row>
    <row r="993136" spans="25:37" x14ac:dyDescent="0.2">
      <c r="Y993136" s="5"/>
      <c r="AB993136" s="5"/>
      <c r="AE993136" s="5"/>
      <c r="AH993136" s="5"/>
      <c r="AK993136" s="5"/>
    </row>
    <row r="993146" spans="25:37" x14ac:dyDescent="0.2">
      <c r="Y993146" s="251"/>
      <c r="AB993146" s="251"/>
      <c r="AE993146" s="251"/>
      <c r="AH993146" s="251"/>
      <c r="AK993146" s="251"/>
    </row>
    <row r="993261" spans="25:37" x14ac:dyDescent="0.2">
      <c r="Y993261" s="5"/>
      <c r="AB993261" s="5"/>
      <c r="AE993261" s="5"/>
      <c r="AH993261" s="5"/>
      <c r="AK993261" s="5"/>
    </row>
    <row r="993271" spans="25:37" x14ac:dyDescent="0.2">
      <c r="Y993271" s="251"/>
      <c r="AB993271" s="251"/>
      <c r="AE993271" s="251"/>
      <c r="AH993271" s="251"/>
      <c r="AK993271" s="251"/>
    </row>
    <row r="993386" spans="25:37" x14ac:dyDescent="0.2">
      <c r="Y993386" s="5"/>
      <c r="AB993386" s="5"/>
      <c r="AE993386" s="5"/>
      <c r="AH993386" s="5"/>
      <c r="AK993386" s="5"/>
    </row>
    <row r="993396" spans="25:37" x14ac:dyDescent="0.2">
      <c r="Y993396" s="251"/>
      <c r="AB993396" s="251"/>
      <c r="AE993396" s="251"/>
      <c r="AH993396" s="251"/>
      <c r="AK993396" s="251"/>
    </row>
    <row r="993511" spans="25:37" x14ac:dyDescent="0.2">
      <c r="Y993511" s="5"/>
      <c r="AB993511" s="5"/>
      <c r="AE993511" s="5"/>
      <c r="AH993511" s="5"/>
      <c r="AK993511" s="5"/>
    </row>
    <row r="993521" spans="25:37" x14ac:dyDescent="0.2">
      <c r="Y993521" s="251"/>
      <c r="AB993521" s="251"/>
      <c r="AE993521" s="251"/>
      <c r="AH993521" s="251"/>
      <c r="AK993521" s="251"/>
    </row>
    <row r="993636" spans="25:37" x14ac:dyDescent="0.2">
      <c r="Y993636" s="5"/>
      <c r="AB993636" s="5"/>
      <c r="AE993636" s="5"/>
      <c r="AH993636" s="5"/>
      <c r="AK993636" s="5"/>
    </row>
    <row r="993646" spans="25:37" x14ac:dyDescent="0.2">
      <c r="Y993646" s="251"/>
      <c r="AB993646" s="251"/>
      <c r="AE993646" s="251"/>
      <c r="AH993646" s="251"/>
      <c r="AK993646" s="251"/>
    </row>
    <row r="993761" spans="25:37" x14ac:dyDescent="0.2">
      <c r="Y993761" s="5"/>
      <c r="AB993761" s="5"/>
      <c r="AE993761" s="5"/>
      <c r="AH993761" s="5"/>
      <c r="AK993761" s="5"/>
    </row>
    <row r="993771" spans="25:37" x14ac:dyDescent="0.2">
      <c r="Y993771" s="251"/>
      <c r="AB993771" s="251"/>
      <c r="AE993771" s="251"/>
      <c r="AH993771" s="251"/>
      <c r="AK993771" s="251"/>
    </row>
    <row r="993886" spans="25:37" x14ac:dyDescent="0.2">
      <c r="Y993886" s="5"/>
      <c r="AB993886" s="5"/>
      <c r="AE993886" s="5"/>
      <c r="AH993886" s="5"/>
      <c r="AK993886" s="5"/>
    </row>
    <row r="993896" spans="25:37" x14ac:dyDescent="0.2">
      <c r="Y993896" s="251"/>
      <c r="AB993896" s="251"/>
      <c r="AE993896" s="251"/>
      <c r="AH993896" s="251"/>
      <c r="AK993896" s="251"/>
    </row>
    <row r="994011" spans="25:37" x14ac:dyDescent="0.2">
      <c r="Y994011" s="5"/>
      <c r="AB994011" s="5"/>
      <c r="AE994011" s="5"/>
      <c r="AH994011" s="5"/>
      <c r="AK994011" s="5"/>
    </row>
    <row r="994021" spans="25:37" x14ac:dyDescent="0.2">
      <c r="Y994021" s="251"/>
      <c r="AB994021" s="251"/>
      <c r="AE994021" s="251"/>
      <c r="AH994021" s="251"/>
      <c r="AK994021" s="251"/>
    </row>
    <row r="994136" spans="25:37" x14ac:dyDescent="0.2">
      <c r="Y994136" s="5"/>
      <c r="AB994136" s="5"/>
      <c r="AE994136" s="5"/>
      <c r="AH994136" s="5"/>
      <c r="AK994136" s="5"/>
    </row>
    <row r="994146" spans="25:37" x14ac:dyDescent="0.2">
      <c r="Y994146" s="251"/>
      <c r="AB994146" s="251"/>
      <c r="AE994146" s="251"/>
      <c r="AH994146" s="251"/>
      <c r="AK994146" s="251"/>
    </row>
    <row r="994261" spans="25:37" x14ac:dyDescent="0.2">
      <c r="Y994261" s="5"/>
      <c r="AB994261" s="5"/>
      <c r="AE994261" s="5"/>
      <c r="AH994261" s="5"/>
      <c r="AK994261" s="5"/>
    </row>
    <row r="994271" spans="25:37" x14ac:dyDescent="0.2">
      <c r="Y994271" s="251"/>
      <c r="AB994271" s="251"/>
      <c r="AE994271" s="251"/>
      <c r="AH994271" s="251"/>
      <c r="AK994271" s="251"/>
    </row>
    <row r="994386" spans="25:37" x14ac:dyDescent="0.2">
      <c r="Y994386" s="5"/>
      <c r="AB994386" s="5"/>
      <c r="AE994386" s="5"/>
      <c r="AH994386" s="5"/>
      <c r="AK994386" s="5"/>
    </row>
    <row r="994396" spans="25:37" x14ac:dyDescent="0.2">
      <c r="Y994396" s="251"/>
      <c r="AB994396" s="251"/>
      <c r="AE994396" s="251"/>
      <c r="AH994396" s="251"/>
      <c r="AK994396" s="251"/>
    </row>
    <row r="994511" spans="25:37" x14ac:dyDescent="0.2">
      <c r="Y994511" s="5"/>
      <c r="AB994511" s="5"/>
      <c r="AE994511" s="5"/>
      <c r="AH994511" s="5"/>
      <c r="AK994511" s="5"/>
    </row>
    <row r="994521" spans="25:37" x14ac:dyDescent="0.2">
      <c r="Y994521" s="251"/>
      <c r="AB994521" s="251"/>
      <c r="AE994521" s="251"/>
      <c r="AH994521" s="251"/>
      <c r="AK994521" s="251"/>
    </row>
    <row r="994636" spans="25:37" x14ac:dyDescent="0.2">
      <c r="Y994636" s="5"/>
      <c r="AB994636" s="5"/>
      <c r="AE994636" s="5"/>
      <c r="AH994636" s="5"/>
      <c r="AK994636" s="5"/>
    </row>
    <row r="994646" spans="25:37" x14ac:dyDescent="0.2">
      <c r="Y994646" s="251"/>
      <c r="AB994646" s="251"/>
      <c r="AE994646" s="251"/>
      <c r="AH994646" s="251"/>
      <c r="AK994646" s="251"/>
    </row>
    <row r="994761" spans="25:37" x14ac:dyDescent="0.2">
      <c r="Y994761" s="5"/>
      <c r="AB994761" s="5"/>
      <c r="AE994761" s="5"/>
      <c r="AH994761" s="5"/>
      <c r="AK994761" s="5"/>
    </row>
    <row r="994771" spans="25:37" x14ac:dyDescent="0.2">
      <c r="Y994771" s="251"/>
      <c r="AB994771" s="251"/>
      <c r="AE994771" s="251"/>
      <c r="AH994771" s="251"/>
      <c r="AK994771" s="251"/>
    </row>
    <row r="994886" spans="25:37" x14ac:dyDescent="0.2">
      <c r="Y994886" s="5"/>
      <c r="AB994886" s="5"/>
      <c r="AE994886" s="5"/>
      <c r="AH994886" s="5"/>
      <c r="AK994886" s="5"/>
    </row>
    <row r="994896" spans="25:37" x14ac:dyDescent="0.2">
      <c r="Y994896" s="251"/>
      <c r="AB994896" s="251"/>
      <c r="AE994896" s="251"/>
      <c r="AH994896" s="251"/>
      <c r="AK994896" s="251"/>
    </row>
    <row r="995011" spans="25:37" x14ac:dyDescent="0.2">
      <c r="Y995011" s="5"/>
      <c r="AB995011" s="5"/>
      <c r="AE995011" s="5"/>
      <c r="AH995011" s="5"/>
      <c r="AK995011" s="5"/>
    </row>
    <row r="995021" spans="25:37" x14ac:dyDescent="0.2">
      <c r="Y995021" s="251"/>
      <c r="AB995021" s="251"/>
      <c r="AE995021" s="251"/>
      <c r="AH995021" s="251"/>
      <c r="AK995021" s="251"/>
    </row>
    <row r="995136" spans="25:37" x14ac:dyDescent="0.2">
      <c r="Y995136" s="5"/>
      <c r="AB995136" s="5"/>
      <c r="AE995136" s="5"/>
      <c r="AH995136" s="5"/>
      <c r="AK995136" s="5"/>
    </row>
    <row r="995146" spans="25:37" x14ac:dyDescent="0.2">
      <c r="Y995146" s="251"/>
      <c r="AB995146" s="251"/>
      <c r="AE995146" s="251"/>
      <c r="AH995146" s="251"/>
      <c r="AK995146" s="251"/>
    </row>
    <row r="995261" spans="25:37" x14ac:dyDescent="0.2">
      <c r="Y995261" s="5"/>
      <c r="AB995261" s="5"/>
      <c r="AE995261" s="5"/>
      <c r="AH995261" s="5"/>
      <c r="AK995261" s="5"/>
    </row>
    <row r="995271" spans="25:37" x14ac:dyDescent="0.2">
      <c r="Y995271" s="251"/>
      <c r="AB995271" s="251"/>
      <c r="AE995271" s="251"/>
      <c r="AH995271" s="251"/>
      <c r="AK995271" s="251"/>
    </row>
    <row r="995386" spans="25:37" x14ac:dyDescent="0.2">
      <c r="Y995386" s="5"/>
      <c r="AB995386" s="5"/>
      <c r="AE995386" s="5"/>
      <c r="AH995386" s="5"/>
      <c r="AK995386" s="5"/>
    </row>
    <row r="995396" spans="25:37" x14ac:dyDescent="0.2">
      <c r="Y995396" s="251"/>
      <c r="AB995396" s="251"/>
      <c r="AE995396" s="251"/>
      <c r="AH995396" s="251"/>
      <c r="AK995396" s="251"/>
    </row>
    <row r="995511" spans="25:37" x14ac:dyDescent="0.2">
      <c r="Y995511" s="5"/>
      <c r="AB995511" s="5"/>
      <c r="AE995511" s="5"/>
      <c r="AH995511" s="5"/>
      <c r="AK995511" s="5"/>
    </row>
    <row r="995521" spans="25:37" x14ac:dyDescent="0.2">
      <c r="Y995521" s="251"/>
      <c r="AB995521" s="251"/>
      <c r="AE995521" s="251"/>
      <c r="AH995521" s="251"/>
      <c r="AK995521" s="251"/>
    </row>
    <row r="995636" spans="25:37" x14ac:dyDescent="0.2">
      <c r="Y995636" s="5"/>
      <c r="AB995636" s="5"/>
      <c r="AE995636" s="5"/>
      <c r="AH995636" s="5"/>
      <c r="AK995636" s="5"/>
    </row>
    <row r="995646" spans="25:37" x14ac:dyDescent="0.2">
      <c r="Y995646" s="251"/>
      <c r="AB995646" s="251"/>
      <c r="AE995646" s="251"/>
      <c r="AH995646" s="251"/>
      <c r="AK995646" s="251"/>
    </row>
    <row r="995761" spans="25:37" x14ac:dyDescent="0.2">
      <c r="Y995761" s="5"/>
      <c r="AB995761" s="5"/>
      <c r="AE995761" s="5"/>
      <c r="AH995761" s="5"/>
      <c r="AK995761" s="5"/>
    </row>
    <row r="995771" spans="25:37" x14ac:dyDescent="0.2">
      <c r="Y995771" s="251"/>
      <c r="AB995771" s="251"/>
      <c r="AE995771" s="251"/>
      <c r="AH995771" s="251"/>
      <c r="AK995771" s="251"/>
    </row>
    <row r="995886" spans="25:37" x14ac:dyDescent="0.2">
      <c r="Y995886" s="5"/>
      <c r="AB995886" s="5"/>
      <c r="AE995886" s="5"/>
      <c r="AH995886" s="5"/>
      <c r="AK995886" s="5"/>
    </row>
    <row r="995896" spans="25:37" x14ac:dyDescent="0.2">
      <c r="Y995896" s="251"/>
      <c r="AB995896" s="251"/>
      <c r="AE995896" s="251"/>
      <c r="AH995896" s="251"/>
      <c r="AK995896" s="251"/>
    </row>
    <row r="996011" spans="25:37" x14ac:dyDescent="0.2">
      <c r="Y996011" s="5"/>
      <c r="AB996011" s="5"/>
      <c r="AE996011" s="5"/>
      <c r="AH996011" s="5"/>
      <c r="AK996011" s="5"/>
    </row>
    <row r="996021" spans="25:37" x14ac:dyDescent="0.2">
      <c r="Y996021" s="251"/>
      <c r="AB996021" s="251"/>
      <c r="AE996021" s="251"/>
      <c r="AH996021" s="251"/>
      <c r="AK996021" s="251"/>
    </row>
    <row r="996136" spans="25:37" x14ac:dyDescent="0.2">
      <c r="Y996136" s="5"/>
      <c r="AB996136" s="5"/>
      <c r="AE996136" s="5"/>
      <c r="AH996136" s="5"/>
      <c r="AK996136" s="5"/>
    </row>
    <row r="996146" spans="25:37" x14ac:dyDescent="0.2">
      <c r="Y996146" s="251"/>
      <c r="AB996146" s="251"/>
      <c r="AE996146" s="251"/>
      <c r="AH996146" s="251"/>
      <c r="AK996146" s="251"/>
    </row>
    <row r="996261" spans="25:37" x14ac:dyDescent="0.2">
      <c r="Y996261" s="5"/>
      <c r="AB996261" s="5"/>
      <c r="AE996261" s="5"/>
      <c r="AH996261" s="5"/>
      <c r="AK996261" s="5"/>
    </row>
    <row r="996271" spans="25:37" x14ac:dyDescent="0.2">
      <c r="Y996271" s="251"/>
      <c r="AB996271" s="251"/>
      <c r="AE996271" s="251"/>
      <c r="AH996271" s="251"/>
      <c r="AK996271" s="251"/>
    </row>
    <row r="996386" spans="25:37" x14ac:dyDescent="0.2">
      <c r="Y996386" s="5"/>
      <c r="AB996386" s="5"/>
      <c r="AE996386" s="5"/>
      <c r="AH996386" s="5"/>
      <c r="AK996386" s="5"/>
    </row>
    <row r="996396" spans="25:37" x14ac:dyDescent="0.2">
      <c r="Y996396" s="251"/>
      <c r="AB996396" s="251"/>
      <c r="AE996396" s="251"/>
      <c r="AH996396" s="251"/>
      <c r="AK996396" s="251"/>
    </row>
    <row r="996511" spans="25:37" x14ac:dyDescent="0.2">
      <c r="Y996511" s="5"/>
      <c r="AB996511" s="5"/>
      <c r="AE996511" s="5"/>
      <c r="AH996511" s="5"/>
      <c r="AK996511" s="5"/>
    </row>
    <row r="996521" spans="25:37" x14ac:dyDescent="0.2">
      <c r="Y996521" s="251"/>
      <c r="AB996521" s="251"/>
      <c r="AE996521" s="251"/>
      <c r="AH996521" s="251"/>
      <c r="AK996521" s="251"/>
    </row>
    <row r="996636" spans="25:37" x14ac:dyDescent="0.2">
      <c r="Y996636" s="5"/>
      <c r="AB996636" s="5"/>
      <c r="AE996636" s="5"/>
      <c r="AH996636" s="5"/>
      <c r="AK996636" s="5"/>
    </row>
    <row r="996646" spans="25:37" x14ac:dyDescent="0.2">
      <c r="Y996646" s="251"/>
      <c r="AB996646" s="251"/>
      <c r="AE996646" s="251"/>
      <c r="AH996646" s="251"/>
      <c r="AK996646" s="251"/>
    </row>
    <row r="996761" spans="25:37" x14ac:dyDescent="0.2">
      <c r="Y996761" s="5"/>
      <c r="AB996761" s="5"/>
      <c r="AE996761" s="5"/>
      <c r="AH996761" s="5"/>
      <c r="AK996761" s="5"/>
    </row>
    <row r="996771" spans="25:37" x14ac:dyDescent="0.2">
      <c r="Y996771" s="251"/>
      <c r="AB996771" s="251"/>
      <c r="AE996771" s="251"/>
      <c r="AH996771" s="251"/>
      <c r="AK996771" s="251"/>
    </row>
    <row r="996886" spans="25:37" x14ac:dyDescent="0.2">
      <c r="Y996886" s="5"/>
      <c r="AB996886" s="5"/>
      <c r="AE996886" s="5"/>
      <c r="AH996886" s="5"/>
      <c r="AK996886" s="5"/>
    </row>
    <row r="996896" spans="25:37" x14ac:dyDescent="0.2">
      <c r="Y996896" s="251"/>
      <c r="AB996896" s="251"/>
      <c r="AE996896" s="251"/>
      <c r="AH996896" s="251"/>
      <c r="AK996896" s="251"/>
    </row>
    <row r="997011" spans="25:37" x14ac:dyDescent="0.2">
      <c r="Y997011" s="5"/>
      <c r="AB997011" s="5"/>
      <c r="AE997011" s="5"/>
      <c r="AH997011" s="5"/>
      <c r="AK997011" s="5"/>
    </row>
    <row r="997021" spans="25:37" x14ac:dyDescent="0.2">
      <c r="Y997021" s="251"/>
      <c r="AB997021" s="251"/>
      <c r="AE997021" s="251"/>
      <c r="AH997021" s="251"/>
      <c r="AK997021" s="251"/>
    </row>
    <row r="997136" spans="25:37" x14ac:dyDescent="0.2">
      <c r="Y997136" s="5"/>
      <c r="AB997136" s="5"/>
      <c r="AE997136" s="5"/>
      <c r="AH997136" s="5"/>
      <c r="AK997136" s="5"/>
    </row>
    <row r="997146" spans="25:37" x14ac:dyDescent="0.2">
      <c r="Y997146" s="251"/>
      <c r="AB997146" s="251"/>
      <c r="AE997146" s="251"/>
      <c r="AH997146" s="251"/>
      <c r="AK997146" s="251"/>
    </row>
    <row r="997261" spans="25:37" x14ac:dyDescent="0.2">
      <c r="Y997261" s="5"/>
      <c r="AB997261" s="5"/>
      <c r="AE997261" s="5"/>
      <c r="AH997261" s="5"/>
      <c r="AK997261" s="5"/>
    </row>
    <row r="997271" spans="25:37" x14ac:dyDescent="0.2">
      <c r="Y997271" s="251"/>
      <c r="AB997271" s="251"/>
      <c r="AE997271" s="251"/>
      <c r="AH997271" s="251"/>
      <c r="AK997271" s="251"/>
    </row>
    <row r="997386" spans="25:37" x14ac:dyDescent="0.2">
      <c r="Y997386" s="5"/>
      <c r="AB997386" s="5"/>
      <c r="AE997386" s="5"/>
      <c r="AH997386" s="5"/>
      <c r="AK997386" s="5"/>
    </row>
    <row r="997396" spans="25:37" x14ac:dyDescent="0.2">
      <c r="Y997396" s="251"/>
      <c r="AB997396" s="251"/>
      <c r="AE997396" s="251"/>
      <c r="AH997396" s="251"/>
      <c r="AK997396" s="251"/>
    </row>
    <row r="997511" spans="25:37" x14ac:dyDescent="0.2">
      <c r="Y997511" s="5"/>
      <c r="AB997511" s="5"/>
      <c r="AE997511" s="5"/>
      <c r="AH997511" s="5"/>
      <c r="AK997511" s="5"/>
    </row>
    <row r="997521" spans="25:37" x14ac:dyDescent="0.2">
      <c r="Y997521" s="251"/>
      <c r="AB997521" s="251"/>
      <c r="AE997521" s="251"/>
      <c r="AH997521" s="251"/>
      <c r="AK997521" s="251"/>
    </row>
    <row r="997636" spans="25:37" x14ac:dyDescent="0.2">
      <c r="Y997636" s="5"/>
      <c r="AB997636" s="5"/>
      <c r="AE997636" s="5"/>
      <c r="AH997636" s="5"/>
      <c r="AK997636" s="5"/>
    </row>
    <row r="997646" spans="25:37" x14ac:dyDescent="0.2">
      <c r="Y997646" s="251"/>
      <c r="AB997646" s="251"/>
      <c r="AE997646" s="251"/>
      <c r="AH997646" s="251"/>
      <c r="AK997646" s="251"/>
    </row>
    <row r="997761" spans="25:37" x14ac:dyDescent="0.2">
      <c r="Y997761" s="5"/>
      <c r="AB997761" s="5"/>
      <c r="AE997761" s="5"/>
      <c r="AH997761" s="5"/>
      <c r="AK997761" s="5"/>
    </row>
    <row r="997771" spans="25:37" x14ac:dyDescent="0.2">
      <c r="Y997771" s="251"/>
      <c r="AB997771" s="251"/>
      <c r="AE997771" s="251"/>
      <c r="AH997771" s="251"/>
      <c r="AK997771" s="251"/>
    </row>
    <row r="997886" spans="25:37" x14ac:dyDescent="0.2">
      <c r="Y997886" s="5"/>
      <c r="AB997886" s="5"/>
      <c r="AE997886" s="5"/>
      <c r="AH997886" s="5"/>
      <c r="AK997886" s="5"/>
    </row>
    <row r="997896" spans="25:37" x14ac:dyDescent="0.2">
      <c r="Y997896" s="251"/>
      <c r="AB997896" s="251"/>
      <c r="AE997896" s="251"/>
      <c r="AH997896" s="251"/>
      <c r="AK997896" s="251"/>
    </row>
    <row r="998011" spans="25:37" x14ac:dyDescent="0.2">
      <c r="Y998011" s="5"/>
      <c r="AB998011" s="5"/>
      <c r="AE998011" s="5"/>
      <c r="AH998011" s="5"/>
      <c r="AK998011" s="5"/>
    </row>
    <row r="998021" spans="25:37" x14ac:dyDescent="0.2">
      <c r="Y998021" s="251"/>
      <c r="AB998021" s="251"/>
      <c r="AE998021" s="251"/>
      <c r="AH998021" s="251"/>
      <c r="AK998021" s="251"/>
    </row>
    <row r="998136" spans="25:37" x14ac:dyDescent="0.2">
      <c r="Y998136" s="5"/>
      <c r="AB998136" s="5"/>
      <c r="AE998136" s="5"/>
      <c r="AH998136" s="5"/>
      <c r="AK998136" s="5"/>
    </row>
    <row r="998146" spans="25:37" x14ac:dyDescent="0.2">
      <c r="Y998146" s="251"/>
      <c r="AB998146" s="251"/>
      <c r="AE998146" s="251"/>
      <c r="AH998146" s="251"/>
      <c r="AK998146" s="251"/>
    </row>
    <row r="998261" spans="25:37" x14ac:dyDescent="0.2">
      <c r="Y998261" s="5"/>
      <c r="AB998261" s="5"/>
      <c r="AE998261" s="5"/>
      <c r="AH998261" s="5"/>
      <c r="AK998261" s="5"/>
    </row>
    <row r="998271" spans="25:37" x14ac:dyDescent="0.2">
      <c r="Y998271" s="251"/>
      <c r="AB998271" s="251"/>
      <c r="AE998271" s="251"/>
      <c r="AH998271" s="251"/>
      <c r="AK998271" s="251"/>
    </row>
    <row r="998386" spans="25:37" x14ac:dyDescent="0.2">
      <c r="Y998386" s="5"/>
      <c r="AB998386" s="5"/>
      <c r="AE998386" s="5"/>
      <c r="AH998386" s="5"/>
      <c r="AK998386" s="5"/>
    </row>
    <row r="998396" spans="25:37" x14ac:dyDescent="0.2">
      <c r="Y998396" s="251"/>
      <c r="AB998396" s="251"/>
      <c r="AE998396" s="251"/>
      <c r="AH998396" s="251"/>
      <c r="AK998396" s="251"/>
    </row>
    <row r="998511" spans="25:37" x14ac:dyDescent="0.2">
      <c r="Y998511" s="5"/>
      <c r="AB998511" s="5"/>
      <c r="AE998511" s="5"/>
      <c r="AH998511" s="5"/>
      <c r="AK998511" s="5"/>
    </row>
    <row r="998521" spans="25:37" x14ac:dyDescent="0.2">
      <c r="Y998521" s="251"/>
      <c r="AB998521" s="251"/>
      <c r="AE998521" s="251"/>
      <c r="AH998521" s="251"/>
      <c r="AK998521" s="251"/>
    </row>
    <row r="998636" spans="25:37" x14ac:dyDescent="0.2">
      <c r="Y998636" s="5"/>
      <c r="AB998636" s="5"/>
      <c r="AE998636" s="5"/>
      <c r="AH998636" s="5"/>
      <c r="AK998636" s="5"/>
    </row>
    <row r="998646" spans="25:37" x14ac:dyDescent="0.2">
      <c r="Y998646" s="251"/>
      <c r="AB998646" s="251"/>
      <c r="AE998646" s="251"/>
      <c r="AH998646" s="251"/>
      <c r="AK998646" s="251"/>
    </row>
    <row r="998761" spans="25:37" x14ac:dyDescent="0.2">
      <c r="Y998761" s="5"/>
      <c r="AB998761" s="5"/>
      <c r="AE998761" s="5"/>
      <c r="AH998761" s="5"/>
      <c r="AK998761" s="5"/>
    </row>
    <row r="998771" spans="25:37" x14ac:dyDescent="0.2">
      <c r="Y998771" s="251"/>
      <c r="AB998771" s="251"/>
      <c r="AE998771" s="251"/>
      <c r="AH998771" s="251"/>
      <c r="AK998771" s="251"/>
    </row>
    <row r="998886" spans="25:37" x14ac:dyDescent="0.2">
      <c r="Y998886" s="5"/>
      <c r="AB998886" s="5"/>
      <c r="AE998886" s="5"/>
      <c r="AH998886" s="5"/>
      <c r="AK998886" s="5"/>
    </row>
    <row r="998896" spans="25:37" x14ac:dyDescent="0.2">
      <c r="Y998896" s="251"/>
      <c r="AB998896" s="251"/>
      <c r="AE998896" s="251"/>
      <c r="AH998896" s="251"/>
      <c r="AK998896" s="251"/>
    </row>
    <row r="999011" spans="25:37" x14ac:dyDescent="0.2">
      <c r="Y999011" s="5"/>
      <c r="AB999011" s="5"/>
      <c r="AE999011" s="5"/>
      <c r="AH999011" s="5"/>
      <c r="AK999011" s="5"/>
    </row>
    <row r="999021" spans="25:37" x14ac:dyDescent="0.2">
      <c r="Y999021" s="251"/>
      <c r="AB999021" s="251"/>
      <c r="AE999021" s="251"/>
      <c r="AH999021" s="251"/>
      <c r="AK999021" s="251"/>
    </row>
    <row r="999136" spans="25:37" x14ac:dyDescent="0.2">
      <c r="Y999136" s="5"/>
      <c r="AB999136" s="5"/>
      <c r="AE999136" s="5"/>
      <c r="AH999136" s="5"/>
      <c r="AK999136" s="5"/>
    </row>
    <row r="999146" spans="25:37" x14ac:dyDescent="0.2">
      <c r="Y999146" s="251"/>
      <c r="AB999146" s="251"/>
      <c r="AE999146" s="251"/>
      <c r="AH999146" s="251"/>
      <c r="AK999146" s="251"/>
    </row>
    <row r="999261" spans="25:37" x14ac:dyDescent="0.2">
      <c r="Y999261" s="5"/>
      <c r="AB999261" s="5"/>
      <c r="AE999261" s="5"/>
      <c r="AH999261" s="5"/>
      <c r="AK999261" s="5"/>
    </row>
    <row r="999271" spans="25:37" x14ac:dyDescent="0.2">
      <c r="Y999271" s="251"/>
      <c r="AB999271" s="251"/>
      <c r="AE999271" s="251"/>
      <c r="AH999271" s="251"/>
      <c r="AK999271" s="251"/>
    </row>
    <row r="999386" spans="25:37" x14ac:dyDescent="0.2">
      <c r="Y999386" s="5"/>
      <c r="AB999386" s="5"/>
      <c r="AE999386" s="5"/>
      <c r="AH999386" s="5"/>
      <c r="AK999386" s="5"/>
    </row>
    <row r="999396" spans="25:37" x14ac:dyDescent="0.2">
      <c r="Y999396" s="251"/>
      <c r="AB999396" s="251"/>
      <c r="AE999396" s="251"/>
      <c r="AH999396" s="251"/>
      <c r="AK999396" s="251"/>
    </row>
    <row r="999511" spans="25:37" x14ac:dyDescent="0.2">
      <c r="Y999511" s="5"/>
      <c r="AB999511" s="5"/>
      <c r="AE999511" s="5"/>
      <c r="AH999511" s="5"/>
      <c r="AK999511" s="5"/>
    </row>
    <row r="999521" spans="25:37" x14ac:dyDescent="0.2">
      <c r="Y999521" s="251"/>
      <c r="AB999521" s="251"/>
      <c r="AE999521" s="251"/>
      <c r="AH999521" s="251"/>
      <c r="AK999521" s="251"/>
    </row>
    <row r="999636" spans="25:37" x14ac:dyDescent="0.2">
      <c r="Y999636" s="5"/>
      <c r="AB999636" s="5"/>
      <c r="AE999636" s="5"/>
      <c r="AH999636" s="5"/>
      <c r="AK999636" s="5"/>
    </row>
    <row r="999646" spans="25:37" x14ac:dyDescent="0.2">
      <c r="Y999646" s="251"/>
      <c r="AB999646" s="251"/>
      <c r="AE999646" s="251"/>
      <c r="AH999646" s="251"/>
      <c r="AK999646" s="251"/>
    </row>
    <row r="999761" spans="25:37" x14ac:dyDescent="0.2">
      <c r="Y999761" s="5"/>
      <c r="AB999761" s="5"/>
      <c r="AE999761" s="5"/>
      <c r="AH999761" s="5"/>
      <c r="AK999761" s="5"/>
    </row>
    <row r="999771" spans="25:37" x14ac:dyDescent="0.2">
      <c r="Y999771" s="251"/>
      <c r="AB999771" s="251"/>
      <c r="AE999771" s="251"/>
      <c r="AH999771" s="251"/>
      <c r="AK999771" s="251"/>
    </row>
    <row r="999886" spans="25:37" x14ac:dyDescent="0.2">
      <c r="Y999886" s="5"/>
      <c r="AB999886" s="5"/>
      <c r="AE999886" s="5"/>
      <c r="AH999886" s="5"/>
      <c r="AK999886" s="5"/>
    </row>
    <row r="999896" spans="25:37" x14ac:dyDescent="0.2">
      <c r="Y999896" s="251"/>
      <c r="AB999896" s="251"/>
      <c r="AE999896" s="251"/>
      <c r="AH999896" s="251"/>
      <c r="AK999896" s="251"/>
    </row>
    <row r="1000011" spans="25:37" x14ac:dyDescent="0.2">
      <c r="Y1000011" s="5"/>
      <c r="AB1000011" s="5"/>
      <c r="AE1000011" s="5"/>
      <c r="AH1000011" s="5"/>
      <c r="AK1000011" s="5"/>
    </row>
    <row r="1000021" spans="25:37" x14ac:dyDescent="0.2">
      <c r="Y1000021" s="251"/>
      <c r="AB1000021" s="251"/>
      <c r="AE1000021" s="251"/>
      <c r="AH1000021" s="251"/>
      <c r="AK1000021" s="251"/>
    </row>
    <row r="1000136" spans="25:37" x14ac:dyDescent="0.2">
      <c r="Y1000136" s="5"/>
      <c r="AB1000136" s="5"/>
      <c r="AE1000136" s="5"/>
      <c r="AH1000136" s="5"/>
      <c r="AK1000136" s="5"/>
    </row>
    <row r="1000146" spans="25:37" x14ac:dyDescent="0.2">
      <c r="Y1000146" s="251"/>
      <c r="AB1000146" s="251"/>
      <c r="AE1000146" s="251"/>
      <c r="AH1000146" s="251"/>
      <c r="AK1000146" s="251"/>
    </row>
    <row r="1000261" spans="25:37" x14ac:dyDescent="0.2">
      <c r="Y1000261" s="5"/>
      <c r="AB1000261" s="5"/>
      <c r="AE1000261" s="5"/>
      <c r="AH1000261" s="5"/>
      <c r="AK1000261" s="5"/>
    </row>
    <row r="1000271" spans="25:37" x14ac:dyDescent="0.2">
      <c r="Y1000271" s="251"/>
      <c r="AB1000271" s="251"/>
      <c r="AE1000271" s="251"/>
      <c r="AH1000271" s="251"/>
      <c r="AK1000271" s="251"/>
    </row>
    <row r="1000386" spans="25:37" x14ac:dyDescent="0.2">
      <c r="Y1000386" s="5"/>
      <c r="AB1000386" s="5"/>
      <c r="AE1000386" s="5"/>
      <c r="AH1000386" s="5"/>
      <c r="AK1000386" s="5"/>
    </row>
    <row r="1000396" spans="25:37" x14ac:dyDescent="0.2">
      <c r="Y1000396" s="251"/>
      <c r="AB1000396" s="251"/>
      <c r="AE1000396" s="251"/>
      <c r="AH1000396" s="251"/>
      <c r="AK1000396" s="251"/>
    </row>
    <row r="1000511" spans="25:37" x14ac:dyDescent="0.2">
      <c r="Y1000511" s="5"/>
      <c r="AB1000511" s="5"/>
      <c r="AE1000511" s="5"/>
      <c r="AH1000511" s="5"/>
      <c r="AK1000511" s="5"/>
    </row>
    <row r="1000521" spans="25:37" x14ac:dyDescent="0.2">
      <c r="Y1000521" s="251"/>
      <c r="AB1000521" s="251"/>
      <c r="AE1000521" s="251"/>
      <c r="AH1000521" s="251"/>
      <c r="AK1000521" s="251"/>
    </row>
    <row r="1000636" spans="25:37" x14ac:dyDescent="0.2">
      <c r="Y1000636" s="5"/>
      <c r="AB1000636" s="5"/>
      <c r="AE1000636" s="5"/>
      <c r="AH1000636" s="5"/>
      <c r="AK1000636" s="5"/>
    </row>
    <row r="1000646" spans="25:37" x14ac:dyDescent="0.2">
      <c r="Y1000646" s="251"/>
      <c r="AB1000646" s="251"/>
      <c r="AE1000646" s="251"/>
      <c r="AH1000646" s="251"/>
      <c r="AK1000646" s="251"/>
    </row>
    <row r="1000761" spans="25:37" x14ac:dyDescent="0.2">
      <c r="Y1000761" s="5"/>
      <c r="AB1000761" s="5"/>
      <c r="AE1000761" s="5"/>
      <c r="AH1000761" s="5"/>
      <c r="AK1000761" s="5"/>
    </row>
    <row r="1000771" spans="25:37" x14ac:dyDescent="0.2">
      <c r="Y1000771" s="251"/>
      <c r="AB1000771" s="251"/>
      <c r="AE1000771" s="251"/>
      <c r="AH1000771" s="251"/>
      <c r="AK1000771" s="251"/>
    </row>
    <row r="1000886" spans="25:37" x14ac:dyDescent="0.2">
      <c r="Y1000886" s="5"/>
      <c r="AB1000886" s="5"/>
      <c r="AE1000886" s="5"/>
      <c r="AH1000886" s="5"/>
      <c r="AK1000886" s="5"/>
    </row>
    <row r="1000896" spans="25:37" x14ac:dyDescent="0.2">
      <c r="Y1000896" s="251"/>
      <c r="AB1000896" s="251"/>
      <c r="AE1000896" s="251"/>
      <c r="AH1000896" s="251"/>
      <c r="AK1000896" s="251"/>
    </row>
    <row r="1001011" spans="25:37" x14ac:dyDescent="0.2">
      <c r="Y1001011" s="5"/>
      <c r="AB1001011" s="5"/>
      <c r="AE1001011" s="5"/>
      <c r="AH1001011" s="5"/>
      <c r="AK1001011" s="5"/>
    </row>
    <row r="1001021" spans="25:37" x14ac:dyDescent="0.2">
      <c r="Y1001021" s="251"/>
      <c r="AB1001021" s="251"/>
      <c r="AE1001021" s="251"/>
      <c r="AH1001021" s="251"/>
      <c r="AK1001021" s="251"/>
    </row>
    <row r="1001136" spans="25:37" x14ac:dyDescent="0.2">
      <c r="Y1001136" s="5"/>
      <c r="AB1001136" s="5"/>
      <c r="AE1001136" s="5"/>
      <c r="AH1001136" s="5"/>
      <c r="AK1001136" s="5"/>
    </row>
    <row r="1001146" spans="25:37" x14ac:dyDescent="0.2">
      <c r="Y1001146" s="251"/>
      <c r="AB1001146" s="251"/>
      <c r="AE1001146" s="251"/>
      <c r="AH1001146" s="251"/>
      <c r="AK1001146" s="251"/>
    </row>
    <row r="1001261" spans="25:37" x14ac:dyDescent="0.2">
      <c r="Y1001261" s="5"/>
      <c r="AB1001261" s="5"/>
      <c r="AE1001261" s="5"/>
      <c r="AH1001261" s="5"/>
      <c r="AK1001261" s="5"/>
    </row>
    <row r="1001271" spans="25:37" x14ac:dyDescent="0.2">
      <c r="Y1001271" s="251"/>
      <c r="AB1001271" s="251"/>
      <c r="AE1001271" s="251"/>
      <c r="AH1001271" s="251"/>
      <c r="AK1001271" s="251"/>
    </row>
    <row r="1001386" spans="25:37" x14ac:dyDescent="0.2">
      <c r="Y1001386" s="5"/>
      <c r="AB1001386" s="5"/>
      <c r="AE1001386" s="5"/>
      <c r="AH1001386" s="5"/>
      <c r="AK1001386" s="5"/>
    </row>
    <row r="1001396" spans="25:37" x14ac:dyDescent="0.2">
      <c r="Y1001396" s="251"/>
      <c r="AB1001396" s="251"/>
      <c r="AE1001396" s="251"/>
      <c r="AH1001396" s="251"/>
      <c r="AK1001396" s="251"/>
    </row>
    <row r="1001511" spans="25:37" x14ac:dyDescent="0.2">
      <c r="Y1001511" s="5"/>
      <c r="AB1001511" s="5"/>
      <c r="AE1001511" s="5"/>
      <c r="AH1001511" s="5"/>
      <c r="AK1001511" s="5"/>
    </row>
    <row r="1001521" spans="25:37" x14ac:dyDescent="0.2">
      <c r="Y1001521" s="251"/>
      <c r="AB1001521" s="251"/>
      <c r="AE1001521" s="251"/>
      <c r="AH1001521" s="251"/>
      <c r="AK1001521" s="251"/>
    </row>
    <row r="1001636" spans="25:37" x14ac:dyDescent="0.2">
      <c r="Y1001636" s="5"/>
      <c r="AB1001636" s="5"/>
      <c r="AE1001636" s="5"/>
      <c r="AH1001636" s="5"/>
      <c r="AK1001636" s="5"/>
    </row>
    <row r="1001646" spans="25:37" x14ac:dyDescent="0.2">
      <c r="Y1001646" s="251"/>
      <c r="AB1001646" s="251"/>
      <c r="AE1001646" s="251"/>
      <c r="AH1001646" s="251"/>
      <c r="AK1001646" s="251"/>
    </row>
    <row r="1001761" spans="25:37" x14ac:dyDescent="0.2">
      <c r="Y1001761" s="5"/>
      <c r="AB1001761" s="5"/>
      <c r="AE1001761" s="5"/>
      <c r="AH1001761" s="5"/>
      <c r="AK1001761" s="5"/>
    </row>
    <row r="1001771" spans="25:37" x14ac:dyDescent="0.2">
      <c r="Y1001771" s="251"/>
      <c r="AB1001771" s="251"/>
      <c r="AE1001771" s="251"/>
      <c r="AH1001771" s="251"/>
      <c r="AK1001771" s="251"/>
    </row>
    <row r="1001886" spans="25:37" x14ac:dyDescent="0.2">
      <c r="Y1001886" s="5"/>
      <c r="AB1001886" s="5"/>
      <c r="AE1001886" s="5"/>
      <c r="AH1001886" s="5"/>
      <c r="AK1001886" s="5"/>
    </row>
    <row r="1001896" spans="25:37" x14ac:dyDescent="0.2">
      <c r="Y1001896" s="251"/>
      <c r="AB1001896" s="251"/>
      <c r="AE1001896" s="251"/>
      <c r="AH1001896" s="251"/>
      <c r="AK1001896" s="251"/>
    </row>
    <row r="1002011" spans="25:37" x14ac:dyDescent="0.2">
      <c r="Y1002011" s="5"/>
      <c r="AB1002011" s="5"/>
      <c r="AE1002011" s="5"/>
      <c r="AH1002011" s="5"/>
      <c r="AK1002011" s="5"/>
    </row>
    <row r="1002021" spans="25:37" x14ac:dyDescent="0.2">
      <c r="Y1002021" s="251"/>
      <c r="AB1002021" s="251"/>
      <c r="AE1002021" s="251"/>
      <c r="AH1002021" s="251"/>
      <c r="AK1002021" s="251"/>
    </row>
    <row r="1002136" spans="25:37" x14ac:dyDescent="0.2">
      <c r="Y1002136" s="5"/>
      <c r="AB1002136" s="5"/>
      <c r="AE1002136" s="5"/>
      <c r="AH1002136" s="5"/>
      <c r="AK1002136" s="5"/>
    </row>
    <row r="1002146" spans="25:37" x14ac:dyDescent="0.2">
      <c r="Y1002146" s="251"/>
      <c r="AB1002146" s="251"/>
      <c r="AE1002146" s="251"/>
      <c r="AH1002146" s="251"/>
      <c r="AK1002146" s="251"/>
    </row>
    <row r="1002261" spans="25:37" x14ac:dyDescent="0.2">
      <c r="Y1002261" s="5"/>
      <c r="AB1002261" s="5"/>
      <c r="AE1002261" s="5"/>
      <c r="AH1002261" s="5"/>
      <c r="AK1002261" s="5"/>
    </row>
    <row r="1002271" spans="25:37" x14ac:dyDescent="0.2">
      <c r="Y1002271" s="251"/>
      <c r="AB1002271" s="251"/>
      <c r="AE1002271" s="251"/>
      <c r="AH1002271" s="251"/>
      <c r="AK1002271" s="251"/>
    </row>
    <row r="1002386" spans="25:37" x14ac:dyDescent="0.2">
      <c r="Y1002386" s="5"/>
      <c r="AB1002386" s="5"/>
      <c r="AE1002386" s="5"/>
      <c r="AH1002386" s="5"/>
      <c r="AK1002386" s="5"/>
    </row>
    <row r="1002396" spans="25:37" x14ac:dyDescent="0.2">
      <c r="Y1002396" s="251"/>
      <c r="AB1002396" s="251"/>
      <c r="AE1002396" s="251"/>
      <c r="AH1002396" s="251"/>
      <c r="AK1002396" s="251"/>
    </row>
    <row r="1002511" spans="25:37" x14ac:dyDescent="0.2">
      <c r="Y1002511" s="5"/>
      <c r="AB1002511" s="5"/>
      <c r="AE1002511" s="5"/>
      <c r="AH1002511" s="5"/>
      <c r="AK1002511" s="5"/>
    </row>
    <row r="1002521" spans="25:37" x14ac:dyDescent="0.2">
      <c r="Y1002521" s="251"/>
      <c r="AB1002521" s="251"/>
      <c r="AE1002521" s="251"/>
      <c r="AH1002521" s="251"/>
      <c r="AK1002521" s="251"/>
    </row>
    <row r="1002636" spans="25:37" x14ac:dyDescent="0.2">
      <c r="Y1002636" s="5"/>
      <c r="AB1002636" s="5"/>
      <c r="AE1002636" s="5"/>
      <c r="AH1002636" s="5"/>
      <c r="AK1002636" s="5"/>
    </row>
    <row r="1002646" spans="25:37" x14ac:dyDescent="0.2">
      <c r="Y1002646" s="251"/>
      <c r="AB1002646" s="251"/>
      <c r="AE1002646" s="251"/>
      <c r="AH1002646" s="251"/>
      <c r="AK1002646" s="251"/>
    </row>
    <row r="1002761" spans="25:37" x14ac:dyDescent="0.2">
      <c r="Y1002761" s="5"/>
      <c r="AB1002761" s="5"/>
      <c r="AE1002761" s="5"/>
      <c r="AH1002761" s="5"/>
      <c r="AK1002761" s="5"/>
    </row>
    <row r="1002771" spans="25:37" x14ac:dyDescent="0.2">
      <c r="Y1002771" s="251"/>
      <c r="AB1002771" s="251"/>
      <c r="AE1002771" s="251"/>
      <c r="AH1002771" s="251"/>
      <c r="AK1002771" s="251"/>
    </row>
    <row r="1002886" spans="25:37" x14ac:dyDescent="0.2">
      <c r="Y1002886" s="5"/>
      <c r="AB1002886" s="5"/>
      <c r="AE1002886" s="5"/>
      <c r="AH1002886" s="5"/>
      <c r="AK1002886" s="5"/>
    </row>
    <row r="1002896" spans="25:37" x14ac:dyDescent="0.2">
      <c r="Y1002896" s="251"/>
      <c r="AB1002896" s="251"/>
      <c r="AE1002896" s="251"/>
      <c r="AH1002896" s="251"/>
      <c r="AK1002896" s="251"/>
    </row>
    <row r="1003011" spans="25:37" x14ac:dyDescent="0.2">
      <c r="Y1003011" s="5"/>
      <c r="AB1003011" s="5"/>
      <c r="AE1003011" s="5"/>
      <c r="AH1003011" s="5"/>
      <c r="AK1003011" s="5"/>
    </row>
    <row r="1003021" spans="25:37" x14ac:dyDescent="0.2">
      <c r="Y1003021" s="251"/>
      <c r="AB1003021" s="251"/>
      <c r="AE1003021" s="251"/>
      <c r="AH1003021" s="251"/>
      <c r="AK1003021" s="251"/>
    </row>
    <row r="1003136" spans="25:37" x14ac:dyDescent="0.2">
      <c r="Y1003136" s="5"/>
      <c r="AB1003136" s="5"/>
      <c r="AE1003136" s="5"/>
      <c r="AH1003136" s="5"/>
      <c r="AK1003136" s="5"/>
    </row>
    <row r="1003146" spans="25:37" x14ac:dyDescent="0.2">
      <c r="Y1003146" s="251"/>
      <c r="AB1003146" s="251"/>
      <c r="AE1003146" s="251"/>
      <c r="AH1003146" s="251"/>
      <c r="AK1003146" s="251"/>
    </row>
    <row r="1003261" spans="25:37" x14ac:dyDescent="0.2">
      <c r="Y1003261" s="5"/>
      <c r="AB1003261" s="5"/>
      <c r="AE1003261" s="5"/>
      <c r="AH1003261" s="5"/>
      <c r="AK1003261" s="5"/>
    </row>
    <row r="1003271" spans="25:37" x14ac:dyDescent="0.2">
      <c r="Y1003271" s="251"/>
      <c r="AB1003271" s="251"/>
      <c r="AE1003271" s="251"/>
      <c r="AH1003271" s="251"/>
      <c r="AK1003271" s="251"/>
    </row>
    <row r="1003386" spans="25:37" x14ac:dyDescent="0.2">
      <c r="Y1003386" s="5"/>
      <c r="AB1003386" s="5"/>
      <c r="AE1003386" s="5"/>
      <c r="AH1003386" s="5"/>
      <c r="AK1003386" s="5"/>
    </row>
    <row r="1003396" spans="25:37" x14ac:dyDescent="0.2">
      <c r="Y1003396" s="251"/>
      <c r="AB1003396" s="251"/>
      <c r="AE1003396" s="251"/>
      <c r="AH1003396" s="251"/>
      <c r="AK1003396" s="251"/>
    </row>
    <row r="1003511" spans="25:37" x14ac:dyDescent="0.2">
      <c r="Y1003511" s="5"/>
      <c r="AB1003511" s="5"/>
      <c r="AE1003511" s="5"/>
      <c r="AH1003511" s="5"/>
      <c r="AK1003511" s="5"/>
    </row>
    <row r="1003521" spans="25:37" x14ac:dyDescent="0.2">
      <c r="Y1003521" s="251"/>
      <c r="AB1003521" s="251"/>
      <c r="AE1003521" s="251"/>
      <c r="AH1003521" s="251"/>
      <c r="AK1003521" s="251"/>
    </row>
    <row r="1003636" spans="25:37" x14ac:dyDescent="0.2">
      <c r="Y1003636" s="5"/>
      <c r="AB1003636" s="5"/>
      <c r="AE1003636" s="5"/>
      <c r="AH1003636" s="5"/>
      <c r="AK1003636" s="5"/>
    </row>
    <row r="1003646" spans="25:37" x14ac:dyDescent="0.2">
      <c r="Y1003646" s="251"/>
      <c r="AB1003646" s="251"/>
      <c r="AE1003646" s="251"/>
      <c r="AH1003646" s="251"/>
      <c r="AK1003646" s="251"/>
    </row>
    <row r="1003761" spans="25:37" x14ac:dyDescent="0.2">
      <c r="Y1003761" s="5"/>
      <c r="AB1003761" s="5"/>
      <c r="AE1003761" s="5"/>
      <c r="AH1003761" s="5"/>
      <c r="AK1003761" s="5"/>
    </row>
    <row r="1003771" spans="25:37" x14ac:dyDescent="0.2">
      <c r="Y1003771" s="251"/>
      <c r="AB1003771" s="251"/>
      <c r="AE1003771" s="251"/>
      <c r="AH1003771" s="251"/>
      <c r="AK1003771" s="251"/>
    </row>
    <row r="1003886" spans="25:37" x14ac:dyDescent="0.2">
      <c r="Y1003886" s="5"/>
      <c r="AB1003886" s="5"/>
      <c r="AE1003886" s="5"/>
      <c r="AH1003886" s="5"/>
      <c r="AK1003886" s="5"/>
    </row>
    <row r="1003896" spans="25:37" x14ac:dyDescent="0.2">
      <c r="Y1003896" s="251"/>
      <c r="AB1003896" s="251"/>
      <c r="AE1003896" s="251"/>
      <c r="AH1003896" s="251"/>
      <c r="AK1003896" s="251"/>
    </row>
    <row r="1004011" spans="25:37" x14ac:dyDescent="0.2">
      <c r="Y1004011" s="5"/>
      <c r="AB1004011" s="5"/>
      <c r="AE1004011" s="5"/>
      <c r="AH1004011" s="5"/>
      <c r="AK1004011" s="5"/>
    </row>
    <row r="1004021" spans="25:37" x14ac:dyDescent="0.2">
      <c r="Y1004021" s="251"/>
      <c r="AB1004021" s="251"/>
      <c r="AE1004021" s="251"/>
      <c r="AH1004021" s="251"/>
      <c r="AK1004021" s="251"/>
    </row>
    <row r="1004136" spans="25:37" x14ac:dyDescent="0.2">
      <c r="Y1004136" s="5"/>
      <c r="AB1004136" s="5"/>
      <c r="AE1004136" s="5"/>
      <c r="AH1004136" s="5"/>
      <c r="AK1004136" s="5"/>
    </row>
    <row r="1004146" spans="25:37" x14ac:dyDescent="0.2">
      <c r="Y1004146" s="251"/>
      <c r="AB1004146" s="251"/>
      <c r="AE1004146" s="251"/>
      <c r="AH1004146" s="251"/>
      <c r="AK1004146" s="251"/>
    </row>
    <row r="1004261" spans="25:37" x14ac:dyDescent="0.2">
      <c r="Y1004261" s="5"/>
      <c r="AB1004261" s="5"/>
      <c r="AE1004261" s="5"/>
      <c r="AH1004261" s="5"/>
      <c r="AK1004261" s="5"/>
    </row>
    <row r="1004271" spans="25:37" x14ac:dyDescent="0.2">
      <c r="Y1004271" s="251"/>
      <c r="AB1004271" s="251"/>
      <c r="AE1004271" s="251"/>
      <c r="AH1004271" s="251"/>
      <c r="AK1004271" s="251"/>
    </row>
    <row r="1004386" spans="25:37" x14ac:dyDescent="0.2">
      <c r="Y1004386" s="5"/>
      <c r="AB1004386" s="5"/>
      <c r="AE1004386" s="5"/>
      <c r="AH1004386" s="5"/>
      <c r="AK1004386" s="5"/>
    </row>
    <row r="1004396" spans="25:37" x14ac:dyDescent="0.2">
      <c r="Y1004396" s="251"/>
      <c r="AB1004396" s="251"/>
      <c r="AE1004396" s="251"/>
      <c r="AH1004396" s="251"/>
      <c r="AK1004396" s="251"/>
    </row>
    <row r="1004511" spans="25:37" x14ac:dyDescent="0.2">
      <c r="Y1004511" s="5"/>
      <c r="AB1004511" s="5"/>
      <c r="AE1004511" s="5"/>
      <c r="AH1004511" s="5"/>
      <c r="AK1004511" s="5"/>
    </row>
    <row r="1004521" spans="25:37" x14ac:dyDescent="0.2">
      <c r="Y1004521" s="251"/>
      <c r="AB1004521" s="251"/>
      <c r="AE1004521" s="251"/>
      <c r="AH1004521" s="251"/>
      <c r="AK1004521" s="251"/>
    </row>
    <row r="1004636" spans="25:37" x14ac:dyDescent="0.2">
      <c r="Y1004636" s="5"/>
      <c r="AB1004636" s="5"/>
      <c r="AE1004636" s="5"/>
      <c r="AH1004636" s="5"/>
      <c r="AK1004636" s="5"/>
    </row>
    <row r="1004646" spans="25:37" x14ac:dyDescent="0.2">
      <c r="Y1004646" s="251"/>
      <c r="AB1004646" s="251"/>
      <c r="AE1004646" s="251"/>
      <c r="AH1004646" s="251"/>
      <c r="AK1004646" s="251"/>
    </row>
    <row r="1004761" spans="25:37" x14ac:dyDescent="0.2">
      <c r="Y1004761" s="5"/>
      <c r="AB1004761" s="5"/>
      <c r="AE1004761" s="5"/>
      <c r="AH1004761" s="5"/>
      <c r="AK1004761" s="5"/>
    </row>
    <row r="1004771" spans="25:37" x14ac:dyDescent="0.2">
      <c r="Y1004771" s="251"/>
      <c r="AB1004771" s="251"/>
      <c r="AE1004771" s="251"/>
      <c r="AH1004771" s="251"/>
      <c r="AK1004771" s="251"/>
    </row>
    <row r="1004886" spans="25:37" x14ac:dyDescent="0.2">
      <c r="Y1004886" s="5"/>
      <c r="AB1004886" s="5"/>
      <c r="AE1004886" s="5"/>
      <c r="AH1004886" s="5"/>
      <c r="AK1004886" s="5"/>
    </row>
    <row r="1004896" spans="25:37" x14ac:dyDescent="0.2">
      <c r="Y1004896" s="251"/>
      <c r="AB1004896" s="251"/>
      <c r="AE1004896" s="251"/>
      <c r="AH1004896" s="251"/>
      <c r="AK1004896" s="251"/>
    </row>
    <row r="1005011" spans="25:37" x14ac:dyDescent="0.2">
      <c r="Y1005011" s="5"/>
      <c r="AB1005011" s="5"/>
      <c r="AE1005011" s="5"/>
      <c r="AH1005011" s="5"/>
      <c r="AK1005011" s="5"/>
    </row>
    <row r="1005021" spans="25:37" x14ac:dyDescent="0.2">
      <c r="Y1005021" s="251"/>
      <c r="AB1005021" s="251"/>
      <c r="AE1005021" s="251"/>
      <c r="AH1005021" s="251"/>
      <c r="AK1005021" s="251"/>
    </row>
    <row r="1005136" spans="25:37" x14ac:dyDescent="0.2">
      <c r="Y1005136" s="5"/>
      <c r="AB1005136" s="5"/>
      <c r="AE1005136" s="5"/>
      <c r="AH1005136" s="5"/>
      <c r="AK1005136" s="5"/>
    </row>
    <row r="1005146" spans="25:37" x14ac:dyDescent="0.2">
      <c r="Y1005146" s="251"/>
      <c r="AB1005146" s="251"/>
      <c r="AE1005146" s="251"/>
      <c r="AH1005146" s="251"/>
      <c r="AK1005146" s="251"/>
    </row>
    <row r="1005261" spans="25:37" x14ac:dyDescent="0.2">
      <c r="Y1005261" s="5"/>
      <c r="AB1005261" s="5"/>
      <c r="AE1005261" s="5"/>
      <c r="AH1005261" s="5"/>
      <c r="AK1005261" s="5"/>
    </row>
    <row r="1005271" spans="25:37" x14ac:dyDescent="0.2">
      <c r="Y1005271" s="251"/>
      <c r="AB1005271" s="251"/>
      <c r="AE1005271" s="251"/>
      <c r="AH1005271" s="251"/>
      <c r="AK1005271" s="251"/>
    </row>
    <row r="1005386" spans="25:37" x14ac:dyDescent="0.2">
      <c r="Y1005386" s="5"/>
      <c r="AB1005386" s="5"/>
      <c r="AE1005386" s="5"/>
      <c r="AH1005386" s="5"/>
      <c r="AK1005386" s="5"/>
    </row>
    <row r="1005396" spans="25:37" x14ac:dyDescent="0.2">
      <c r="Y1005396" s="251"/>
      <c r="AB1005396" s="251"/>
      <c r="AE1005396" s="251"/>
      <c r="AH1005396" s="251"/>
      <c r="AK1005396" s="251"/>
    </row>
    <row r="1005511" spans="25:37" x14ac:dyDescent="0.2">
      <c r="Y1005511" s="5"/>
      <c r="AB1005511" s="5"/>
      <c r="AE1005511" s="5"/>
      <c r="AH1005511" s="5"/>
      <c r="AK1005511" s="5"/>
    </row>
    <row r="1005521" spans="25:37" x14ac:dyDescent="0.2">
      <c r="Y1005521" s="251"/>
      <c r="AB1005521" s="251"/>
      <c r="AE1005521" s="251"/>
      <c r="AH1005521" s="251"/>
      <c r="AK1005521" s="251"/>
    </row>
    <row r="1005636" spans="25:37" x14ac:dyDescent="0.2">
      <c r="Y1005636" s="5"/>
      <c r="AB1005636" s="5"/>
      <c r="AE1005636" s="5"/>
      <c r="AH1005636" s="5"/>
      <c r="AK1005636" s="5"/>
    </row>
    <row r="1005646" spans="25:37" x14ac:dyDescent="0.2">
      <c r="Y1005646" s="251"/>
      <c r="AB1005646" s="251"/>
      <c r="AE1005646" s="251"/>
      <c r="AH1005646" s="251"/>
      <c r="AK1005646" s="251"/>
    </row>
    <row r="1005761" spans="25:37" x14ac:dyDescent="0.2">
      <c r="Y1005761" s="5"/>
      <c r="AB1005761" s="5"/>
      <c r="AE1005761" s="5"/>
      <c r="AH1005761" s="5"/>
      <c r="AK1005761" s="5"/>
    </row>
    <row r="1005771" spans="25:37" x14ac:dyDescent="0.2">
      <c r="Y1005771" s="251"/>
      <c r="AB1005771" s="251"/>
      <c r="AE1005771" s="251"/>
      <c r="AH1005771" s="251"/>
      <c r="AK1005771" s="251"/>
    </row>
    <row r="1005886" spans="25:37" x14ac:dyDescent="0.2">
      <c r="Y1005886" s="5"/>
      <c r="AB1005886" s="5"/>
      <c r="AE1005886" s="5"/>
      <c r="AH1005886" s="5"/>
      <c r="AK1005886" s="5"/>
    </row>
    <row r="1005896" spans="25:37" x14ac:dyDescent="0.2">
      <c r="Y1005896" s="251"/>
      <c r="AB1005896" s="251"/>
      <c r="AE1005896" s="251"/>
      <c r="AH1005896" s="251"/>
      <c r="AK1005896" s="251"/>
    </row>
    <row r="1006011" spans="25:37" x14ac:dyDescent="0.2">
      <c r="Y1006011" s="5"/>
      <c r="AB1006011" s="5"/>
      <c r="AE1006011" s="5"/>
      <c r="AH1006011" s="5"/>
      <c r="AK1006011" s="5"/>
    </row>
    <row r="1006021" spans="25:37" x14ac:dyDescent="0.2">
      <c r="Y1006021" s="251"/>
      <c r="AB1006021" s="251"/>
      <c r="AE1006021" s="251"/>
      <c r="AH1006021" s="251"/>
      <c r="AK1006021" s="251"/>
    </row>
    <row r="1006136" spans="25:37" x14ac:dyDescent="0.2">
      <c r="Y1006136" s="5"/>
      <c r="AB1006136" s="5"/>
      <c r="AE1006136" s="5"/>
      <c r="AH1006136" s="5"/>
      <c r="AK1006136" s="5"/>
    </row>
    <row r="1006146" spans="25:37" x14ac:dyDescent="0.2">
      <c r="Y1006146" s="251"/>
      <c r="AB1006146" s="251"/>
      <c r="AE1006146" s="251"/>
      <c r="AH1006146" s="251"/>
      <c r="AK1006146" s="251"/>
    </row>
    <row r="1006261" spans="25:37" x14ac:dyDescent="0.2">
      <c r="Y1006261" s="5"/>
      <c r="AB1006261" s="5"/>
      <c r="AE1006261" s="5"/>
      <c r="AH1006261" s="5"/>
      <c r="AK1006261" s="5"/>
    </row>
    <row r="1006271" spans="25:37" x14ac:dyDescent="0.2">
      <c r="Y1006271" s="251"/>
      <c r="AB1006271" s="251"/>
      <c r="AE1006271" s="251"/>
      <c r="AH1006271" s="251"/>
      <c r="AK1006271" s="251"/>
    </row>
    <row r="1006386" spans="25:37" x14ac:dyDescent="0.2">
      <c r="Y1006386" s="5"/>
      <c r="AB1006386" s="5"/>
      <c r="AE1006386" s="5"/>
      <c r="AH1006386" s="5"/>
      <c r="AK1006386" s="5"/>
    </row>
    <row r="1006396" spans="25:37" x14ac:dyDescent="0.2">
      <c r="Y1006396" s="251"/>
      <c r="AB1006396" s="251"/>
      <c r="AE1006396" s="251"/>
      <c r="AH1006396" s="251"/>
      <c r="AK1006396" s="251"/>
    </row>
    <row r="1006511" spans="25:37" x14ac:dyDescent="0.2">
      <c r="Y1006511" s="5"/>
      <c r="AB1006511" s="5"/>
      <c r="AE1006511" s="5"/>
      <c r="AH1006511" s="5"/>
      <c r="AK1006511" s="5"/>
    </row>
    <row r="1006521" spans="25:37" x14ac:dyDescent="0.2">
      <c r="Y1006521" s="251"/>
      <c r="AB1006521" s="251"/>
      <c r="AE1006521" s="251"/>
      <c r="AH1006521" s="251"/>
      <c r="AK1006521" s="251"/>
    </row>
    <row r="1006636" spans="25:37" x14ac:dyDescent="0.2">
      <c r="Y1006636" s="5"/>
      <c r="AB1006636" s="5"/>
      <c r="AE1006636" s="5"/>
      <c r="AH1006636" s="5"/>
      <c r="AK1006636" s="5"/>
    </row>
    <row r="1006646" spans="25:37" x14ac:dyDescent="0.2">
      <c r="Y1006646" s="251"/>
      <c r="AB1006646" s="251"/>
      <c r="AE1006646" s="251"/>
      <c r="AH1006646" s="251"/>
      <c r="AK1006646" s="251"/>
    </row>
    <row r="1006761" spans="25:37" x14ac:dyDescent="0.2">
      <c r="Y1006761" s="5"/>
      <c r="AB1006761" s="5"/>
      <c r="AE1006761" s="5"/>
      <c r="AH1006761" s="5"/>
      <c r="AK1006761" s="5"/>
    </row>
    <row r="1006771" spans="25:37" x14ac:dyDescent="0.2">
      <c r="Y1006771" s="251"/>
      <c r="AB1006771" s="251"/>
      <c r="AE1006771" s="251"/>
      <c r="AH1006771" s="251"/>
      <c r="AK1006771" s="251"/>
    </row>
    <row r="1006886" spans="25:37" x14ac:dyDescent="0.2">
      <c r="Y1006886" s="5"/>
      <c r="AB1006886" s="5"/>
      <c r="AE1006886" s="5"/>
      <c r="AH1006886" s="5"/>
      <c r="AK1006886" s="5"/>
    </row>
    <row r="1006896" spans="25:37" x14ac:dyDescent="0.2">
      <c r="Y1006896" s="251"/>
      <c r="AB1006896" s="251"/>
      <c r="AE1006896" s="251"/>
      <c r="AH1006896" s="251"/>
      <c r="AK1006896" s="251"/>
    </row>
    <row r="1007011" spans="25:37" x14ac:dyDescent="0.2">
      <c r="Y1007011" s="5"/>
      <c r="AB1007011" s="5"/>
      <c r="AE1007011" s="5"/>
      <c r="AH1007011" s="5"/>
      <c r="AK1007011" s="5"/>
    </row>
    <row r="1007021" spans="25:37" x14ac:dyDescent="0.2">
      <c r="Y1007021" s="251"/>
      <c r="AB1007021" s="251"/>
      <c r="AE1007021" s="251"/>
      <c r="AH1007021" s="251"/>
      <c r="AK1007021" s="251"/>
    </row>
    <row r="1007136" spans="25:37" x14ac:dyDescent="0.2">
      <c r="Y1007136" s="5"/>
      <c r="AB1007136" s="5"/>
      <c r="AE1007136" s="5"/>
      <c r="AH1007136" s="5"/>
      <c r="AK1007136" s="5"/>
    </row>
    <row r="1007146" spans="25:37" x14ac:dyDescent="0.2">
      <c r="Y1007146" s="251"/>
      <c r="AB1007146" s="251"/>
      <c r="AE1007146" s="251"/>
      <c r="AH1007146" s="251"/>
      <c r="AK1007146" s="251"/>
    </row>
    <row r="1007261" spans="25:37" x14ac:dyDescent="0.2">
      <c r="Y1007261" s="5"/>
      <c r="AB1007261" s="5"/>
      <c r="AE1007261" s="5"/>
      <c r="AH1007261" s="5"/>
      <c r="AK1007261" s="5"/>
    </row>
    <row r="1007271" spans="25:37" x14ac:dyDescent="0.2">
      <c r="Y1007271" s="251"/>
      <c r="AB1007271" s="251"/>
      <c r="AE1007271" s="251"/>
      <c r="AH1007271" s="251"/>
      <c r="AK1007271" s="251"/>
    </row>
    <row r="1007386" spans="25:37" x14ac:dyDescent="0.2">
      <c r="Y1007386" s="5"/>
      <c r="AB1007386" s="5"/>
      <c r="AE1007386" s="5"/>
      <c r="AH1007386" s="5"/>
      <c r="AK1007386" s="5"/>
    </row>
    <row r="1007396" spans="25:37" x14ac:dyDescent="0.2">
      <c r="Y1007396" s="251"/>
      <c r="AB1007396" s="251"/>
      <c r="AE1007396" s="251"/>
      <c r="AH1007396" s="251"/>
      <c r="AK1007396" s="251"/>
    </row>
    <row r="1007511" spans="25:37" x14ac:dyDescent="0.2">
      <c r="Y1007511" s="5"/>
      <c r="AB1007511" s="5"/>
      <c r="AE1007511" s="5"/>
      <c r="AH1007511" s="5"/>
      <c r="AK1007511" s="5"/>
    </row>
    <row r="1007521" spans="25:37" x14ac:dyDescent="0.2">
      <c r="Y1007521" s="251"/>
      <c r="AB1007521" s="251"/>
      <c r="AE1007521" s="251"/>
      <c r="AH1007521" s="251"/>
      <c r="AK1007521" s="251"/>
    </row>
    <row r="1007636" spans="25:37" x14ac:dyDescent="0.2">
      <c r="Y1007636" s="5"/>
      <c r="AB1007636" s="5"/>
      <c r="AE1007636" s="5"/>
      <c r="AH1007636" s="5"/>
      <c r="AK1007636" s="5"/>
    </row>
    <row r="1007646" spans="25:37" x14ac:dyDescent="0.2">
      <c r="Y1007646" s="251"/>
      <c r="AB1007646" s="251"/>
      <c r="AE1007646" s="251"/>
      <c r="AH1007646" s="251"/>
      <c r="AK1007646" s="251"/>
    </row>
    <row r="1007761" spans="25:37" x14ac:dyDescent="0.2">
      <c r="Y1007761" s="5"/>
      <c r="AB1007761" s="5"/>
      <c r="AE1007761" s="5"/>
      <c r="AH1007761" s="5"/>
      <c r="AK1007761" s="5"/>
    </row>
    <row r="1007771" spans="25:37" x14ac:dyDescent="0.2">
      <c r="Y1007771" s="251"/>
      <c r="AB1007771" s="251"/>
      <c r="AE1007771" s="251"/>
      <c r="AH1007771" s="251"/>
      <c r="AK1007771" s="251"/>
    </row>
    <row r="1007886" spans="25:37" x14ac:dyDescent="0.2">
      <c r="Y1007886" s="5"/>
      <c r="AB1007886" s="5"/>
      <c r="AE1007886" s="5"/>
      <c r="AH1007886" s="5"/>
      <c r="AK1007886" s="5"/>
    </row>
    <row r="1007896" spans="25:37" x14ac:dyDescent="0.2">
      <c r="Y1007896" s="251"/>
      <c r="AB1007896" s="251"/>
      <c r="AE1007896" s="251"/>
      <c r="AH1007896" s="251"/>
      <c r="AK1007896" s="251"/>
    </row>
    <row r="1008011" spans="25:37" x14ac:dyDescent="0.2">
      <c r="Y1008011" s="5"/>
      <c r="AB1008011" s="5"/>
      <c r="AE1008011" s="5"/>
      <c r="AH1008011" s="5"/>
      <c r="AK1008011" s="5"/>
    </row>
    <row r="1008021" spans="25:37" x14ac:dyDescent="0.2">
      <c r="Y1008021" s="251"/>
      <c r="AB1008021" s="251"/>
      <c r="AE1008021" s="251"/>
      <c r="AH1008021" s="251"/>
      <c r="AK1008021" s="251"/>
    </row>
    <row r="1008136" spans="25:37" x14ac:dyDescent="0.2">
      <c r="Y1008136" s="5"/>
      <c r="AB1008136" s="5"/>
      <c r="AE1008136" s="5"/>
      <c r="AH1008136" s="5"/>
      <c r="AK1008136" s="5"/>
    </row>
    <row r="1008146" spans="25:37" x14ac:dyDescent="0.2">
      <c r="Y1008146" s="251"/>
      <c r="AB1008146" s="251"/>
      <c r="AE1008146" s="251"/>
      <c r="AH1008146" s="251"/>
      <c r="AK1008146" s="251"/>
    </row>
    <row r="1008261" spans="25:37" x14ac:dyDescent="0.2">
      <c r="Y1008261" s="5"/>
      <c r="AB1008261" s="5"/>
      <c r="AE1008261" s="5"/>
      <c r="AH1008261" s="5"/>
      <c r="AK1008261" s="5"/>
    </row>
    <row r="1008271" spans="25:37" x14ac:dyDescent="0.2">
      <c r="Y1008271" s="251"/>
      <c r="AB1008271" s="251"/>
      <c r="AE1008271" s="251"/>
      <c r="AH1008271" s="251"/>
      <c r="AK1008271" s="251"/>
    </row>
    <row r="1008386" spans="25:37" x14ac:dyDescent="0.2">
      <c r="Y1008386" s="5"/>
      <c r="AB1008386" s="5"/>
      <c r="AE1008386" s="5"/>
      <c r="AH1008386" s="5"/>
      <c r="AK1008386" s="5"/>
    </row>
    <row r="1008396" spans="25:37" x14ac:dyDescent="0.2">
      <c r="Y1008396" s="251"/>
      <c r="AB1008396" s="251"/>
      <c r="AE1008396" s="251"/>
      <c r="AH1008396" s="251"/>
      <c r="AK1008396" s="251"/>
    </row>
    <row r="1008511" spans="25:37" x14ac:dyDescent="0.2">
      <c r="Y1008511" s="5"/>
      <c r="AB1008511" s="5"/>
      <c r="AE1008511" s="5"/>
      <c r="AH1008511" s="5"/>
      <c r="AK1008511" s="5"/>
    </row>
    <row r="1008521" spans="25:37" x14ac:dyDescent="0.2">
      <c r="Y1008521" s="251"/>
      <c r="AB1008521" s="251"/>
      <c r="AE1008521" s="251"/>
      <c r="AH1008521" s="251"/>
      <c r="AK1008521" s="251"/>
    </row>
    <row r="1008636" spans="25:37" x14ac:dyDescent="0.2">
      <c r="Y1008636" s="5"/>
      <c r="AB1008636" s="5"/>
      <c r="AE1008636" s="5"/>
      <c r="AH1008636" s="5"/>
      <c r="AK1008636" s="5"/>
    </row>
    <row r="1008646" spans="25:37" x14ac:dyDescent="0.2">
      <c r="Y1008646" s="251"/>
      <c r="AB1008646" s="251"/>
      <c r="AE1008646" s="251"/>
      <c r="AH1008646" s="251"/>
      <c r="AK1008646" s="251"/>
    </row>
    <row r="1008761" spans="25:37" x14ac:dyDescent="0.2">
      <c r="Y1008761" s="5"/>
      <c r="AB1008761" s="5"/>
      <c r="AE1008761" s="5"/>
      <c r="AH1008761" s="5"/>
      <c r="AK1008761" s="5"/>
    </row>
    <row r="1008771" spans="25:37" x14ac:dyDescent="0.2">
      <c r="Y1008771" s="251"/>
      <c r="AB1008771" s="251"/>
      <c r="AE1008771" s="251"/>
      <c r="AH1008771" s="251"/>
      <c r="AK1008771" s="251"/>
    </row>
    <row r="1008886" spans="25:37" x14ac:dyDescent="0.2">
      <c r="Y1008886" s="5"/>
      <c r="AB1008886" s="5"/>
      <c r="AE1008886" s="5"/>
      <c r="AH1008886" s="5"/>
      <c r="AK1008886" s="5"/>
    </row>
    <row r="1008896" spans="25:37" x14ac:dyDescent="0.2">
      <c r="Y1008896" s="251"/>
      <c r="AB1008896" s="251"/>
      <c r="AE1008896" s="251"/>
      <c r="AH1008896" s="251"/>
      <c r="AK1008896" s="251"/>
    </row>
    <row r="1009011" spans="25:37" x14ac:dyDescent="0.2">
      <c r="Y1009011" s="5"/>
      <c r="AB1009011" s="5"/>
      <c r="AE1009011" s="5"/>
      <c r="AH1009011" s="5"/>
      <c r="AK1009011" s="5"/>
    </row>
    <row r="1009021" spans="25:37" x14ac:dyDescent="0.2">
      <c r="Y1009021" s="251"/>
      <c r="AB1009021" s="251"/>
      <c r="AE1009021" s="251"/>
      <c r="AH1009021" s="251"/>
      <c r="AK1009021" s="251"/>
    </row>
    <row r="1009136" spans="25:37" x14ac:dyDescent="0.2">
      <c r="Y1009136" s="5"/>
      <c r="AB1009136" s="5"/>
      <c r="AE1009136" s="5"/>
      <c r="AH1009136" s="5"/>
      <c r="AK1009136" s="5"/>
    </row>
    <row r="1009146" spans="25:37" x14ac:dyDescent="0.2">
      <c r="Y1009146" s="251"/>
      <c r="AB1009146" s="251"/>
      <c r="AE1009146" s="251"/>
      <c r="AH1009146" s="251"/>
      <c r="AK1009146" s="251"/>
    </row>
    <row r="1009261" spans="25:37" x14ac:dyDescent="0.2">
      <c r="Y1009261" s="5"/>
      <c r="AB1009261" s="5"/>
      <c r="AE1009261" s="5"/>
      <c r="AH1009261" s="5"/>
      <c r="AK1009261" s="5"/>
    </row>
    <row r="1009271" spans="25:37" x14ac:dyDescent="0.2">
      <c r="Y1009271" s="251"/>
      <c r="AB1009271" s="251"/>
      <c r="AE1009271" s="251"/>
      <c r="AH1009271" s="251"/>
      <c r="AK1009271" s="251"/>
    </row>
    <row r="1009386" spans="25:37" x14ac:dyDescent="0.2">
      <c r="Y1009386" s="5"/>
      <c r="AB1009386" s="5"/>
      <c r="AE1009386" s="5"/>
      <c r="AH1009386" s="5"/>
      <c r="AK1009386" s="5"/>
    </row>
    <row r="1009396" spans="25:37" x14ac:dyDescent="0.2">
      <c r="Y1009396" s="251"/>
      <c r="AB1009396" s="251"/>
      <c r="AE1009396" s="251"/>
      <c r="AH1009396" s="251"/>
      <c r="AK1009396" s="251"/>
    </row>
    <row r="1009511" spans="25:37" x14ac:dyDescent="0.2">
      <c r="Y1009511" s="5"/>
      <c r="AB1009511" s="5"/>
      <c r="AE1009511" s="5"/>
      <c r="AH1009511" s="5"/>
      <c r="AK1009511" s="5"/>
    </row>
    <row r="1009521" spans="25:37" x14ac:dyDescent="0.2">
      <c r="Y1009521" s="251"/>
      <c r="AB1009521" s="251"/>
      <c r="AE1009521" s="251"/>
      <c r="AH1009521" s="251"/>
      <c r="AK1009521" s="251"/>
    </row>
    <row r="1009636" spans="25:37" x14ac:dyDescent="0.2">
      <c r="Y1009636" s="5"/>
      <c r="AB1009636" s="5"/>
      <c r="AE1009636" s="5"/>
      <c r="AH1009636" s="5"/>
      <c r="AK1009636" s="5"/>
    </row>
    <row r="1009646" spans="25:37" x14ac:dyDescent="0.2">
      <c r="Y1009646" s="251"/>
      <c r="AB1009646" s="251"/>
      <c r="AE1009646" s="251"/>
      <c r="AH1009646" s="251"/>
      <c r="AK1009646" s="251"/>
    </row>
    <row r="1009761" spans="25:37" x14ac:dyDescent="0.2">
      <c r="Y1009761" s="5"/>
      <c r="AB1009761" s="5"/>
      <c r="AE1009761" s="5"/>
      <c r="AH1009761" s="5"/>
      <c r="AK1009761" s="5"/>
    </row>
    <row r="1009771" spans="25:37" x14ac:dyDescent="0.2">
      <c r="Y1009771" s="251"/>
      <c r="AB1009771" s="251"/>
      <c r="AE1009771" s="251"/>
      <c r="AH1009771" s="251"/>
      <c r="AK1009771" s="251"/>
    </row>
    <row r="1009886" spans="25:37" x14ac:dyDescent="0.2">
      <c r="Y1009886" s="5"/>
      <c r="AB1009886" s="5"/>
      <c r="AE1009886" s="5"/>
      <c r="AH1009886" s="5"/>
      <c r="AK1009886" s="5"/>
    </row>
    <row r="1009896" spans="25:37" x14ac:dyDescent="0.2">
      <c r="Y1009896" s="251"/>
      <c r="AB1009896" s="251"/>
      <c r="AE1009896" s="251"/>
      <c r="AH1009896" s="251"/>
      <c r="AK1009896" s="251"/>
    </row>
    <row r="1010011" spans="25:37" x14ac:dyDescent="0.2">
      <c r="Y1010011" s="5"/>
      <c r="AB1010011" s="5"/>
      <c r="AE1010011" s="5"/>
      <c r="AH1010011" s="5"/>
      <c r="AK1010011" s="5"/>
    </row>
    <row r="1010021" spans="25:37" x14ac:dyDescent="0.2">
      <c r="Y1010021" s="251"/>
      <c r="AB1010021" s="251"/>
      <c r="AE1010021" s="251"/>
      <c r="AH1010021" s="251"/>
      <c r="AK1010021" s="251"/>
    </row>
    <row r="1010136" spans="25:37" x14ac:dyDescent="0.2">
      <c r="Y1010136" s="5"/>
      <c r="AB1010136" s="5"/>
      <c r="AE1010136" s="5"/>
      <c r="AH1010136" s="5"/>
      <c r="AK1010136" s="5"/>
    </row>
    <row r="1010146" spans="25:37" x14ac:dyDescent="0.2">
      <c r="Y1010146" s="251"/>
      <c r="AB1010146" s="251"/>
      <c r="AE1010146" s="251"/>
      <c r="AH1010146" s="251"/>
      <c r="AK1010146" s="251"/>
    </row>
    <row r="1010261" spans="25:37" x14ac:dyDescent="0.2">
      <c r="Y1010261" s="5"/>
      <c r="AB1010261" s="5"/>
      <c r="AE1010261" s="5"/>
      <c r="AH1010261" s="5"/>
      <c r="AK1010261" s="5"/>
    </row>
    <row r="1010271" spans="25:37" x14ac:dyDescent="0.2">
      <c r="Y1010271" s="251"/>
      <c r="AB1010271" s="251"/>
      <c r="AE1010271" s="251"/>
      <c r="AH1010271" s="251"/>
      <c r="AK1010271" s="251"/>
    </row>
    <row r="1010386" spans="25:37" x14ac:dyDescent="0.2">
      <c r="Y1010386" s="5"/>
      <c r="AB1010386" s="5"/>
      <c r="AE1010386" s="5"/>
      <c r="AH1010386" s="5"/>
      <c r="AK1010386" s="5"/>
    </row>
    <row r="1010396" spans="25:37" x14ac:dyDescent="0.2">
      <c r="Y1010396" s="251"/>
      <c r="AB1010396" s="251"/>
      <c r="AE1010396" s="251"/>
      <c r="AH1010396" s="251"/>
      <c r="AK1010396" s="251"/>
    </row>
    <row r="1010511" spans="25:37" x14ac:dyDescent="0.2">
      <c r="Y1010511" s="5"/>
      <c r="AB1010511" s="5"/>
      <c r="AE1010511" s="5"/>
      <c r="AH1010511" s="5"/>
      <c r="AK1010511" s="5"/>
    </row>
    <row r="1010521" spans="25:37" x14ac:dyDescent="0.2">
      <c r="Y1010521" s="251"/>
      <c r="AB1010521" s="251"/>
      <c r="AE1010521" s="251"/>
      <c r="AH1010521" s="251"/>
      <c r="AK1010521" s="251"/>
    </row>
    <row r="1010636" spans="25:37" x14ac:dyDescent="0.2">
      <c r="Y1010636" s="5"/>
      <c r="AB1010636" s="5"/>
      <c r="AE1010636" s="5"/>
      <c r="AH1010636" s="5"/>
      <c r="AK1010636" s="5"/>
    </row>
    <row r="1010646" spans="25:37" x14ac:dyDescent="0.2">
      <c r="Y1010646" s="251"/>
      <c r="AB1010646" s="251"/>
      <c r="AE1010646" s="251"/>
      <c r="AH1010646" s="251"/>
      <c r="AK1010646" s="251"/>
    </row>
    <row r="1010761" spans="25:37" x14ac:dyDescent="0.2">
      <c r="Y1010761" s="5"/>
      <c r="AB1010761" s="5"/>
      <c r="AE1010761" s="5"/>
      <c r="AH1010761" s="5"/>
      <c r="AK1010761" s="5"/>
    </row>
    <row r="1010771" spans="25:37" x14ac:dyDescent="0.2">
      <c r="Y1010771" s="251"/>
      <c r="AB1010771" s="251"/>
      <c r="AE1010771" s="251"/>
      <c r="AH1010771" s="251"/>
      <c r="AK1010771" s="251"/>
    </row>
    <row r="1010886" spans="25:37" x14ac:dyDescent="0.2">
      <c r="Y1010886" s="5"/>
      <c r="AB1010886" s="5"/>
      <c r="AE1010886" s="5"/>
      <c r="AH1010886" s="5"/>
      <c r="AK1010886" s="5"/>
    </row>
    <row r="1010896" spans="25:37" x14ac:dyDescent="0.2">
      <c r="Y1010896" s="251"/>
      <c r="AB1010896" s="251"/>
      <c r="AE1010896" s="251"/>
      <c r="AH1010896" s="251"/>
      <c r="AK1010896" s="251"/>
    </row>
    <row r="1011011" spans="25:37" x14ac:dyDescent="0.2">
      <c r="Y1011011" s="5"/>
      <c r="AB1011011" s="5"/>
      <c r="AE1011011" s="5"/>
      <c r="AH1011011" s="5"/>
      <c r="AK1011011" s="5"/>
    </row>
    <row r="1011021" spans="25:37" x14ac:dyDescent="0.2">
      <c r="Y1011021" s="251"/>
      <c r="AB1011021" s="251"/>
      <c r="AE1011021" s="251"/>
      <c r="AH1011021" s="251"/>
      <c r="AK1011021" s="251"/>
    </row>
    <row r="1011136" spans="25:37" x14ac:dyDescent="0.2">
      <c r="Y1011136" s="5"/>
      <c r="AB1011136" s="5"/>
      <c r="AE1011136" s="5"/>
      <c r="AH1011136" s="5"/>
      <c r="AK1011136" s="5"/>
    </row>
    <row r="1011146" spans="25:37" x14ac:dyDescent="0.2">
      <c r="Y1011146" s="251"/>
      <c r="AB1011146" s="251"/>
      <c r="AE1011146" s="251"/>
      <c r="AH1011146" s="251"/>
      <c r="AK1011146" s="251"/>
    </row>
    <row r="1011261" spans="25:37" x14ac:dyDescent="0.2">
      <c r="Y1011261" s="5"/>
      <c r="AB1011261" s="5"/>
      <c r="AE1011261" s="5"/>
      <c r="AH1011261" s="5"/>
      <c r="AK1011261" s="5"/>
    </row>
    <row r="1011271" spans="25:37" x14ac:dyDescent="0.2">
      <c r="Y1011271" s="251"/>
      <c r="AB1011271" s="251"/>
      <c r="AE1011271" s="251"/>
      <c r="AH1011271" s="251"/>
      <c r="AK1011271" s="251"/>
    </row>
    <row r="1011386" spans="25:37" x14ac:dyDescent="0.2">
      <c r="Y1011386" s="5"/>
      <c r="AB1011386" s="5"/>
      <c r="AE1011386" s="5"/>
      <c r="AH1011386" s="5"/>
      <c r="AK1011386" s="5"/>
    </row>
    <row r="1011396" spans="25:37" x14ac:dyDescent="0.2">
      <c r="Y1011396" s="251"/>
      <c r="AB1011396" s="251"/>
      <c r="AE1011396" s="251"/>
      <c r="AH1011396" s="251"/>
      <c r="AK1011396" s="251"/>
    </row>
    <row r="1011511" spans="25:37" x14ac:dyDescent="0.2">
      <c r="Y1011511" s="5"/>
      <c r="AB1011511" s="5"/>
      <c r="AE1011511" s="5"/>
      <c r="AH1011511" s="5"/>
      <c r="AK1011511" s="5"/>
    </row>
    <row r="1011521" spans="25:37" x14ac:dyDescent="0.2">
      <c r="Y1011521" s="251"/>
      <c r="AB1011521" s="251"/>
      <c r="AE1011521" s="251"/>
      <c r="AH1011521" s="251"/>
      <c r="AK1011521" s="251"/>
    </row>
    <row r="1011636" spans="25:37" x14ac:dyDescent="0.2">
      <c r="Y1011636" s="5"/>
      <c r="AB1011636" s="5"/>
      <c r="AE1011636" s="5"/>
      <c r="AH1011636" s="5"/>
      <c r="AK1011636" s="5"/>
    </row>
    <row r="1011646" spans="25:37" x14ac:dyDescent="0.2">
      <c r="Y1011646" s="251"/>
      <c r="AB1011646" s="251"/>
      <c r="AE1011646" s="251"/>
      <c r="AH1011646" s="251"/>
      <c r="AK1011646" s="251"/>
    </row>
    <row r="1011761" spans="25:37" x14ac:dyDescent="0.2">
      <c r="Y1011761" s="5"/>
      <c r="AB1011761" s="5"/>
      <c r="AE1011761" s="5"/>
      <c r="AH1011761" s="5"/>
      <c r="AK1011761" s="5"/>
    </row>
    <row r="1011771" spans="25:37" x14ac:dyDescent="0.2">
      <c r="Y1011771" s="251"/>
      <c r="AB1011771" s="251"/>
      <c r="AE1011771" s="251"/>
      <c r="AH1011771" s="251"/>
      <c r="AK1011771" s="251"/>
    </row>
    <row r="1011886" spans="25:37" x14ac:dyDescent="0.2">
      <c r="Y1011886" s="5"/>
      <c r="AB1011886" s="5"/>
      <c r="AE1011886" s="5"/>
      <c r="AH1011886" s="5"/>
      <c r="AK1011886" s="5"/>
    </row>
    <row r="1011896" spans="25:37" x14ac:dyDescent="0.2">
      <c r="Y1011896" s="251"/>
      <c r="AB1011896" s="251"/>
      <c r="AE1011896" s="251"/>
      <c r="AH1011896" s="251"/>
      <c r="AK1011896" s="251"/>
    </row>
    <row r="1012011" spans="25:37" x14ac:dyDescent="0.2">
      <c r="Y1012011" s="5"/>
      <c r="AB1012011" s="5"/>
      <c r="AE1012011" s="5"/>
      <c r="AH1012011" s="5"/>
      <c r="AK1012011" s="5"/>
    </row>
    <row r="1012021" spans="25:37" x14ac:dyDescent="0.2">
      <c r="Y1012021" s="251"/>
      <c r="AB1012021" s="251"/>
      <c r="AE1012021" s="251"/>
      <c r="AH1012021" s="251"/>
      <c r="AK1012021" s="251"/>
    </row>
    <row r="1012136" spans="25:37" x14ac:dyDescent="0.2">
      <c r="Y1012136" s="5"/>
      <c r="AB1012136" s="5"/>
      <c r="AE1012136" s="5"/>
      <c r="AH1012136" s="5"/>
      <c r="AK1012136" s="5"/>
    </row>
    <row r="1012146" spans="25:37" x14ac:dyDescent="0.2">
      <c r="Y1012146" s="251"/>
      <c r="AB1012146" s="251"/>
      <c r="AE1012146" s="251"/>
      <c r="AH1012146" s="251"/>
      <c r="AK1012146" s="251"/>
    </row>
    <row r="1012261" spans="25:37" x14ac:dyDescent="0.2">
      <c r="Y1012261" s="5"/>
      <c r="AB1012261" s="5"/>
      <c r="AE1012261" s="5"/>
      <c r="AH1012261" s="5"/>
      <c r="AK1012261" s="5"/>
    </row>
    <row r="1012271" spans="25:37" x14ac:dyDescent="0.2">
      <c r="Y1012271" s="251"/>
      <c r="AB1012271" s="251"/>
      <c r="AE1012271" s="251"/>
      <c r="AH1012271" s="251"/>
      <c r="AK1012271" s="251"/>
    </row>
    <row r="1012386" spans="25:37" x14ac:dyDescent="0.2">
      <c r="Y1012386" s="5"/>
      <c r="AB1012386" s="5"/>
      <c r="AE1012386" s="5"/>
      <c r="AH1012386" s="5"/>
      <c r="AK1012386" s="5"/>
    </row>
    <row r="1012396" spans="25:37" x14ac:dyDescent="0.2">
      <c r="Y1012396" s="251"/>
      <c r="AB1012396" s="251"/>
      <c r="AE1012396" s="251"/>
      <c r="AH1012396" s="251"/>
      <c r="AK1012396" s="251"/>
    </row>
    <row r="1012511" spans="25:37" x14ac:dyDescent="0.2">
      <c r="Y1012511" s="5"/>
      <c r="AB1012511" s="5"/>
      <c r="AE1012511" s="5"/>
      <c r="AH1012511" s="5"/>
      <c r="AK1012511" s="5"/>
    </row>
    <row r="1012521" spans="25:37" x14ac:dyDescent="0.2">
      <c r="Y1012521" s="251"/>
      <c r="AB1012521" s="251"/>
      <c r="AE1012521" s="251"/>
      <c r="AH1012521" s="251"/>
      <c r="AK1012521" s="251"/>
    </row>
    <row r="1012636" spans="25:37" x14ac:dyDescent="0.2">
      <c r="Y1012636" s="5"/>
      <c r="AB1012636" s="5"/>
      <c r="AE1012636" s="5"/>
      <c r="AH1012636" s="5"/>
      <c r="AK1012636" s="5"/>
    </row>
    <row r="1012646" spans="25:37" x14ac:dyDescent="0.2">
      <c r="Y1012646" s="251"/>
      <c r="AB1012646" s="251"/>
      <c r="AE1012646" s="251"/>
      <c r="AH1012646" s="251"/>
      <c r="AK1012646" s="251"/>
    </row>
    <row r="1012761" spans="25:37" x14ac:dyDescent="0.2">
      <c r="Y1012761" s="5"/>
      <c r="AB1012761" s="5"/>
      <c r="AE1012761" s="5"/>
      <c r="AH1012761" s="5"/>
      <c r="AK1012761" s="5"/>
    </row>
    <row r="1012771" spans="25:37" x14ac:dyDescent="0.2">
      <c r="Y1012771" s="251"/>
      <c r="AB1012771" s="251"/>
      <c r="AE1012771" s="251"/>
      <c r="AH1012771" s="251"/>
      <c r="AK1012771" s="251"/>
    </row>
    <row r="1012886" spans="25:37" x14ac:dyDescent="0.2">
      <c r="Y1012886" s="5"/>
      <c r="AB1012886" s="5"/>
      <c r="AE1012886" s="5"/>
      <c r="AH1012886" s="5"/>
      <c r="AK1012886" s="5"/>
    </row>
    <row r="1012896" spans="25:37" x14ac:dyDescent="0.2">
      <c r="Y1012896" s="251"/>
      <c r="AB1012896" s="251"/>
      <c r="AE1012896" s="251"/>
      <c r="AH1012896" s="251"/>
      <c r="AK1012896" s="251"/>
    </row>
    <row r="1013011" spans="25:37" x14ac:dyDescent="0.2">
      <c r="Y1013011" s="5"/>
      <c r="AB1013011" s="5"/>
      <c r="AE1013011" s="5"/>
      <c r="AH1013011" s="5"/>
      <c r="AK1013011" s="5"/>
    </row>
    <row r="1013021" spans="25:37" x14ac:dyDescent="0.2">
      <c r="Y1013021" s="251"/>
      <c r="AB1013021" s="251"/>
      <c r="AE1013021" s="251"/>
      <c r="AH1013021" s="251"/>
      <c r="AK1013021" s="251"/>
    </row>
    <row r="1013136" spans="25:37" x14ac:dyDescent="0.2">
      <c r="Y1013136" s="5"/>
      <c r="AB1013136" s="5"/>
      <c r="AE1013136" s="5"/>
      <c r="AH1013136" s="5"/>
      <c r="AK1013136" s="5"/>
    </row>
    <row r="1013146" spans="25:37" x14ac:dyDescent="0.2">
      <c r="Y1013146" s="251"/>
      <c r="AB1013146" s="251"/>
      <c r="AE1013146" s="251"/>
      <c r="AH1013146" s="251"/>
      <c r="AK1013146" s="251"/>
    </row>
    <row r="1013261" spans="25:37" x14ac:dyDescent="0.2">
      <c r="Y1013261" s="5"/>
      <c r="AB1013261" s="5"/>
      <c r="AE1013261" s="5"/>
      <c r="AH1013261" s="5"/>
      <c r="AK1013261" s="5"/>
    </row>
    <row r="1013271" spans="25:37" x14ac:dyDescent="0.2">
      <c r="Y1013271" s="251"/>
      <c r="AB1013271" s="251"/>
      <c r="AE1013271" s="251"/>
      <c r="AH1013271" s="251"/>
      <c r="AK1013271" s="251"/>
    </row>
    <row r="1013386" spans="25:37" x14ac:dyDescent="0.2">
      <c r="Y1013386" s="5"/>
      <c r="AB1013386" s="5"/>
      <c r="AE1013386" s="5"/>
      <c r="AH1013386" s="5"/>
      <c r="AK1013386" s="5"/>
    </row>
    <row r="1013396" spans="25:37" x14ac:dyDescent="0.2">
      <c r="Y1013396" s="251"/>
      <c r="AB1013396" s="251"/>
      <c r="AE1013396" s="251"/>
      <c r="AH1013396" s="251"/>
      <c r="AK1013396" s="251"/>
    </row>
    <row r="1013511" spans="25:37" x14ac:dyDescent="0.2">
      <c r="Y1013511" s="5"/>
      <c r="AB1013511" s="5"/>
      <c r="AE1013511" s="5"/>
      <c r="AH1013511" s="5"/>
      <c r="AK1013511" s="5"/>
    </row>
    <row r="1013521" spans="25:37" x14ac:dyDescent="0.2">
      <c r="Y1013521" s="251"/>
      <c r="AB1013521" s="251"/>
      <c r="AE1013521" s="251"/>
      <c r="AH1013521" s="251"/>
      <c r="AK1013521" s="251"/>
    </row>
    <row r="1013636" spans="25:37" x14ac:dyDescent="0.2">
      <c r="Y1013636" s="5"/>
      <c r="AB1013636" s="5"/>
      <c r="AE1013636" s="5"/>
      <c r="AH1013636" s="5"/>
      <c r="AK1013636" s="5"/>
    </row>
    <row r="1013646" spans="25:37" x14ac:dyDescent="0.2">
      <c r="Y1013646" s="251"/>
      <c r="AB1013646" s="251"/>
      <c r="AE1013646" s="251"/>
      <c r="AH1013646" s="251"/>
      <c r="AK1013646" s="251"/>
    </row>
    <row r="1013761" spans="25:37" x14ac:dyDescent="0.2">
      <c r="Y1013761" s="5"/>
      <c r="AB1013761" s="5"/>
      <c r="AE1013761" s="5"/>
      <c r="AH1013761" s="5"/>
      <c r="AK1013761" s="5"/>
    </row>
    <row r="1013771" spans="25:37" x14ac:dyDescent="0.2">
      <c r="Y1013771" s="251"/>
      <c r="AB1013771" s="251"/>
      <c r="AE1013771" s="251"/>
      <c r="AH1013771" s="251"/>
      <c r="AK1013771" s="251"/>
    </row>
    <row r="1013886" spans="25:37" x14ac:dyDescent="0.2">
      <c r="Y1013886" s="5"/>
      <c r="AB1013886" s="5"/>
      <c r="AE1013886" s="5"/>
      <c r="AH1013886" s="5"/>
      <c r="AK1013886" s="5"/>
    </row>
    <row r="1013896" spans="25:37" x14ac:dyDescent="0.2">
      <c r="Y1013896" s="251"/>
      <c r="AB1013896" s="251"/>
      <c r="AE1013896" s="251"/>
      <c r="AH1013896" s="251"/>
      <c r="AK1013896" s="251"/>
    </row>
    <row r="1014011" spans="25:37" x14ac:dyDescent="0.2">
      <c r="Y1014011" s="5"/>
      <c r="AB1014011" s="5"/>
      <c r="AE1014011" s="5"/>
      <c r="AH1014011" s="5"/>
      <c r="AK1014011" s="5"/>
    </row>
    <row r="1014021" spans="25:37" x14ac:dyDescent="0.2">
      <c r="Y1014021" s="251"/>
      <c r="AB1014021" s="251"/>
      <c r="AE1014021" s="251"/>
      <c r="AH1014021" s="251"/>
      <c r="AK1014021" s="251"/>
    </row>
    <row r="1014136" spans="25:37" x14ac:dyDescent="0.2">
      <c r="Y1014136" s="5"/>
      <c r="AB1014136" s="5"/>
      <c r="AE1014136" s="5"/>
      <c r="AH1014136" s="5"/>
      <c r="AK1014136" s="5"/>
    </row>
    <row r="1014146" spans="25:37" x14ac:dyDescent="0.2">
      <c r="Y1014146" s="251"/>
      <c r="AB1014146" s="251"/>
      <c r="AE1014146" s="251"/>
      <c r="AH1014146" s="251"/>
      <c r="AK1014146" s="251"/>
    </row>
    <row r="1014261" spans="25:37" x14ac:dyDescent="0.2">
      <c r="Y1014261" s="5"/>
      <c r="AB1014261" s="5"/>
      <c r="AE1014261" s="5"/>
      <c r="AH1014261" s="5"/>
      <c r="AK1014261" s="5"/>
    </row>
    <row r="1014271" spans="25:37" x14ac:dyDescent="0.2">
      <c r="Y1014271" s="251"/>
      <c r="AB1014271" s="251"/>
      <c r="AE1014271" s="251"/>
      <c r="AH1014271" s="251"/>
      <c r="AK1014271" s="251"/>
    </row>
    <row r="1014386" spans="25:37" x14ac:dyDescent="0.2">
      <c r="Y1014386" s="5"/>
      <c r="AB1014386" s="5"/>
      <c r="AE1014386" s="5"/>
      <c r="AH1014386" s="5"/>
      <c r="AK1014386" s="5"/>
    </row>
    <row r="1014396" spans="25:37" x14ac:dyDescent="0.2">
      <c r="Y1014396" s="251"/>
      <c r="AB1014396" s="251"/>
      <c r="AE1014396" s="251"/>
      <c r="AH1014396" s="251"/>
      <c r="AK1014396" s="251"/>
    </row>
    <row r="1014511" spans="25:37" x14ac:dyDescent="0.2">
      <c r="Y1014511" s="5"/>
      <c r="AB1014511" s="5"/>
      <c r="AE1014511" s="5"/>
      <c r="AH1014511" s="5"/>
      <c r="AK1014511" s="5"/>
    </row>
    <row r="1014521" spans="25:37" x14ac:dyDescent="0.2">
      <c r="Y1014521" s="251"/>
      <c r="AB1014521" s="251"/>
      <c r="AE1014521" s="251"/>
      <c r="AH1014521" s="251"/>
      <c r="AK1014521" s="251"/>
    </row>
    <row r="1014636" spans="25:37" x14ac:dyDescent="0.2">
      <c r="Y1014636" s="5"/>
      <c r="AB1014636" s="5"/>
      <c r="AE1014636" s="5"/>
      <c r="AH1014636" s="5"/>
      <c r="AK1014636" s="5"/>
    </row>
    <row r="1014646" spans="25:37" x14ac:dyDescent="0.2">
      <c r="Y1014646" s="251"/>
      <c r="AB1014646" s="251"/>
      <c r="AE1014646" s="251"/>
      <c r="AH1014646" s="251"/>
      <c r="AK1014646" s="251"/>
    </row>
    <row r="1014761" spans="25:37" x14ac:dyDescent="0.2">
      <c r="Y1014761" s="5"/>
      <c r="AB1014761" s="5"/>
      <c r="AE1014761" s="5"/>
      <c r="AH1014761" s="5"/>
      <c r="AK1014761" s="5"/>
    </row>
    <row r="1014771" spans="25:37" x14ac:dyDescent="0.2">
      <c r="Y1014771" s="251"/>
      <c r="AB1014771" s="251"/>
      <c r="AE1014771" s="251"/>
      <c r="AH1014771" s="251"/>
      <c r="AK1014771" s="251"/>
    </row>
    <row r="1014886" spans="25:37" x14ac:dyDescent="0.2">
      <c r="Y1014886" s="5"/>
      <c r="AB1014886" s="5"/>
      <c r="AE1014886" s="5"/>
      <c r="AH1014886" s="5"/>
      <c r="AK1014886" s="5"/>
    </row>
    <row r="1014896" spans="25:37" x14ac:dyDescent="0.2">
      <c r="Y1014896" s="251"/>
      <c r="AB1014896" s="251"/>
      <c r="AE1014896" s="251"/>
      <c r="AH1014896" s="251"/>
      <c r="AK1014896" s="251"/>
    </row>
    <row r="1015011" spans="25:37" x14ac:dyDescent="0.2">
      <c r="Y1015011" s="5"/>
      <c r="AB1015011" s="5"/>
      <c r="AE1015011" s="5"/>
      <c r="AH1015011" s="5"/>
      <c r="AK1015011" s="5"/>
    </row>
    <row r="1015021" spans="25:37" x14ac:dyDescent="0.2">
      <c r="Y1015021" s="251"/>
      <c r="AB1015021" s="251"/>
      <c r="AE1015021" s="251"/>
      <c r="AH1015021" s="251"/>
      <c r="AK1015021" s="251"/>
    </row>
    <row r="1015136" spans="25:37" x14ac:dyDescent="0.2">
      <c r="Y1015136" s="5"/>
      <c r="AB1015136" s="5"/>
      <c r="AE1015136" s="5"/>
      <c r="AH1015136" s="5"/>
      <c r="AK1015136" s="5"/>
    </row>
    <row r="1015146" spans="25:37" x14ac:dyDescent="0.2">
      <c r="Y1015146" s="251"/>
      <c r="AB1015146" s="251"/>
      <c r="AE1015146" s="251"/>
      <c r="AH1015146" s="251"/>
      <c r="AK1015146" s="251"/>
    </row>
    <row r="1015261" spans="25:37" x14ac:dyDescent="0.2">
      <c r="Y1015261" s="5"/>
      <c r="AB1015261" s="5"/>
      <c r="AE1015261" s="5"/>
      <c r="AH1015261" s="5"/>
      <c r="AK1015261" s="5"/>
    </row>
    <row r="1015271" spans="25:37" x14ac:dyDescent="0.2">
      <c r="Y1015271" s="251"/>
      <c r="AB1015271" s="251"/>
      <c r="AE1015271" s="251"/>
      <c r="AH1015271" s="251"/>
      <c r="AK1015271" s="251"/>
    </row>
    <row r="1015386" spans="25:37" x14ac:dyDescent="0.2">
      <c r="Y1015386" s="5"/>
      <c r="AB1015386" s="5"/>
      <c r="AE1015386" s="5"/>
      <c r="AH1015386" s="5"/>
      <c r="AK1015386" s="5"/>
    </row>
    <row r="1015396" spans="25:37" x14ac:dyDescent="0.2">
      <c r="Y1015396" s="251"/>
      <c r="AB1015396" s="251"/>
      <c r="AE1015396" s="251"/>
      <c r="AH1015396" s="251"/>
      <c r="AK1015396" s="251"/>
    </row>
    <row r="1015511" spans="25:37" x14ac:dyDescent="0.2">
      <c r="Y1015511" s="5"/>
      <c r="AB1015511" s="5"/>
      <c r="AE1015511" s="5"/>
      <c r="AH1015511" s="5"/>
      <c r="AK1015511" s="5"/>
    </row>
    <row r="1015521" spans="25:37" x14ac:dyDescent="0.2">
      <c r="Y1015521" s="251"/>
      <c r="AB1015521" s="251"/>
      <c r="AE1015521" s="251"/>
      <c r="AH1015521" s="251"/>
      <c r="AK1015521" s="251"/>
    </row>
    <row r="1015636" spans="25:37" x14ac:dyDescent="0.2">
      <c r="Y1015636" s="5"/>
      <c r="AB1015636" s="5"/>
      <c r="AE1015636" s="5"/>
      <c r="AH1015636" s="5"/>
      <c r="AK1015636" s="5"/>
    </row>
    <row r="1015646" spans="25:37" x14ac:dyDescent="0.2">
      <c r="Y1015646" s="251"/>
      <c r="AB1015646" s="251"/>
      <c r="AE1015646" s="251"/>
      <c r="AH1015646" s="251"/>
      <c r="AK1015646" s="251"/>
    </row>
    <row r="1015761" spans="25:37" x14ac:dyDescent="0.2">
      <c r="Y1015761" s="5"/>
      <c r="AB1015761" s="5"/>
      <c r="AE1015761" s="5"/>
      <c r="AH1015761" s="5"/>
      <c r="AK1015761" s="5"/>
    </row>
    <row r="1015771" spans="25:37" x14ac:dyDescent="0.2">
      <c r="Y1015771" s="251"/>
      <c r="AB1015771" s="251"/>
      <c r="AE1015771" s="251"/>
      <c r="AH1015771" s="251"/>
      <c r="AK1015771" s="251"/>
    </row>
    <row r="1015886" spans="25:37" x14ac:dyDescent="0.2">
      <c r="Y1015886" s="5"/>
      <c r="AB1015886" s="5"/>
      <c r="AE1015886" s="5"/>
      <c r="AH1015886" s="5"/>
      <c r="AK1015886" s="5"/>
    </row>
    <row r="1015896" spans="25:37" x14ac:dyDescent="0.2">
      <c r="Y1015896" s="251"/>
      <c r="AB1015896" s="251"/>
      <c r="AE1015896" s="251"/>
      <c r="AH1015896" s="251"/>
      <c r="AK1015896" s="251"/>
    </row>
    <row r="1016011" spans="25:37" x14ac:dyDescent="0.2">
      <c r="Y1016011" s="5"/>
      <c r="AB1016011" s="5"/>
      <c r="AE1016011" s="5"/>
      <c r="AH1016011" s="5"/>
      <c r="AK1016011" s="5"/>
    </row>
    <row r="1016021" spans="25:37" x14ac:dyDescent="0.2">
      <c r="Y1016021" s="251"/>
      <c r="AB1016021" s="251"/>
      <c r="AE1016021" s="251"/>
      <c r="AH1016021" s="251"/>
      <c r="AK1016021" s="251"/>
    </row>
    <row r="1016136" spans="25:37" x14ac:dyDescent="0.2">
      <c r="Y1016136" s="5"/>
      <c r="AB1016136" s="5"/>
      <c r="AE1016136" s="5"/>
      <c r="AH1016136" s="5"/>
      <c r="AK1016136" s="5"/>
    </row>
    <row r="1016146" spans="25:37" x14ac:dyDescent="0.2">
      <c r="Y1016146" s="251"/>
      <c r="AB1016146" s="251"/>
      <c r="AE1016146" s="251"/>
      <c r="AH1016146" s="251"/>
      <c r="AK1016146" s="251"/>
    </row>
    <row r="1016261" spans="25:37" x14ac:dyDescent="0.2">
      <c r="Y1016261" s="5"/>
      <c r="AB1016261" s="5"/>
      <c r="AE1016261" s="5"/>
      <c r="AH1016261" s="5"/>
      <c r="AK1016261" s="5"/>
    </row>
    <row r="1016271" spans="25:37" x14ac:dyDescent="0.2">
      <c r="Y1016271" s="251"/>
      <c r="AB1016271" s="251"/>
      <c r="AE1016271" s="251"/>
      <c r="AH1016271" s="251"/>
      <c r="AK1016271" s="251"/>
    </row>
    <row r="1016386" spans="25:37" x14ac:dyDescent="0.2">
      <c r="Y1016386" s="5"/>
      <c r="AB1016386" s="5"/>
      <c r="AE1016386" s="5"/>
      <c r="AH1016386" s="5"/>
      <c r="AK1016386" s="5"/>
    </row>
    <row r="1016396" spans="25:37" x14ac:dyDescent="0.2">
      <c r="Y1016396" s="251"/>
      <c r="AB1016396" s="251"/>
      <c r="AE1016396" s="251"/>
      <c r="AH1016396" s="251"/>
      <c r="AK1016396" s="251"/>
    </row>
    <row r="1016511" spans="25:37" x14ac:dyDescent="0.2">
      <c r="Y1016511" s="5"/>
      <c r="AB1016511" s="5"/>
      <c r="AE1016511" s="5"/>
      <c r="AH1016511" s="5"/>
      <c r="AK1016511" s="5"/>
    </row>
    <row r="1016521" spans="25:37" x14ac:dyDescent="0.2">
      <c r="Y1016521" s="251"/>
      <c r="AB1016521" s="251"/>
      <c r="AE1016521" s="251"/>
      <c r="AH1016521" s="251"/>
      <c r="AK1016521" s="251"/>
    </row>
    <row r="1016636" spans="25:37" x14ac:dyDescent="0.2">
      <c r="Y1016636" s="5"/>
      <c r="AB1016636" s="5"/>
      <c r="AE1016636" s="5"/>
      <c r="AH1016636" s="5"/>
      <c r="AK1016636" s="5"/>
    </row>
    <row r="1016646" spans="25:37" x14ac:dyDescent="0.2">
      <c r="Y1016646" s="251"/>
      <c r="AB1016646" s="251"/>
      <c r="AE1016646" s="251"/>
      <c r="AH1016646" s="251"/>
      <c r="AK1016646" s="251"/>
    </row>
    <row r="1016761" spans="25:37" x14ac:dyDescent="0.2">
      <c r="Y1016761" s="5"/>
      <c r="AB1016761" s="5"/>
      <c r="AE1016761" s="5"/>
      <c r="AH1016761" s="5"/>
      <c r="AK1016761" s="5"/>
    </row>
    <row r="1016771" spans="25:37" x14ac:dyDescent="0.2">
      <c r="Y1016771" s="251"/>
      <c r="AB1016771" s="251"/>
      <c r="AE1016771" s="251"/>
      <c r="AH1016771" s="251"/>
      <c r="AK1016771" s="251"/>
    </row>
    <row r="1016886" spans="25:37" x14ac:dyDescent="0.2">
      <c r="Y1016886" s="5"/>
      <c r="AB1016886" s="5"/>
      <c r="AE1016886" s="5"/>
      <c r="AH1016886" s="5"/>
      <c r="AK1016886" s="5"/>
    </row>
    <row r="1016896" spans="25:37" x14ac:dyDescent="0.2">
      <c r="Y1016896" s="251"/>
      <c r="AB1016896" s="251"/>
      <c r="AE1016896" s="251"/>
      <c r="AH1016896" s="251"/>
      <c r="AK1016896" s="251"/>
    </row>
    <row r="1017011" spans="25:37" x14ac:dyDescent="0.2">
      <c r="Y1017011" s="5"/>
      <c r="AB1017011" s="5"/>
      <c r="AE1017011" s="5"/>
      <c r="AH1017011" s="5"/>
      <c r="AK1017011" s="5"/>
    </row>
    <row r="1017021" spans="25:37" x14ac:dyDescent="0.2">
      <c r="Y1017021" s="251"/>
      <c r="AB1017021" s="251"/>
      <c r="AE1017021" s="251"/>
      <c r="AH1017021" s="251"/>
      <c r="AK1017021" s="251"/>
    </row>
    <row r="1017136" spans="25:37" x14ac:dyDescent="0.2">
      <c r="Y1017136" s="5"/>
      <c r="AB1017136" s="5"/>
      <c r="AE1017136" s="5"/>
      <c r="AH1017136" s="5"/>
      <c r="AK1017136" s="5"/>
    </row>
    <row r="1017146" spans="25:37" x14ac:dyDescent="0.2">
      <c r="Y1017146" s="251"/>
      <c r="AB1017146" s="251"/>
      <c r="AE1017146" s="251"/>
      <c r="AH1017146" s="251"/>
      <c r="AK1017146" s="251"/>
    </row>
    <row r="1017261" spans="25:37" x14ac:dyDescent="0.2">
      <c r="Y1017261" s="5"/>
      <c r="AB1017261" s="5"/>
      <c r="AE1017261" s="5"/>
      <c r="AH1017261" s="5"/>
      <c r="AK1017261" s="5"/>
    </row>
    <row r="1017271" spans="25:37" x14ac:dyDescent="0.2">
      <c r="Y1017271" s="251"/>
      <c r="AB1017271" s="251"/>
      <c r="AE1017271" s="251"/>
      <c r="AH1017271" s="251"/>
      <c r="AK1017271" s="251"/>
    </row>
    <row r="1017386" spans="25:37" x14ac:dyDescent="0.2">
      <c r="Y1017386" s="5"/>
      <c r="AB1017386" s="5"/>
      <c r="AE1017386" s="5"/>
      <c r="AH1017386" s="5"/>
      <c r="AK1017386" s="5"/>
    </row>
    <row r="1017396" spans="25:37" x14ac:dyDescent="0.2">
      <c r="Y1017396" s="251"/>
      <c r="AB1017396" s="251"/>
      <c r="AE1017396" s="251"/>
      <c r="AH1017396" s="251"/>
      <c r="AK1017396" s="251"/>
    </row>
    <row r="1017511" spans="25:37" x14ac:dyDescent="0.2">
      <c r="Y1017511" s="5"/>
      <c r="AB1017511" s="5"/>
      <c r="AE1017511" s="5"/>
      <c r="AH1017511" s="5"/>
      <c r="AK1017511" s="5"/>
    </row>
    <row r="1017521" spans="25:37" x14ac:dyDescent="0.2">
      <c r="Y1017521" s="251"/>
      <c r="AB1017521" s="251"/>
      <c r="AE1017521" s="251"/>
      <c r="AH1017521" s="251"/>
      <c r="AK1017521" s="251"/>
    </row>
    <row r="1017636" spans="25:37" x14ac:dyDescent="0.2">
      <c r="Y1017636" s="5"/>
      <c r="AB1017636" s="5"/>
      <c r="AE1017636" s="5"/>
      <c r="AH1017636" s="5"/>
      <c r="AK1017636" s="5"/>
    </row>
    <row r="1017646" spans="25:37" x14ac:dyDescent="0.2">
      <c r="Y1017646" s="251"/>
      <c r="AB1017646" s="251"/>
      <c r="AE1017646" s="251"/>
      <c r="AH1017646" s="251"/>
      <c r="AK1017646" s="251"/>
    </row>
    <row r="1017761" spans="25:37" x14ac:dyDescent="0.2">
      <c r="Y1017761" s="5"/>
      <c r="AB1017761" s="5"/>
      <c r="AE1017761" s="5"/>
      <c r="AH1017761" s="5"/>
      <c r="AK1017761" s="5"/>
    </row>
    <row r="1017771" spans="25:37" x14ac:dyDescent="0.2">
      <c r="Y1017771" s="251"/>
      <c r="AB1017771" s="251"/>
      <c r="AE1017771" s="251"/>
      <c r="AH1017771" s="251"/>
      <c r="AK1017771" s="251"/>
    </row>
    <row r="1017886" spans="25:37" x14ac:dyDescent="0.2">
      <c r="Y1017886" s="5"/>
      <c r="AB1017886" s="5"/>
      <c r="AE1017886" s="5"/>
      <c r="AH1017886" s="5"/>
      <c r="AK1017886" s="5"/>
    </row>
    <row r="1017896" spans="25:37" x14ac:dyDescent="0.2">
      <c r="Y1017896" s="251"/>
      <c r="AB1017896" s="251"/>
      <c r="AE1017896" s="251"/>
      <c r="AH1017896" s="251"/>
      <c r="AK1017896" s="251"/>
    </row>
    <row r="1018011" spans="25:37" x14ac:dyDescent="0.2">
      <c r="Y1018011" s="5"/>
      <c r="AB1018011" s="5"/>
      <c r="AE1018011" s="5"/>
      <c r="AH1018011" s="5"/>
      <c r="AK1018011" s="5"/>
    </row>
    <row r="1018021" spans="25:37" x14ac:dyDescent="0.2">
      <c r="Y1018021" s="251"/>
      <c r="AB1018021" s="251"/>
      <c r="AE1018021" s="251"/>
      <c r="AH1018021" s="251"/>
      <c r="AK1018021" s="251"/>
    </row>
    <row r="1018136" spans="25:37" x14ac:dyDescent="0.2">
      <c r="Y1018136" s="5"/>
      <c r="AB1018136" s="5"/>
      <c r="AE1018136" s="5"/>
      <c r="AH1018136" s="5"/>
      <c r="AK1018136" s="5"/>
    </row>
    <row r="1018146" spans="25:37" x14ac:dyDescent="0.2">
      <c r="Y1018146" s="251"/>
      <c r="AB1018146" s="251"/>
      <c r="AE1018146" s="251"/>
      <c r="AH1018146" s="251"/>
      <c r="AK1018146" s="251"/>
    </row>
    <row r="1018261" spans="25:37" x14ac:dyDescent="0.2">
      <c r="Y1018261" s="5"/>
      <c r="AB1018261" s="5"/>
      <c r="AE1018261" s="5"/>
      <c r="AH1018261" s="5"/>
      <c r="AK1018261" s="5"/>
    </row>
    <row r="1018271" spans="25:37" x14ac:dyDescent="0.2">
      <c r="Y1018271" s="251"/>
      <c r="AB1018271" s="251"/>
      <c r="AE1018271" s="251"/>
      <c r="AH1018271" s="251"/>
      <c r="AK1018271" s="251"/>
    </row>
    <row r="1018386" spans="25:37" x14ac:dyDescent="0.2">
      <c r="Y1018386" s="5"/>
      <c r="AB1018386" s="5"/>
      <c r="AE1018386" s="5"/>
      <c r="AH1018386" s="5"/>
      <c r="AK1018386" s="5"/>
    </row>
    <row r="1018396" spans="25:37" x14ac:dyDescent="0.2">
      <c r="Y1018396" s="251"/>
      <c r="AB1018396" s="251"/>
      <c r="AE1018396" s="251"/>
      <c r="AH1018396" s="251"/>
      <c r="AK1018396" s="251"/>
    </row>
    <row r="1018511" spans="25:37" x14ac:dyDescent="0.2">
      <c r="Y1018511" s="5"/>
      <c r="AB1018511" s="5"/>
      <c r="AE1018511" s="5"/>
      <c r="AH1018511" s="5"/>
      <c r="AK1018511" s="5"/>
    </row>
    <row r="1018521" spans="25:37" x14ac:dyDescent="0.2">
      <c r="Y1018521" s="251"/>
      <c r="AB1018521" s="251"/>
      <c r="AE1018521" s="251"/>
      <c r="AH1018521" s="251"/>
      <c r="AK1018521" s="251"/>
    </row>
    <row r="1018636" spans="25:37" x14ac:dyDescent="0.2">
      <c r="Y1018636" s="5"/>
      <c r="AB1018636" s="5"/>
      <c r="AE1018636" s="5"/>
      <c r="AH1018636" s="5"/>
      <c r="AK1018636" s="5"/>
    </row>
    <row r="1018646" spans="25:37" x14ac:dyDescent="0.2">
      <c r="Y1018646" s="251"/>
      <c r="AB1018646" s="251"/>
      <c r="AE1018646" s="251"/>
      <c r="AH1018646" s="251"/>
      <c r="AK1018646" s="251"/>
    </row>
    <row r="1018761" spans="25:37" x14ac:dyDescent="0.2">
      <c r="Y1018761" s="5"/>
      <c r="AB1018761" s="5"/>
      <c r="AE1018761" s="5"/>
      <c r="AH1018761" s="5"/>
      <c r="AK1018761" s="5"/>
    </row>
    <row r="1018771" spans="25:37" x14ac:dyDescent="0.2">
      <c r="Y1018771" s="251"/>
      <c r="AB1018771" s="251"/>
      <c r="AE1018771" s="251"/>
      <c r="AH1018771" s="251"/>
      <c r="AK1018771" s="251"/>
    </row>
    <row r="1018886" spans="25:37" x14ac:dyDescent="0.2">
      <c r="Y1018886" s="5"/>
      <c r="AB1018886" s="5"/>
      <c r="AE1018886" s="5"/>
      <c r="AH1018886" s="5"/>
      <c r="AK1018886" s="5"/>
    </row>
    <row r="1018896" spans="25:37" x14ac:dyDescent="0.2">
      <c r="Y1018896" s="251"/>
      <c r="AB1018896" s="251"/>
      <c r="AE1018896" s="251"/>
      <c r="AH1018896" s="251"/>
      <c r="AK1018896" s="251"/>
    </row>
    <row r="1019011" spans="25:37" x14ac:dyDescent="0.2">
      <c r="Y1019011" s="5"/>
      <c r="AB1019011" s="5"/>
      <c r="AE1019011" s="5"/>
      <c r="AH1019011" s="5"/>
      <c r="AK1019011" s="5"/>
    </row>
    <row r="1019021" spans="25:37" x14ac:dyDescent="0.2">
      <c r="Y1019021" s="251"/>
      <c r="AB1019021" s="251"/>
      <c r="AE1019021" s="251"/>
      <c r="AH1019021" s="251"/>
      <c r="AK1019021" s="251"/>
    </row>
    <row r="1019136" spans="25:37" x14ac:dyDescent="0.2">
      <c r="Y1019136" s="5"/>
      <c r="AB1019136" s="5"/>
      <c r="AE1019136" s="5"/>
      <c r="AH1019136" s="5"/>
      <c r="AK1019136" s="5"/>
    </row>
    <row r="1019146" spans="25:37" x14ac:dyDescent="0.2">
      <c r="Y1019146" s="251"/>
      <c r="AB1019146" s="251"/>
      <c r="AE1019146" s="251"/>
      <c r="AH1019146" s="251"/>
      <c r="AK1019146" s="251"/>
    </row>
    <row r="1019261" spans="25:37" x14ac:dyDescent="0.2">
      <c r="Y1019261" s="5"/>
      <c r="AB1019261" s="5"/>
      <c r="AE1019261" s="5"/>
      <c r="AH1019261" s="5"/>
      <c r="AK1019261" s="5"/>
    </row>
    <row r="1019271" spans="25:37" x14ac:dyDescent="0.2">
      <c r="Y1019271" s="251"/>
      <c r="AB1019271" s="251"/>
      <c r="AE1019271" s="251"/>
      <c r="AH1019271" s="251"/>
      <c r="AK1019271" s="251"/>
    </row>
    <row r="1019386" spans="25:37" x14ac:dyDescent="0.2">
      <c r="Y1019386" s="5"/>
      <c r="AB1019386" s="5"/>
      <c r="AE1019386" s="5"/>
      <c r="AH1019386" s="5"/>
      <c r="AK1019386" s="5"/>
    </row>
    <row r="1019396" spans="25:37" x14ac:dyDescent="0.2">
      <c r="Y1019396" s="251"/>
      <c r="AB1019396" s="251"/>
      <c r="AE1019396" s="251"/>
      <c r="AH1019396" s="251"/>
      <c r="AK1019396" s="251"/>
    </row>
    <row r="1019511" spans="25:37" x14ac:dyDescent="0.2">
      <c r="Y1019511" s="5"/>
      <c r="AB1019511" s="5"/>
      <c r="AE1019511" s="5"/>
      <c r="AH1019511" s="5"/>
      <c r="AK1019511" s="5"/>
    </row>
    <row r="1019521" spans="25:37" x14ac:dyDescent="0.2">
      <c r="Y1019521" s="251"/>
      <c r="AB1019521" s="251"/>
      <c r="AE1019521" s="251"/>
      <c r="AH1019521" s="251"/>
      <c r="AK1019521" s="251"/>
    </row>
    <row r="1019636" spans="25:37" x14ac:dyDescent="0.2">
      <c r="Y1019636" s="5"/>
      <c r="AB1019636" s="5"/>
      <c r="AE1019636" s="5"/>
      <c r="AH1019636" s="5"/>
      <c r="AK1019636" s="5"/>
    </row>
    <row r="1019646" spans="25:37" x14ac:dyDescent="0.2">
      <c r="Y1019646" s="251"/>
      <c r="AB1019646" s="251"/>
      <c r="AE1019646" s="251"/>
      <c r="AH1019646" s="251"/>
      <c r="AK1019646" s="251"/>
    </row>
    <row r="1019761" spans="25:37" x14ac:dyDescent="0.2">
      <c r="Y1019761" s="5"/>
      <c r="AB1019761" s="5"/>
      <c r="AE1019761" s="5"/>
      <c r="AH1019761" s="5"/>
      <c r="AK1019761" s="5"/>
    </row>
    <row r="1019771" spans="25:37" x14ac:dyDescent="0.2">
      <c r="Y1019771" s="251"/>
      <c r="AB1019771" s="251"/>
      <c r="AE1019771" s="251"/>
      <c r="AH1019771" s="251"/>
      <c r="AK1019771" s="251"/>
    </row>
    <row r="1019886" spans="25:37" x14ac:dyDescent="0.2">
      <c r="Y1019886" s="5"/>
      <c r="AB1019886" s="5"/>
      <c r="AE1019886" s="5"/>
      <c r="AH1019886" s="5"/>
      <c r="AK1019886" s="5"/>
    </row>
    <row r="1019896" spans="25:37" x14ac:dyDescent="0.2">
      <c r="Y1019896" s="251"/>
      <c r="AB1019896" s="251"/>
      <c r="AE1019896" s="251"/>
      <c r="AH1019896" s="251"/>
      <c r="AK1019896" s="251"/>
    </row>
    <row r="1020011" spans="25:37" x14ac:dyDescent="0.2">
      <c r="Y1020011" s="5"/>
      <c r="AB1020011" s="5"/>
      <c r="AE1020011" s="5"/>
      <c r="AH1020011" s="5"/>
      <c r="AK1020011" s="5"/>
    </row>
    <row r="1020021" spans="25:37" x14ac:dyDescent="0.2">
      <c r="Y1020021" s="251"/>
      <c r="AB1020021" s="251"/>
      <c r="AE1020021" s="251"/>
      <c r="AH1020021" s="251"/>
      <c r="AK1020021" s="251"/>
    </row>
    <row r="1020136" spans="25:37" x14ac:dyDescent="0.2">
      <c r="Y1020136" s="5"/>
      <c r="AB1020136" s="5"/>
      <c r="AE1020136" s="5"/>
      <c r="AH1020136" s="5"/>
      <c r="AK1020136" s="5"/>
    </row>
    <row r="1020146" spans="25:37" x14ac:dyDescent="0.2">
      <c r="Y1020146" s="251"/>
      <c r="AB1020146" s="251"/>
      <c r="AE1020146" s="251"/>
      <c r="AH1020146" s="251"/>
      <c r="AK1020146" s="251"/>
    </row>
    <row r="1020261" spans="25:37" x14ac:dyDescent="0.2">
      <c r="Y1020261" s="5"/>
      <c r="AB1020261" s="5"/>
      <c r="AE1020261" s="5"/>
      <c r="AH1020261" s="5"/>
      <c r="AK1020261" s="5"/>
    </row>
    <row r="1020271" spans="25:37" x14ac:dyDescent="0.2">
      <c r="Y1020271" s="251"/>
      <c r="AB1020271" s="251"/>
      <c r="AE1020271" s="251"/>
      <c r="AH1020271" s="251"/>
      <c r="AK1020271" s="251"/>
    </row>
    <row r="1020386" spans="25:37" x14ac:dyDescent="0.2">
      <c r="Y1020386" s="5"/>
      <c r="AB1020386" s="5"/>
      <c r="AE1020386" s="5"/>
      <c r="AH1020386" s="5"/>
      <c r="AK1020386" s="5"/>
    </row>
    <row r="1020396" spans="25:37" x14ac:dyDescent="0.2">
      <c r="Y1020396" s="251"/>
      <c r="AB1020396" s="251"/>
      <c r="AE1020396" s="251"/>
      <c r="AH1020396" s="251"/>
      <c r="AK1020396" s="251"/>
    </row>
    <row r="1020511" spans="25:37" x14ac:dyDescent="0.2">
      <c r="Y1020511" s="5"/>
      <c r="AB1020511" s="5"/>
      <c r="AE1020511" s="5"/>
      <c r="AH1020511" s="5"/>
      <c r="AK1020511" s="5"/>
    </row>
    <row r="1020521" spans="25:37" x14ac:dyDescent="0.2">
      <c r="Y1020521" s="251"/>
      <c r="AB1020521" s="251"/>
      <c r="AE1020521" s="251"/>
      <c r="AH1020521" s="251"/>
      <c r="AK1020521" s="251"/>
    </row>
    <row r="1020636" spans="25:37" x14ac:dyDescent="0.2">
      <c r="Y1020636" s="5"/>
      <c r="AB1020636" s="5"/>
      <c r="AE1020636" s="5"/>
      <c r="AH1020636" s="5"/>
      <c r="AK1020636" s="5"/>
    </row>
    <row r="1020646" spans="25:37" x14ac:dyDescent="0.2">
      <c r="Y1020646" s="251"/>
      <c r="AB1020646" s="251"/>
      <c r="AE1020646" s="251"/>
      <c r="AH1020646" s="251"/>
      <c r="AK1020646" s="251"/>
    </row>
    <row r="1020761" spans="25:37" x14ac:dyDescent="0.2">
      <c r="Y1020761" s="5"/>
      <c r="AB1020761" s="5"/>
      <c r="AE1020761" s="5"/>
      <c r="AH1020761" s="5"/>
      <c r="AK1020761" s="5"/>
    </row>
    <row r="1020771" spans="25:37" x14ac:dyDescent="0.2">
      <c r="Y1020771" s="251"/>
      <c r="AB1020771" s="251"/>
      <c r="AE1020771" s="251"/>
      <c r="AH1020771" s="251"/>
      <c r="AK1020771" s="251"/>
    </row>
    <row r="1020886" spans="25:37" x14ac:dyDescent="0.2">
      <c r="Y1020886" s="5"/>
      <c r="AB1020886" s="5"/>
      <c r="AE1020886" s="5"/>
      <c r="AH1020886" s="5"/>
      <c r="AK1020886" s="5"/>
    </row>
    <row r="1020896" spans="25:37" x14ac:dyDescent="0.2">
      <c r="Y1020896" s="251"/>
      <c r="AB1020896" s="251"/>
      <c r="AE1020896" s="251"/>
      <c r="AH1020896" s="251"/>
      <c r="AK1020896" s="251"/>
    </row>
    <row r="1021011" spans="25:37" x14ac:dyDescent="0.2">
      <c r="Y1021011" s="5"/>
      <c r="AB1021011" s="5"/>
      <c r="AE1021011" s="5"/>
      <c r="AH1021011" s="5"/>
      <c r="AK1021011" s="5"/>
    </row>
    <row r="1021021" spans="25:37" x14ac:dyDescent="0.2">
      <c r="Y1021021" s="251"/>
      <c r="AB1021021" s="251"/>
      <c r="AE1021021" s="251"/>
      <c r="AH1021021" s="251"/>
      <c r="AK1021021" s="251"/>
    </row>
    <row r="1021136" spans="25:37" x14ac:dyDescent="0.2">
      <c r="Y1021136" s="5"/>
      <c r="AB1021136" s="5"/>
      <c r="AE1021136" s="5"/>
      <c r="AH1021136" s="5"/>
      <c r="AK1021136" s="5"/>
    </row>
    <row r="1021146" spans="25:37" x14ac:dyDescent="0.2">
      <c r="Y1021146" s="251"/>
      <c r="AB1021146" s="251"/>
      <c r="AE1021146" s="251"/>
      <c r="AH1021146" s="251"/>
      <c r="AK1021146" s="251"/>
    </row>
    <row r="1021261" spans="25:37" x14ac:dyDescent="0.2">
      <c r="Y1021261" s="5"/>
      <c r="AB1021261" s="5"/>
      <c r="AE1021261" s="5"/>
      <c r="AH1021261" s="5"/>
      <c r="AK1021261" s="5"/>
    </row>
    <row r="1021271" spans="25:37" x14ac:dyDescent="0.2">
      <c r="Y1021271" s="251"/>
      <c r="AB1021271" s="251"/>
      <c r="AE1021271" s="251"/>
      <c r="AH1021271" s="251"/>
      <c r="AK1021271" s="251"/>
    </row>
    <row r="1021386" spans="25:37" x14ac:dyDescent="0.2">
      <c r="Y1021386" s="5"/>
      <c r="AB1021386" s="5"/>
      <c r="AE1021386" s="5"/>
      <c r="AH1021386" s="5"/>
      <c r="AK1021386" s="5"/>
    </row>
    <row r="1021396" spans="25:37" x14ac:dyDescent="0.2">
      <c r="Y1021396" s="251"/>
      <c r="AB1021396" s="251"/>
      <c r="AE1021396" s="251"/>
      <c r="AH1021396" s="251"/>
      <c r="AK1021396" s="251"/>
    </row>
    <row r="1021511" spans="25:37" x14ac:dyDescent="0.2">
      <c r="Y1021511" s="5"/>
      <c r="AB1021511" s="5"/>
      <c r="AE1021511" s="5"/>
      <c r="AH1021511" s="5"/>
      <c r="AK1021511" s="5"/>
    </row>
    <row r="1021521" spans="25:37" x14ac:dyDescent="0.2">
      <c r="Y1021521" s="251"/>
      <c r="AB1021521" s="251"/>
      <c r="AE1021521" s="251"/>
      <c r="AH1021521" s="251"/>
      <c r="AK1021521" s="251"/>
    </row>
    <row r="1021636" spans="25:37" x14ac:dyDescent="0.2">
      <c r="Y1021636" s="5"/>
      <c r="AB1021636" s="5"/>
      <c r="AE1021636" s="5"/>
      <c r="AH1021636" s="5"/>
      <c r="AK1021636" s="5"/>
    </row>
    <row r="1021646" spans="25:37" x14ac:dyDescent="0.2">
      <c r="Y1021646" s="251"/>
      <c r="AB1021646" s="251"/>
      <c r="AE1021646" s="251"/>
      <c r="AH1021646" s="251"/>
      <c r="AK1021646" s="251"/>
    </row>
    <row r="1021761" spans="25:37" x14ac:dyDescent="0.2">
      <c r="Y1021761" s="5"/>
      <c r="AB1021761" s="5"/>
      <c r="AE1021761" s="5"/>
      <c r="AH1021761" s="5"/>
      <c r="AK1021761" s="5"/>
    </row>
    <row r="1021771" spans="25:37" x14ac:dyDescent="0.2">
      <c r="Y1021771" s="251"/>
      <c r="AB1021771" s="251"/>
      <c r="AE1021771" s="251"/>
      <c r="AH1021771" s="251"/>
      <c r="AK1021771" s="251"/>
    </row>
    <row r="1021886" spans="25:37" x14ac:dyDescent="0.2">
      <c r="Y1021886" s="5"/>
      <c r="AB1021886" s="5"/>
      <c r="AE1021886" s="5"/>
      <c r="AH1021886" s="5"/>
      <c r="AK1021886" s="5"/>
    </row>
    <row r="1021896" spans="25:37" x14ac:dyDescent="0.2">
      <c r="Y1021896" s="251"/>
      <c r="AB1021896" s="251"/>
      <c r="AE1021896" s="251"/>
      <c r="AH1021896" s="251"/>
      <c r="AK1021896" s="251"/>
    </row>
    <row r="1022011" spans="25:37" x14ac:dyDescent="0.2">
      <c r="Y1022011" s="5"/>
      <c r="AB1022011" s="5"/>
      <c r="AE1022011" s="5"/>
      <c r="AH1022011" s="5"/>
      <c r="AK1022011" s="5"/>
    </row>
    <row r="1022021" spans="25:37" x14ac:dyDescent="0.2">
      <c r="Y1022021" s="251"/>
      <c r="AB1022021" s="251"/>
      <c r="AE1022021" s="251"/>
      <c r="AH1022021" s="251"/>
      <c r="AK1022021" s="251"/>
    </row>
    <row r="1022136" spans="25:37" x14ac:dyDescent="0.2">
      <c r="Y1022136" s="5"/>
      <c r="AB1022136" s="5"/>
      <c r="AE1022136" s="5"/>
      <c r="AH1022136" s="5"/>
      <c r="AK1022136" s="5"/>
    </row>
    <row r="1022146" spans="25:37" x14ac:dyDescent="0.2">
      <c r="Y1022146" s="251"/>
      <c r="AB1022146" s="251"/>
      <c r="AE1022146" s="251"/>
      <c r="AH1022146" s="251"/>
      <c r="AK1022146" s="251"/>
    </row>
    <row r="1022261" spans="25:37" x14ac:dyDescent="0.2">
      <c r="Y1022261" s="5"/>
      <c r="AB1022261" s="5"/>
      <c r="AE1022261" s="5"/>
      <c r="AH1022261" s="5"/>
      <c r="AK1022261" s="5"/>
    </row>
    <row r="1022271" spans="25:37" x14ac:dyDescent="0.2">
      <c r="Y1022271" s="251"/>
      <c r="AB1022271" s="251"/>
      <c r="AE1022271" s="251"/>
      <c r="AH1022271" s="251"/>
      <c r="AK1022271" s="251"/>
    </row>
    <row r="1022386" spans="25:37" x14ac:dyDescent="0.2">
      <c r="Y1022386" s="5"/>
      <c r="AB1022386" s="5"/>
      <c r="AE1022386" s="5"/>
      <c r="AH1022386" s="5"/>
      <c r="AK1022386" s="5"/>
    </row>
    <row r="1022396" spans="25:37" x14ac:dyDescent="0.2">
      <c r="Y1022396" s="251"/>
      <c r="AB1022396" s="251"/>
      <c r="AE1022396" s="251"/>
      <c r="AH1022396" s="251"/>
      <c r="AK1022396" s="251"/>
    </row>
    <row r="1022511" spans="25:37" x14ac:dyDescent="0.2">
      <c r="Y1022511" s="5"/>
      <c r="AB1022511" s="5"/>
      <c r="AE1022511" s="5"/>
      <c r="AH1022511" s="5"/>
      <c r="AK1022511" s="5"/>
    </row>
    <row r="1022521" spans="25:37" x14ac:dyDescent="0.2">
      <c r="Y1022521" s="251"/>
      <c r="AB1022521" s="251"/>
      <c r="AE1022521" s="251"/>
      <c r="AH1022521" s="251"/>
      <c r="AK1022521" s="251"/>
    </row>
    <row r="1022636" spans="25:37" x14ac:dyDescent="0.2">
      <c r="Y1022636" s="5"/>
      <c r="AB1022636" s="5"/>
      <c r="AE1022636" s="5"/>
      <c r="AH1022636" s="5"/>
      <c r="AK1022636" s="5"/>
    </row>
    <row r="1022646" spans="25:37" x14ac:dyDescent="0.2">
      <c r="Y1022646" s="251"/>
      <c r="AB1022646" s="251"/>
      <c r="AE1022646" s="251"/>
      <c r="AH1022646" s="251"/>
      <c r="AK1022646" s="251"/>
    </row>
    <row r="1022761" spans="25:37" x14ac:dyDescent="0.2">
      <c r="Y1022761" s="5"/>
      <c r="AB1022761" s="5"/>
      <c r="AE1022761" s="5"/>
      <c r="AH1022761" s="5"/>
      <c r="AK1022761" s="5"/>
    </row>
    <row r="1022771" spans="25:37" x14ac:dyDescent="0.2">
      <c r="Y1022771" s="251"/>
      <c r="AB1022771" s="251"/>
      <c r="AE1022771" s="251"/>
      <c r="AH1022771" s="251"/>
      <c r="AK1022771" s="251"/>
    </row>
    <row r="1022886" spans="25:37" x14ac:dyDescent="0.2">
      <c r="Y1022886" s="5"/>
      <c r="AB1022886" s="5"/>
      <c r="AE1022886" s="5"/>
      <c r="AH1022886" s="5"/>
      <c r="AK1022886" s="5"/>
    </row>
    <row r="1022896" spans="25:37" x14ac:dyDescent="0.2">
      <c r="Y1022896" s="251"/>
      <c r="AB1022896" s="251"/>
      <c r="AE1022896" s="251"/>
      <c r="AH1022896" s="251"/>
      <c r="AK1022896" s="251"/>
    </row>
    <row r="1023011" spans="25:37" x14ac:dyDescent="0.2">
      <c r="Y1023011" s="5"/>
      <c r="AB1023011" s="5"/>
      <c r="AE1023011" s="5"/>
      <c r="AH1023011" s="5"/>
      <c r="AK1023011" s="5"/>
    </row>
    <row r="1023021" spans="25:37" x14ac:dyDescent="0.2">
      <c r="Y1023021" s="251"/>
      <c r="AB1023021" s="251"/>
      <c r="AE1023021" s="251"/>
      <c r="AH1023021" s="251"/>
      <c r="AK1023021" s="251"/>
    </row>
    <row r="1023136" spans="25:37" x14ac:dyDescent="0.2">
      <c r="Y1023136" s="5"/>
      <c r="AB1023136" s="5"/>
      <c r="AE1023136" s="5"/>
      <c r="AH1023136" s="5"/>
      <c r="AK1023136" s="5"/>
    </row>
    <row r="1023146" spans="25:37" x14ac:dyDescent="0.2">
      <c r="Y1023146" s="251"/>
      <c r="AB1023146" s="251"/>
      <c r="AE1023146" s="251"/>
      <c r="AH1023146" s="251"/>
      <c r="AK1023146" s="251"/>
    </row>
    <row r="1023261" spans="25:37" x14ac:dyDescent="0.2">
      <c r="Y1023261" s="5"/>
      <c r="AB1023261" s="5"/>
      <c r="AE1023261" s="5"/>
      <c r="AH1023261" s="5"/>
      <c r="AK1023261" s="5"/>
    </row>
    <row r="1023271" spans="25:37" x14ac:dyDescent="0.2">
      <c r="Y1023271" s="251"/>
      <c r="AB1023271" s="251"/>
      <c r="AE1023271" s="251"/>
      <c r="AH1023271" s="251"/>
      <c r="AK1023271" s="251"/>
    </row>
    <row r="1023386" spans="25:37" x14ac:dyDescent="0.2">
      <c r="Y1023386" s="5"/>
      <c r="AB1023386" s="5"/>
      <c r="AE1023386" s="5"/>
      <c r="AH1023386" s="5"/>
      <c r="AK1023386" s="5"/>
    </row>
    <row r="1023396" spans="25:37" x14ac:dyDescent="0.2">
      <c r="Y1023396" s="251"/>
      <c r="AB1023396" s="251"/>
      <c r="AE1023396" s="251"/>
      <c r="AH1023396" s="251"/>
      <c r="AK1023396" s="251"/>
    </row>
    <row r="1023511" spans="25:37" x14ac:dyDescent="0.2">
      <c r="Y1023511" s="5"/>
      <c r="AB1023511" s="5"/>
      <c r="AE1023511" s="5"/>
      <c r="AH1023511" s="5"/>
      <c r="AK1023511" s="5"/>
    </row>
    <row r="1023521" spans="25:37" x14ac:dyDescent="0.2">
      <c r="Y1023521" s="251"/>
      <c r="AB1023521" s="251"/>
      <c r="AE1023521" s="251"/>
      <c r="AH1023521" s="251"/>
      <c r="AK1023521" s="251"/>
    </row>
    <row r="1023636" spans="25:37" x14ac:dyDescent="0.2">
      <c r="Y1023636" s="5"/>
      <c r="AB1023636" s="5"/>
      <c r="AE1023636" s="5"/>
      <c r="AH1023636" s="5"/>
      <c r="AK1023636" s="5"/>
    </row>
    <row r="1023646" spans="25:37" x14ac:dyDescent="0.2">
      <c r="Y1023646" s="251"/>
      <c r="AB1023646" s="251"/>
      <c r="AE1023646" s="251"/>
      <c r="AH1023646" s="251"/>
      <c r="AK1023646" s="251"/>
    </row>
    <row r="1023761" spans="25:37" x14ac:dyDescent="0.2">
      <c r="Y1023761" s="5"/>
      <c r="AB1023761" s="5"/>
      <c r="AE1023761" s="5"/>
      <c r="AH1023761" s="5"/>
      <c r="AK1023761" s="5"/>
    </row>
    <row r="1023771" spans="25:37" x14ac:dyDescent="0.2">
      <c r="Y1023771" s="251"/>
      <c r="AB1023771" s="251"/>
      <c r="AE1023771" s="251"/>
      <c r="AH1023771" s="251"/>
      <c r="AK1023771" s="251"/>
    </row>
    <row r="1023886" spans="25:37" x14ac:dyDescent="0.2">
      <c r="Y1023886" s="5"/>
      <c r="AB1023886" s="5"/>
      <c r="AE1023886" s="5"/>
      <c r="AH1023886" s="5"/>
      <c r="AK1023886" s="5"/>
    </row>
    <row r="1023896" spans="25:37" x14ac:dyDescent="0.2">
      <c r="Y1023896" s="251"/>
      <c r="AB1023896" s="251"/>
      <c r="AE1023896" s="251"/>
      <c r="AH1023896" s="251"/>
      <c r="AK1023896" s="251"/>
    </row>
    <row r="1024011" spans="25:37" x14ac:dyDescent="0.2">
      <c r="Y1024011" s="5"/>
      <c r="AB1024011" s="5"/>
      <c r="AE1024011" s="5"/>
      <c r="AH1024011" s="5"/>
      <c r="AK1024011" s="5"/>
    </row>
    <row r="1024021" spans="25:37" x14ac:dyDescent="0.2">
      <c r="Y1024021" s="251"/>
      <c r="AB1024021" s="251"/>
      <c r="AE1024021" s="251"/>
      <c r="AH1024021" s="251"/>
      <c r="AK1024021" s="251"/>
    </row>
    <row r="1024136" spans="25:37" x14ac:dyDescent="0.2">
      <c r="Y1024136" s="5"/>
      <c r="AB1024136" s="5"/>
      <c r="AE1024136" s="5"/>
      <c r="AH1024136" s="5"/>
      <c r="AK1024136" s="5"/>
    </row>
    <row r="1024146" spans="25:37" x14ac:dyDescent="0.2">
      <c r="Y1024146" s="251"/>
      <c r="AB1024146" s="251"/>
      <c r="AE1024146" s="251"/>
      <c r="AH1024146" s="251"/>
      <c r="AK1024146" s="251"/>
    </row>
    <row r="1024261" spans="25:37" x14ac:dyDescent="0.2">
      <c r="Y1024261" s="5"/>
      <c r="AB1024261" s="5"/>
      <c r="AE1024261" s="5"/>
      <c r="AH1024261" s="5"/>
      <c r="AK1024261" s="5"/>
    </row>
    <row r="1024271" spans="25:37" x14ac:dyDescent="0.2">
      <c r="Y1024271" s="251"/>
      <c r="AB1024271" s="251"/>
      <c r="AE1024271" s="251"/>
      <c r="AH1024271" s="251"/>
      <c r="AK1024271" s="251"/>
    </row>
    <row r="1024386" spans="25:37" x14ac:dyDescent="0.2">
      <c r="Y1024386" s="5"/>
      <c r="AB1024386" s="5"/>
      <c r="AE1024386" s="5"/>
      <c r="AH1024386" s="5"/>
      <c r="AK1024386" s="5"/>
    </row>
    <row r="1024396" spans="25:37" x14ac:dyDescent="0.2">
      <c r="Y1024396" s="251"/>
      <c r="AB1024396" s="251"/>
      <c r="AE1024396" s="251"/>
      <c r="AH1024396" s="251"/>
      <c r="AK1024396" s="251"/>
    </row>
    <row r="1024511" spans="25:37" x14ac:dyDescent="0.2">
      <c r="Y1024511" s="5"/>
      <c r="AB1024511" s="5"/>
      <c r="AE1024511" s="5"/>
      <c r="AH1024511" s="5"/>
      <c r="AK1024511" s="5"/>
    </row>
    <row r="1024521" spans="25:37" x14ac:dyDescent="0.2">
      <c r="Y1024521" s="251"/>
      <c r="AB1024521" s="251"/>
      <c r="AE1024521" s="251"/>
      <c r="AH1024521" s="251"/>
      <c r="AK1024521" s="251"/>
    </row>
    <row r="1024636" spans="25:37" x14ac:dyDescent="0.2">
      <c r="Y1024636" s="5"/>
      <c r="AB1024636" s="5"/>
      <c r="AE1024636" s="5"/>
      <c r="AH1024636" s="5"/>
      <c r="AK1024636" s="5"/>
    </row>
    <row r="1024646" spans="25:37" x14ac:dyDescent="0.2">
      <c r="Y1024646" s="251"/>
      <c r="AB1024646" s="251"/>
      <c r="AE1024646" s="251"/>
      <c r="AH1024646" s="251"/>
      <c r="AK1024646" s="251"/>
    </row>
    <row r="1024761" spans="25:37" x14ac:dyDescent="0.2">
      <c r="Y1024761" s="5"/>
      <c r="AB1024761" s="5"/>
      <c r="AE1024761" s="5"/>
      <c r="AH1024761" s="5"/>
      <c r="AK1024761" s="5"/>
    </row>
    <row r="1024771" spans="25:37" x14ac:dyDescent="0.2">
      <c r="Y1024771" s="251"/>
      <c r="AB1024771" s="251"/>
      <c r="AE1024771" s="251"/>
      <c r="AH1024771" s="251"/>
      <c r="AK1024771" s="251"/>
    </row>
    <row r="1024886" spans="25:37" x14ac:dyDescent="0.2">
      <c r="Y1024886" s="5"/>
      <c r="AB1024886" s="5"/>
      <c r="AE1024886" s="5"/>
      <c r="AH1024886" s="5"/>
      <c r="AK1024886" s="5"/>
    </row>
    <row r="1024896" spans="25:37" x14ac:dyDescent="0.2">
      <c r="Y1024896" s="251"/>
      <c r="AB1024896" s="251"/>
      <c r="AE1024896" s="251"/>
      <c r="AH1024896" s="251"/>
      <c r="AK1024896" s="251"/>
    </row>
    <row r="1025011" spans="25:37" x14ac:dyDescent="0.2">
      <c r="Y1025011" s="5"/>
      <c r="AB1025011" s="5"/>
      <c r="AE1025011" s="5"/>
      <c r="AH1025011" s="5"/>
      <c r="AK1025011" s="5"/>
    </row>
    <row r="1025021" spans="25:37" x14ac:dyDescent="0.2">
      <c r="Y1025021" s="251"/>
      <c r="AB1025021" s="251"/>
      <c r="AE1025021" s="251"/>
      <c r="AH1025021" s="251"/>
      <c r="AK1025021" s="251"/>
    </row>
    <row r="1025136" spans="25:37" x14ac:dyDescent="0.2">
      <c r="Y1025136" s="5"/>
      <c r="AB1025136" s="5"/>
      <c r="AE1025136" s="5"/>
      <c r="AH1025136" s="5"/>
      <c r="AK1025136" s="5"/>
    </row>
    <row r="1025146" spans="25:37" x14ac:dyDescent="0.2">
      <c r="Y1025146" s="251"/>
      <c r="AB1025146" s="251"/>
      <c r="AE1025146" s="251"/>
      <c r="AH1025146" s="251"/>
      <c r="AK1025146" s="251"/>
    </row>
    <row r="1025261" spans="25:37" x14ac:dyDescent="0.2">
      <c r="Y1025261" s="5"/>
      <c r="AB1025261" s="5"/>
      <c r="AE1025261" s="5"/>
      <c r="AH1025261" s="5"/>
      <c r="AK1025261" s="5"/>
    </row>
    <row r="1025271" spans="25:37" x14ac:dyDescent="0.2">
      <c r="Y1025271" s="251"/>
      <c r="AB1025271" s="251"/>
      <c r="AE1025271" s="251"/>
      <c r="AH1025271" s="251"/>
      <c r="AK1025271" s="251"/>
    </row>
    <row r="1025386" spans="25:37" x14ac:dyDescent="0.2">
      <c r="Y1025386" s="5"/>
      <c r="AB1025386" s="5"/>
      <c r="AE1025386" s="5"/>
      <c r="AH1025386" s="5"/>
      <c r="AK1025386" s="5"/>
    </row>
    <row r="1025396" spans="25:37" x14ac:dyDescent="0.2">
      <c r="Y1025396" s="251"/>
      <c r="AB1025396" s="251"/>
      <c r="AE1025396" s="251"/>
      <c r="AH1025396" s="251"/>
      <c r="AK1025396" s="251"/>
    </row>
    <row r="1025511" spans="25:37" x14ac:dyDescent="0.2">
      <c r="Y1025511" s="5"/>
      <c r="AB1025511" s="5"/>
      <c r="AE1025511" s="5"/>
      <c r="AH1025511" s="5"/>
      <c r="AK1025511" s="5"/>
    </row>
    <row r="1025521" spans="25:37" x14ac:dyDescent="0.2">
      <c r="Y1025521" s="251"/>
      <c r="AB1025521" s="251"/>
      <c r="AE1025521" s="251"/>
      <c r="AH1025521" s="251"/>
      <c r="AK1025521" s="251"/>
    </row>
    <row r="1025636" spans="25:37" x14ac:dyDescent="0.2">
      <c r="Y1025636" s="5"/>
      <c r="AB1025636" s="5"/>
      <c r="AE1025636" s="5"/>
      <c r="AH1025636" s="5"/>
      <c r="AK1025636" s="5"/>
    </row>
    <row r="1025646" spans="25:37" x14ac:dyDescent="0.2">
      <c r="Y1025646" s="251"/>
      <c r="AB1025646" s="251"/>
      <c r="AE1025646" s="251"/>
      <c r="AH1025646" s="251"/>
      <c r="AK1025646" s="251"/>
    </row>
    <row r="1025761" spans="25:37" x14ac:dyDescent="0.2">
      <c r="Y1025761" s="5"/>
      <c r="AB1025761" s="5"/>
      <c r="AE1025761" s="5"/>
      <c r="AH1025761" s="5"/>
      <c r="AK1025761" s="5"/>
    </row>
    <row r="1025771" spans="25:37" x14ac:dyDescent="0.2">
      <c r="Y1025771" s="251"/>
      <c r="AB1025771" s="251"/>
      <c r="AE1025771" s="251"/>
      <c r="AH1025771" s="251"/>
      <c r="AK1025771" s="251"/>
    </row>
    <row r="1025886" spans="25:37" x14ac:dyDescent="0.2">
      <c r="Y1025886" s="5"/>
      <c r="AB1025886" s="5"/>
      <c r="AE1025886" s="5"/>
      <c r="AH1025886" s="5"/>
      <c r="AK1025886" s="5"/>
    </row>
    <row r="1025896" spans="25:37" x14ac:dyDescent="0.2">
      <c r="Y1025896" s="251"/>
      <c r="AB1025896" s="251"/>
      <c r="AE1025896" s="251"/>
      <c r="AH1025896" s="251"/>
      <c r="AK1025896" s="251"/>
    </row>
    <row r="1026011" spans="25:37" x14ac:dyDescent="0.2">
      <c r="Y1026011" s="5"/>
      <c r="AB1026011" s="5"/>
      <c r="AE1026011" s="5"/>
      <c r="AH1026011" s="5"/>
      <c r="AK1026011" s="5"/>
    </row>
    <row r="1026021" spans="25:37" x14ac:dyDescent="0.2">
      <c r="Y1026021" s="251"/>
      <c r="AB1026021" s="251"/>
      <c r="AE1026021" s="251"/>
      <c r="AH1026021" s="251"/>
      <c r="AK1026021" s="251"/>
    </row>
    <row r="1026136" spans="25:37" x14ac:dyDescent="0.2">
      <c r="Y1026136" s="5"/>
      <c r="AB1026136" s="5"/>
      <c r="AE1026136" s="5"/>
      <c r="AH1026136" s="5"/>
      <c r="AK1026136" s="5"/>
    </row>
    <row r="1026146" spans="25:37" x14ac:dyDescent="0.2">
      <c r="Y1026146" s="251"/>
      <c r="AB1026146" s="251"/>
      <c r="AE1026146" s="251"/>
      <c r="AH1026146" s="251"/>
      <c r="AK1026146" s="251"/>
    </row>
    <row r="1026261" spans="25:37" x14ac:dyDescent="0.2">
      <c r="Y1026261" s="5"/>
      <c r="AB1026261" s="5"/>
      <c r="AE1026261" s="5"/>
      <c r="AH1026261" s="5"/>
      <c r="AK1026261" s="5"/>
    </row>
    <row r="1026271" spans="25:37" x14ac:dyDescent="0.2">
      <c r="Y1026271" s="251"/>
      <c r="AB1026271" s="251"/>
      <c r="AE1026271" s="251"/>
      <c r="AH1026271" s="251"/>
      <c r="AK1026271" s="251"/>
    </row>
    <row r="1026386" spans="25:37" x14ac:dyDescent="0.2">
      <c r="Y1026386" s="5"/>
      <c r="AB1026386" s="5"/>
      <c r="AE1026386" s="5"/>
      <c r="AH1026386" s="5"/>
      <c r="AK1026386" s="5"/>
    </row>
    <row r="1026396" spans="25:37" x14ac:dyDescent="0.2">
      <c r="Y1026396" s="251"/>
      <c r="AB1026396" s="251"/>
      <c r="AE1026396" s="251"/>
      <c r="AH1026396" s="251"/>
      <c r="AK1026396" s="251"/>
    </row>
    <row r="1026511" spans="25:37" x14ac:dyDescent="0.2">
      <c r="Y1026511" s="5"/>
      <c r="AB1026511" s="5"/>
      <c r="AE1026511" s="5"/>
      <c r="AH1026511" s="5"/>
      <c r="AK1026511" s="5"/>
    </row>
    <row r="1026521" spans="25:37" x14ac:dyDescent="0.2">
      <c r="Y1026521" s="251"/>
      <c r="AB1026521" s="251"/>
      <c r="AE1026521" s="251"/>
      <c r="AH1026521" s="251"/>
      <c r="AK1026521" s="251"/>
    </row>
    <row r="1026636" spans="25:37" x14ac:dyDescent="0.2">
      <c r="Y1026636" s="5"/>
      <c r="AB1026636" s="5"/>
      <c r="AE1026636" s="5"/>
      <c r="AH1026636" s="5"/>
      <c r="AK1026636" s="5"/>
    </row>
    <row r="1026646" spans="25:37" x14ac:dyDescent="0.2">
      <c r="Y1026646" s="251"/>
      <c r="AB1026646" s="251"/>
      <c r="AE1026646" s="251"/>
      <c r="AH1026646" s="251"/>
      <c r="AK1026646" s="251"/>
    </row>
    <row r="1026761" spans="25:37" x14ac:dyDescent="0.2">
      <c r="Y1026761" s="5"/>
      <c r="AB1026761" s="5"/>
      <c r="AE1026761" s="5"/>
      <c r="AH1026761" s="5"/>
      <c r="AK1026761" s="5"/>
    </row>
    <row r="1026771" spans="25:37" x14ac:dyDescent="0.2">
      <c r="Y1026771" s="251"/>
      <c r="AB1026771" s="251"/>
      <c r="AE1026771" s="251"/>
      <c r="AH1026771" s="251"/>
      <c r="AK1026771" s="251"/>
    </row>
    <row r="1026886" spans="25:37" x14ac:dyDescent="0.2">
      <c r="Y1026886" s="5"/>
      <c r="AB1026886" s="5"/>
      <c r="AE1026886" s="5"/>
      <c r="AH1026886" s="5"/>
      <c r="AK1026886" s="5"/>
    </row>
    <row r="1026896" spans="25:37" x14ac:dyDescent="0.2">
      <c r="Y1026896" s="251"/>
      <c r="AB1026896" s="251"/>
      <c r="AE1026896" s="251"/>
      <c r="AH1026896" s="251"/>
      <c r="AK1026896" s="251"/>
    </row>
    <row r="1027011" spans="25:37" x14ac:dyDescent="0.2">
      <c r="Y1027011" s="5"/>
      <c r="AB1027011" s="5"/>
      <c r="AE1027011" s="5"/>
      <c r="AH1027011" s="5"/>
      <c r="AK1027011" s="5"/>
    </row>
    <row r="1027021" spans="25:37" x14ac:dyDescent="0.2">
      <c r="Y1027021" s="251"/>
      <c r="AB1027021" s="251"/>
      <c r="AE1027021" s="251"/>
      <c r="AH1027021" s="251"/>
      <c r="AK1027021" s="251"/>
    </row>
    <row r="1027136" spans="25:37" x14ac:dyDescent="0.2">
      <c r="Y1027136" s="5"/>
      <c r="AB1027136" s="5"/>
      <c r="AE1027136" s="5"/>
      <c r="AH1027136" s="5"/>
      <c r="AK1027136" s="5"/>
    </row>
    <row r="1027146" spans="25:37" x14ac:dyDescent="0.2">
      <c r="Y1027146" s="251"/>
      <c r="AB1027146" s="251"/>
      <c r="AE1027146" s="251"/>
      <c r="AH1027146" s="251"/>
      <c r="AK1027146" s="251"/>
    </row>
    <row r="1027261" spans="25:37" x14ac:dyDescent="0.2">
      <c r="Y1027261" s="5"/>
      <c r="AB1027261" s="5"/>
      <c r="AE1027261" s="5"/>
      <c r="AH1027261" s="5"/>
      <c r="AK1027261" s="5"/>
    </row>
    <row r="1027271" spans="25:37" x14ac:dyDescent="0.2">
      <c r="Y1027271" s="251"/>
      <c r="AB1027271" s="251"/>
      <c r="AE1027271" s="251"/>
      <c r="AH1027271" s="251"/>
      <c r="AK1027271" s="251"/>
    </row>
    <row r="1027386" spans="25:37" x14ac:dyDescent="0.2">
      <c r="Y1027386" s="5"/>
      <c r="AB1027386" s="5"/>
      <c r="AE1027386" s="5"/>
      <c r="AH1027386" s="5"/>
      <c r="AK1027386" s="5"/>
    </row>
    <row r="1027396" spans="25:37" x14ac:dyDescent="0.2">
      <c r="Y1027396" s="251"/>
      <c r="AB1027396" s="251"/>
      <c r="AE1027396" s="251"/>
      <c r="AH1027396" s="251"/>
      <c r="AK1027396" s="251"/>
    </row>
    <row r="1027511" spans="25:37" x14ac:dyDescent="0.2">
      <c r="Y1027511" s="5"/>
      <c r="AB1027511" s="5"/>
      <c r="AE1027511" s="5"/>
      <c r="AH1027511" s="5"/>
      <c r="AK1027511" s="5"/>
    </row>
    <row r="1027521" spans="25:37" x14ac:dyDescent="0.2">
      <c r="Y1027521" s="251"/>
      <c r="AB1027521" s="251"/>
      <c r="AE1027521" s="251"/>
      <c r="AH1027521" s="251"/>
      <c r="AK1027521" s="251"/>
    </row>
    <row r="1027636" spans="25:37" x14ac:dyDescent="0.2">
      <c r="Y1027636" s="5"/>
      <c r="AB1027636" s="5"/>
      <c r="AE1027636" s="5"/>
      <c r="AH1027636" s="5"/>
      <c r="AK1027636" s="5"/>
    </row>
    <row r="1027646" spans="25:37" x14ac:dyDescent="0.2">
      <c r="Y1027646" s="251"/>
      <c r="AB1027646" s="251"/>
      <c r="AE1027646" s="251"/>
      <c r="AH1027646" s="251"/>
      <c r="AK1027646" s="251"/>
    </row>
    <row r="1027761" spans="25:37" x14ac:dyDescent="0.2">
      <c r="Y1027761" s="5"/>
      <c r="AB1027761" s="5"/>
      <c r="AE1027761" s="5"/>
      <c r="AH1027761" s="5"/>
      <c r="AK1027761" s="5"/>
    </row>
    <row r="1027771" spans="25:37" x14ac:dyDescent="0.2">
      <c r="Y1027771" s="251"/>
      <c r="AB1027771" s="251"/>
      <c r="AE1027771" s="251"/>
      <c r="AH1027771" s="251"/>
      <c r="AK1027771" s="251"/>
    </row>
    <row r="1027886" spans="25:37" x14ac:dyDescent="0.2">
      <c r="Y1027886" s="5"/>
      <c r="AB1027886" s="5"/>
      <c r="AE1027886" s="5"/>
      <c r="AH1027886" s="5"/>
      <c r="AK1027886" s="5"/>
    </row>
    <row r="1027896" spans="25:37" x14ac:dyDescent="0.2">
      <c r="Y1027896" s="251"/>
      <c r="AB1027896" s="251"/>
      <c r="AE1027896" s="251"/>
      <c r="AH1027896" s="251"/>
      <c r="AK1027896" s="251"/>
    </row>
    <row r="1028011" spans="25:37" x14ac:dyDescent="0.2">
      <c r="Y1028011" s="5"/>
      <c r="AB1028011" s="5"/>
      <c r="AE1028011" s="5"/>
      <c r="AH1028011" s="5"/>
      <c r="AK1028011" s="5"/>
    </row>
    <row r="1028021" spans="25:37" x14ac:dyDescent="0.2">
      <c r="Y1028021" s="251"/>
      <c r="AB1028021" s="251"/>
      <c r="AE1028021" s="251"/>
      <c r="AH1028021" s="251"/>
      <c r="AK1028021" s="251"/>
    </row>
    <row r="1028136" spans="25:37" x14ac:dyDescent="0.2">
      <c r="Y1028136" s="5"/>
      <c r="AB1028136" s="5"/>
      <c r="AE1028136" s="5"/>
      <c r="AH1028136" s="5"/>
      <c r="AK1028136" s="5"/>
    </row>
    <row r="1028146" spans="25:37" x14ac:dyDescent="0.2">
      <c r="Y1028146" s="251"/>
      <c r="AB1028146" s="251"/>
      <c r="AE1028146" s="251"/>
      <c r="AH1028146" s="251"/>
      <c r="AK1028146" s="251"/>
    </row>
    <row r="1028261" spans="25:37" x14ac:dyDescent="0.2">
      <c r="Y1028261" s="5"/>
      <c r="AB1028261" s="5"/>
      <c r="AE1028261" s="5"/>
      <c r="AH1028261" s="5"/>
      <c r="AK1028261" s="5"/>
    </row>
    <row r="1028271" spans="25:37" x14ac:dyDescent="0.2">
      <c r="Y1028271" s="251"/>
      <c r="AB1028271" s="251"/>
      <c r="AE1028271" s="251"/>
      <c r="AH1028271" s="251"/>
      <c r="AK1028271" s="251"/>
    </row>
    <row r="1028386" spans="25:37" x14ac:dyDescent="0.2">
      <c r="Y1028386" s="5"/>
      <c r="AB1028386" s="5"/>
      <c r="AE1028386" s="5"/>
      <c r="AH1028386" s="5"/>
      <c r="AK1028386" s="5"/>
    </row>
    <row r="1028396" spans="25:37" x14ac:dyDescent="0.2">
      <c r="Y1028396" s="251"/>
      <c r="AB1028396" s="251"/>
      <c r="AE1028396" s="251"/>
      <c r="AH1028396" s="251"/>
      <c r="AK1028396" s="251"/>
    </row>
    <row r="1028511" spans="25:37" x14ac:dyDescent="0.2">
      <c r="Y1028511" s="5"/>
      <c r="AB1028511" s="5"/>
      <c r="AE1028511" s="5"/>
      <c r="AH1028511" s="5"/>
      <c r="AK1028511" s="5"/>
    </row>
    <row r="1028521" spans="25:37" x14ac:dyDescent="0.2">
      <c r="Y1028521" s="251"/>
      <c r="AB1028521" s="251"/>
      <c r="AE1028521" s="251"/>
      <c r="AH1028521" s="251"/>
      <c r="AK1028521" s="251"/>
    </row>
    <row r="1028636" spans="25:37" x14ac:dyDescent="0.2">
      <c r="Y1028636" s="5"/>
      <c r="AB1028636" s="5"/>
      <c r="AE1028636" s="5"/>
      <c r="AH1028636" s="5"/>
      <c r="AK1028636" s="5"/>
    </row>
    <row r="1028646" spans="25:37" x14ac:dyDescent="0.2">
      <c r="Y1028646" s="251"/>
      <c r="AB1028646" s="251"/>
      <c r="AE1028646" s="251"/>
      <c r="AH1028646" s="251"/>
      <c r="AK1028646" s="251"/>
    </row>
    <row r="1028761" spans="25:37" x14ac:dyDescent="0.2">
      <c r="Y1028761" s="5"/>
      <c r="AB1028761" s="5"/>
      <c r="AE1028761" s="5"/>
      <c r="AH1028761" s="5"/>
      <c r="AK1028761" s="5"/>
    </row>
    <row r="1028771" spans="25:37" x14ac:dyDescent="0.2">
      <c r="Y1028771" s="251"/>
      <c r="AB1028771" s="251"/>
      <c r="AE1028771" s="251"/>
      <c r="AH1028771" s="251"/>
      <c r="AK1028771" s="251"/>
    </row>
    <row r="1028886" spans="25:37" x14ac:dyDescent="0.2">
      <c r="Y1028886" s="5"/>
      <c r="AB1028886" s="5"/>
      <c r="AE1028886" s="5"/>
      <c r="AH1028886" s="5"/>
      <c r="AK1028886" s="5"/>
    </row>
    <row r="1028896" spans="25:37" x14ac:dyDescent="0.2">
      <c r="Y1028896" s="251"/>
      <c r="AB1028896" s="251"/>
      <c r="AE1028896" s="251"/>
      <c r="AH1028896" s="251"/>
      <c r="AK1028896" s="251"/>
    </row>
    <row r="1029011" spans="25:37" x14ac:dyDescent="0.2">
      <c r="Y1029011" s="5"/>
      <c r="AB1029011" s="5"/>
      <c r="AE1029011" s="5"/>
      <c r="AH1029011" s="5"/>
      <c r="AK1029011" s="5"/>
    </row>
    <row r="1029021" spans="25:37" x14ac:dyDescent="0.2">
      <c r="Y1029021" s="251"/>
      <c r="AB1029021" s="251"/>
      <c r="AE1029021" s="251"/>
      <c r="AH1029021" s="251"/>
      <c r="AK1029021" s="251"/>
    </row>
    <row r="1029136" spans="25:37" x14ac:dyDescent="0.2">
      <c r="Y1029136" s="5"/>
      <c r="AB1029136" s="5"/>
      <c r="AE1029136" s="5"/>
      <c r="AH1029136" s="5"/>
      <c r="AK1029136" s="5"/>
    </row>
    <row r="1029146" spans="25:37" x14ac:dyDescent="0.2">
      <c r="Y1029146" s="251"/>
      <c r="AB1029146" s="251"/>
      <c r="AE1029146" s="251"/>
      <c r="AH1029146" s="251"/>
      <c r="AK1029146" s="251"/>
    </row>
    <row r="1029261" spans="25:37" x14ac:dyDescent="0.2">
      <c r="Y1029261" s="5"/>
      <c r="AB1029261" s="5"/>
      <c r="AE1029261" s="5"/>
      <c r="AH1029261" s="5"/>
      <c r="AK1029261" s="5"/>
    </row>
    <row r="1029271" spans="25:37" x14ac:dyDescent="0.2">
      <c r="Y1029271" s="251"/>
      <c r="AB1029271" s="251"/>
      <c r="AE1029271" s="251"/>
      <c r="AH1029271" s="251"/>
      <c r="AK1029271" s="251"/>
    </row>
    <row r="1029386" spans="25:37" x14ac:dyDescent="0.2">
      <c r="Y1029386" s="5"/>
      <c r="AB1029386" s="5"/>
      <c r="AE1029386" s="5"/>
      <c r="AH1029386" s="5"/>
      <c r="AK1029386" s="5"/>
    </row>
    <row r="1029396" spans="25:37" x14ac:dyDescent="0.2">
      <c r="Y1029396" s="251"/>
      <c r="AB1029396" s="251"/>
      <c r="AE1029396" s="251"/>
      <c r="AH1029396" s="251"/>
      <c r="AK1029396" s="251"/>
    </row>
    <row r="1029511" spans="25:37" x14ac:dyDescent="0.2">
      <c r="Y1029511" s="5"/>
      <c r="AB1029511" s="5"/>
      <c r="AE1029511" s="5"/>
      <c r="AH1029511" s="5"/>
      <c r="AK1029511" s="5"/>
    </row>
    <row r="1029521" spans="25:37" x14ac:dyDescent="0.2">
      <c r="Y1029521" s="251"/>
      <c r="AB1029521" s="251"/>
      <c r="AE1029521" s="251"/>
      <c r="AH1029521" s="251"/>
      <c r="AK1029521" s="251"/>
    </row>
    <row r="1029636" spans="25:37" x14ac:dyDescent="0.2">
      <c r="Y1029636" s="5"/>
      <c r="AB1029636" s="5"/>
      <c r="AE1029636" s="5"/>
      <c r="AH1029636" s="5"/>
      <c r="AK1029636" s="5"/>
    </row>
    <row r="1029646" spans="25:37" x14ac:dyDescent="0.2">
      <c r="Y1029646" s="251"/>
      <c r="AB1029646" s="251"/>
      <c r="AE1029646" s="251"/>
      <c r="AH1029646" s="251"/>
      <c r="AK1029646" s="251"/>
    </row>
    <row r="1029761" spans="25:37" x14ac:dyDescent="0.2">
      <c r="Y1029761" s="5"/>
      <c r="AB1029761" s="5"/>
      <c r="AE1029761" s="5"/>
      <c r="AH1029761" s="5"/>
      <c r="AK1029761" s="5"/>
    </row>
    <row r="1029771" spans="25:37" x14ac:dyDescent="0.2">
      <c r="Y1029771" s="251"/>
      <c r="AB1029771" s="251"/>
      <c r="AE1029771" s="251"/>
      <c r="AH1029771" s="251"/>
      <c r="AK1029771" s="251"/>
    </row>
    <row r="1029886" spans="25:37" x14ac:dyDescent="0.2">
      <c r="Y1029886" s="5"/>
      <c r="AB1029886" s="5"/>
      <c r="AE1029886" s="5"/>
      <c r="AH1029886" s="5"/>
      <c r="AK1029886" s="5"/>
    </row>
    <row r="1029896" spans="25:37" x14ac:dyDescent="0.2">
      <c r="Y1029896" s="251"/>
      <c r="AB1029896" s="251"/>
      <c r="AE1029896" s="251"/>
      <c r="AH1029896" s="251"/>
      <c r="AK1029896" s="251"/>
    </row>
    <row r="1030011" spans="25:37" x14ac:dyDescent="0.2">
      <c r="Y1030011" s="5"/>
      <c r="AB1030011" s="5"/>
      <c r="AE1030011" s="5"/>
      <c r="AH1030011" s="5"/>
      <c r="AK1030011" s="5"/>
    </row>
    <row r="1030021" spans="25:37" x14ac:dyDescent="0.2">
      <c r="Y1030021" s="251"/>
      <c r="AB1030021" s="251"/>
      <c r="AE1030021" s="251"/>
      <c r="AH1030021" s="251"/>
      <c r="AK1030021" s="251"/>
    </row>
    <row r="1030136" spans="25:37" x14ac:dyDescent="0.2">
      <c r="Y1030136" s="5"/>
      <c r="AB1030136" s="5"/>
      <c r="AE1030136" s="5"/>
      <c r="AH1030136" s="5"/>
      <c r="AK1030136" s="5"/>
    </row>
    <row r="1030146" spans="25:37" x14ac:dyDescent="0.2">
      <c r="Y1030146" s="251"/>
      <c r="AB1030146" s="251"/>
      <c r="AE1030146" s="251"/>
      <c r="AH1030146" s="251"/>
      <c r="AK1030146" s="251"/>
    </row>
    <row r="1030261" spans="25:37" x14ac:dyDescent="0.2">
      <c r="Y1030261" s="5"/>
      <c r="AB1030261" s="5"/>
      <c r="AE1030261" s="5"/>
      <c r="AH1030261" s="5"/>
      <c r="AK1030261" s="5"/>
    </row>
    <row r="1030271" spans="25:37" x14ac:dyDescent="0.2">
      <c r="Y1030271" s="251"/>
      <c r="AB1030271" s="251"/>
      <c r="AE1030271" s="251"/>
      <c r="AH1030271" s="251"/>
      <c r="AK1030271" s="251"/>
    </row>
    <row r="1030386" spans="25:37" x14ac:dyDescent="0.2">
      <c r="Y1030386" s="5"/>
      <c r="AB1030386" s="5"/>
      <c r="AE1030386" s="5"/>
      <c r="AH1030386" s="5"/>
      <c r="AK1030386" s="5"/>
    </row>
    <row r="1030396" spans="25:37" x14ac:dyDescent="0.2">
      <c r="Y1030396" s="251"/>
      <c r="AB1030396" s="251"/>
      <c r="AE1030396" s="251"/>
      <c r="AH1030396" s="251"/>
      <c r="AK1030396" s="251"/>
    </row>
    <row r="1030511" spans="25:37" x14ac:dyDescent="0.2">
      <c r="Y1030511" s="5"/>
      <c r="AB1030511" s="5"/>
      <c r="AE1030511" s="5"/>
      <c r="AH1030511" s="5"/>
      <c r="AK1030511" s="5"/>
    </row>
    <row r="1030521" spans="25:37" x14ac:dyDescent="0.2">
      <c r="Y1030521" s="251"/>
      <c r="AB1030521" s="251"/>
      <c r="AE1030521" s="251"/>
      <c r="AH1030521" s="251"/>
      <c r="AK1030521" s="251"/>
    </row>
    <row r="1030636" spans="25:37" x14ac:dyDescent="0.2">
      <c r="Y1030636" s="5"/>
      <c r="AB1030636" s="5"/>
      <c r="AE1030636" s="5"/>
      <c r="AH1030636" s="5"/>
      <c r="AK1030636" s="5"/>
    </row>
    <row r="1030646" spans="25:37" x14ac:dyDescent="0.2">
      <c r="Y1030646" s="251"/>
      <c r="AB1030646" s="251"/>
      <c r="AE1030646" s="251"/>
      <c r="AH1030646" s="251"/>
      <c r="AK1030646" s="251"/>
    </row>
    <row r="1030761" spans="25:37" x14ac:dyDescent="0.2">
      <c r="Y1030761" s="5"/>
      <c r="AB1030761" s="5"/>
      <c r="AE1030761" s="5"/>
      <c r="AH1030761" s="5"/>
      <c r="AK1030761" s="5"/>
    </row>
    <row r="1030771" spans="25:37" x14ac:dyDescent="0.2">
      <c r="Y1030771" s="251"/>
      <c r="AB1030771" s="251"/>
      <c r="AE1030771" s="251"/>
      <c r="AH1030771" s="251"/>
      <c r="AK1030771" s="251"/>
    </row>
    <row r="1030886" spans="25:37" x14ac:dyDescent="0.2">
      <c r="Y1030886" s="5"/>
      <c r="AB1030886" s="5"/>
      <c r="AE1030886" s="5"/>
      <c r="AH1030886" s="5"/>
      <c r="AK1030886" s="5"/>
    </row>
    <row r="1030896" spans="25:37" x14ac:dyDescent="0.2">
      <c r="Y1030896" s="251"/>
      <c r="AB1030896" s="251"/>
      <c r="AE1030896" s="251"/>
      <c r="AH1030896" s="251"/>
      <c r="AK1030896" s="251"/>
    </row>
    <row r="1031011" spans="25:37" x14ac:dyDescent="0.2">
      <c r="Y1031011" s="5"/>
      <c r="AB1031011" s="5"/>
      <c r="AE1031011" s="5"/>
      <c r="AH1031011" s="5"/>
      <c r="AK1031011" s="5"/>
    </row>
    <row r="1031021" spans="25:37" x14ac:dyDescent="0.2">
      <c r="Y1031021" s="251"/>
      <c r="AB1031021" s="251"/>
      <c r="AE1031021" s="251"/>
      <c r="AH1031021" s="251"/>
      <c r="AK1031021" s="251"/>
    </row>
    <row r="1031136" spans="25:37" x14ac:dyDescent="0.2">
      <c r="Y1031136" s="5"/>
      <c r="AB1031136" s="5"/>
      <c r="AE1031136" s="5"/>
      <c r="AH1031136" s="5"/>
      <c r="AK1031136" s="5"/>
    </row>
    <row r="1031146" spans="25:37" x14ac:dyDescent="0.2">
      <c r="Y1031146" s="251"/>
      <c r="AB1031146" s="251"/>
      <c r="AE1031146" s="251"/>
      <c r="AH1031146" s="251"/>
      <c r="AK1031146" s="251"/>
    </row>
    <row r="1031261" spans="25:37" x14ac:dyDescent="0.2">
      <c r="Y1031261" s="5"/>
      <c r="AB1031261" s="5"/>
      <c r="AE1031261" s="5"/>
      <c r="AH1031261" s="5"/>
      <c r="AK1031261" s="5"/>
    </row>
    <row r="1031271" spans="25:37" x14ac:dyDescent="0.2">
      <c r="Y1031271" s="251"/>
      <c r="AB1031271" s="251"/>
      <c r="AE1031271" s="251"/>
      <c r="AH1031271" s="251"/>
      <c r="AK1031271" s="251"/>
    </row>
    <row r="1031386" spans="25:37" x14ac:dyDescent="0.2">
      <c r="Y1031386" s="5"/>
      <c r="AB1031386" s="5"/>
      <c r="AE1031386" s="5"/>
      <c r="AH1031386" s="5"/>
      <c r="AK1031386" s="5"/>
    </row>
    <row r="1031396" spans="25:37" x14ac:dyDescent="0.2">
      <c r="Y1031396" s="251"/>
      <c r="AB1031396" s="251"/>
      <c r="AE1031396" s="251"/>
      <c r="AH1031396" s="251"/>
      <c r="AK1031396" s="251"/>
    </row>
    <row r="1031511" spans="25:37" x14ac:dyDescent="0.2">
      <c r="Y1031511" s="5"/>
      <c r="AB1031511" s="5"/>
      <c r="AE1031511" s="5"/>
      <c r="AH1031511" s="5"/>
      <c r="AK1031511" s="5"/>
    </row>
    <row r="1031521" spans="25:37" x14ac:dyDescent="0.2">
      <c r="Y1031521" s="251"/>
      <c r="AB1031521" s="251"/>
      <c r="AE1031521" s="251"/>
      <c r="AH1031521" s="251"/>
      <c r="AK1031521" s="251"/>
    </row>
    <row r="1031636" spans="25:37" x14ac:dyDescent="0.2">
      <c r="Y1031636" s="5"/>
      <c r="AB1031636" s="5"/>
      <c r="AE1031636" s="5"/>
      <c r="AH1031636" s="5"/>
      <c r="AK1031636" s="5"/>
    </row>
    <row r="1031646" spans="25:37" x14ac:dyDescent="0.2">
      <c r="Y1031646" s="251"/>
      <c r="AB1031646" s="251"/>
      <c r="AE1031646" s="251"/>
      <c r="AH1031646" s="251"/>
      <c r="AK1031646" s="251"/>
    </row>
    <row r="1031761" spans="25:37" x14ac:dyDescent="0.2">
      <c r="Y1031761" s="5"/>
      <c r="AB1031761" s="5"/>
      <c r="AE1031761" s="5"/>
      <c r="AH1031761" s="5"/>
      <c r="AK1031761" s="5"/>
    </row>
    <row r="1031771" spans="25:37" x14ac:dyDescent="0.2">
      <c r="Y1031771" s="251"/>
      <c r="AB1031771" s="251"/>
      <c r="AE1031771" s="251"/>
      <c r="AH1031771" s="251"/>
      <c r="AK1031771" s="251"/>
    </row>
    <row r="1031886" spans="25:37" x14ac:dyDescent="0.2">
      <c r="Y1031886" s="5"/>
      <c r="AB1031886" s="5"/>
      <c r="AE1031886" s="5"/>
      <c r="AH1031886" s="5"/>
      <c r="AK1031886" s="5"/>
    </row>
    <row r="1031896" spans="25:37" x14ac:dyDescent="0.2">
      <c r="Y1031896" s="251"/>
      <c r="AB1031896" s="251"/>
      <c r="AE1031896" s="251"/>
      <c r="AH1031896" s="251"/>
      <c r="AK1031896" s="251"/>
    </row>
    <row r="1032011" spans="25:37" x14ac:dyDescent="0.2">
      <c r="Y1032011" s="5"/>
      <c r="AB1032011" s="5"/>
      <c r="AE1032011" s="5"/>
      <c r="AH1032011" s="5"/>
      <c r="AK1032011" s="5"/>
    </row>
    <row r="1032021" spans="25:37" x14ac:dyDescent="0.2">
      <c r="Y1032021" s="251"/>
      <c r="AB1032021" s="251"/>
      <c r="AE1032021" s="251"/>
      <c r="AH1032021" s="251"/>
      <c r="AK1032021" s="251"/>
    </row>
    <row r="1032136" spans="25:37" x14ac:dyDescent="0.2">
      <c r="Y1032136" s="5"/>
      <c r="AB1032136" s="5"/>
      <c r="AE1032136" s="5"/>
      <c r="AH1032136" s="5"/>
      <c r="AK1032136" s="5"/>
    </row>
    <row r="1032146" spans="25:37" x14ac:dyDescent="0.2">
      <c r="Y1032146" s="251"/>
      <c r="AB1032146" s="251"/>
      <c r="AE1032146" s="251"/>
      <c r="AH1032146" s="251"/>
      <c r="AK1032146" s="251"/>
    </row>
    <row r="1032261" spans="25:37" x14ac:dyDescent="0.2">
      <c r="Y1032261" s="5"/>
      <c r="AB1032261" s="5"/>
      <c r="AE1032261" s="5"/>
      <c r="AH1032261" s="5"/>
      <c r="AK1032261" s="5"/>
    </row>
    <row r="1032271" spans="25:37" x14ac:dyDescent="0.2">
      <c r="Y1032271" s="251"/>
      <c r="AB1032271" s="251"/>
      <c r="AE1032271" s="251"/>
      <c r="AH1032271" s="251"/>
      <c r="AK1032271" s="251"/>
    </row>
    <row r="1032386" spans="25:37" x14ac:dyDescent="0.2">
      <c r="Y1032386" s="5"/>
      <c r="AB1032386" s="5"/>
      <c r="AE1032386" s="5"/>
      <c r="AH1032386" s="5"/>
      <c r="AK1032386" s="5"/>
    </row>
    <row r="1032396" spans="25:37" x14ac:dyDescent="0.2">
      <c r="Y1032396" s="251"/>
      <c r="AB1032396" s="251"/>
      <c r="AE1032396" s="251"/>
      <c r="AH1032396" s="251"/>
      <c r="AK1032396" s="251"/>
    </row>
    <row r="1032511" spans="25:37" x14ac:dyDescent="0.2">
      <c r="Y1032511" s="5"/>
      <c r="AB1032511" s="5"/>
      <c r="AE1032511" s="5"/>
      <c r="AH1032511" s="5"/>
      <c r="AK1032511" s="5"/>
    </row>
    <row r="1032521" spans="25:37" x14ac:dyDescent="0.2">
      <c r="Y1032521" s="251"/>
      <c r="AB1032521" s="251"/>
      <c r="AE1032521" s="251"/>
      <c r="AH1032521" s="251"/>
      <c r="AK1032521" s="251"/>
    </row>
    <row r="1032636" spans="25:37" x14ac:dyDescent="0.2">
      <c r="Y1032636" s="5"/>
      <c r="AB1032636" s="5"/>
      <c r="AE1032636" s="5"/>
      <c r="AH1032636" s="5"/>
      <c r="AK1032636" s="5"/>
    </row>
    <row r="1032646" spans="25:37" x14ac:dyDescent="0.2">
      <c r="Y1032646" s="251"/>
      <c r="AB1032646" s="251"/>
      <c r="AE1032646" s="251"/>
      <c r="AH1032646" s="251"/>
      <c r="AK1032646" s="251"/>
    </row>
    <row r="1032761" spans="25:37" x14ac:dyDescent="0.2">
      <c r="Y1032761" s="5"/>
      <c r="AB1032761" s="5"/>
      <c r="AE1032761" s="5"/>
      <c r="AH1032761" s="5"/>
      <c r="AK1032761" s="5"/>
    </row>
    <row r="1032771" spans="25:37" x14ac:dyDescent="0.2">
      <c r="Y1032771" s="251"/>
      <c r="AB1032771" s="251"/>
      <c r="AE1032771" s="251"/>
      <c r="AH1032771" s="251"/>
      <c r="AK1032771" s="251"/>
    </row>
    <row r="1032886" spans="25:37" x14ac:dyDescent="0.2">
      <c r="Y1032886" s="5"/>
      <c r="AB1032886" s="5"/>
      <c r="AE1032886" s="5"/>
      <c r="AH1032886" s="5"/>
      <c r="AK1032886" s="5"/>
    </row>
    <row r="1032896" spans="25:37" x14ac:dyDescent="0.2">
      <c r="Y1032896" s="251"/>
      <c r="AB1032896" s="251"/>
      <c r="AE1032896" s="251"/>
      <c r="AH1032896" s="251"/>
      <c r="AK1032896" s="251"/>
    </row>
    <row r="1033011" spans="25:37" x14ac:dyDescent="0.2">
      <c r="Y1033011" s="5"/>
      <c r="AB1033011" s="5"/>
      <c r="AE1033011" s="5"/>
      <c r="AH1033011" s="5"/>
      <c r="AK1033011" s="5"/>
    </row>
    <row r="1033021" spans="25:37" x14ac:dyDescent="0.2">
      <c r="Y1033021" s="251"/>
      <c r="AB1033021" s="251"/>
      <c r="AE1033021" s="251"/>
      <c r="AH1033021" s="251"/>
      <c r="AK1033021" s="251"/>
    </row>
    <row r="1033136" spans="25:37" x14ac:dyDescent="0.2">
      <c r="Y1033136" s="5"/>
      <c r="AB1033136" s="5"/>
      <c r="AE1033136" s="5"/>
      <c r="AH1033136" s="5"/>
      <c r="AK1033136" s="5"/>
    </row>
    <row r="1033146" spans="25:37" x14ac:dyDescent="0.2">
      <c r="Y1033146" s="251"/>
      <c r="AB1033146" s="251"/>
      <c r="AE1033146" s="251"/>
      <c r="AH1033146" s="251"/>
      <c r="AK1033146" s="251"/>
    </row>
    <row r="1033261" spans="25:37" x14ac:dyDescent="0.2">
      <c r="Y1033261" s="5"/>
      <c r="AB1033261" s="5"/>
      <c r="AE1033261" s="5"/>
      <c r="AH1033261" s="5"/>
      <c r="AK1033261" s="5"/>
    </row>
    <row r="1033271" spans="25:37" x14ac:dyDescent="0.2">
      <c r="Y1033271" s="251"/>
      <c r="AB1033271" s="251"/>
      <c r="AE1033271" s="251"/>
      <c r="AH1033271" s="251"/>
      <c r="AK1033271" s="251"/>
    </row>
    <row r="1033386" spans="25:37" x14ac:dyDescent="0.2">
      <c r="Y1033386" s="5"/>
      <c r="AB1033386" s="5"/>
      <c r="AE1033386" s="5"/>
      <c r="AH1033386" s="5"/>
      <c r="AK1033386" s="5"/>
    </row>
    <row r="1033396" spans="25:37" x14ac:dyDescent="0.2">
      <c r="Y1033396" s="251"/>
      <c r="AB1033396" s="251"/>
      <c r="AE1033396" s="251"/>
      <c r="AH1033396" s="251"/>
      <c r="AK1033396" s="251"/>
    </row>
    <row r="1033511" spans="25:37" x14ac:dyDescent="0.2">
      <c r="Y1033511" s="5"/>
      <c r="AB1033511" s="5"/>
      <c r="AE1033511" s="5"/>
      <c r="AH1033511" s="5"/>
      <c r="AK1033511" s="5"/>
    </row>
    <row r="1033521" spans="25:37" x14ac:dyDescent="0.2">
      <c r="Y1033521" s="251"/>
      <c r="AB1033521" s="251"/>
      <c r="AE1033521" s="251"/>
      <c r="AH1033521" s="251"/>
      <c r="AK1033521" s="251"/>
    </row>
    <row r="1033636" spans="25:37" x14ac:dyDescent="0.2">
      <c r="Y1033636" s="5"/>
      <c r="AB1033636" s="5"/>
      <c r="AE1033636" s="5"/>
      <c r="AH1033636" s="5"/>
      <c r="AK1033636" s="5"/>
    </row>
    <row r="1033646" spans="25:37" x14ac:dyDescent="0.2">
      <c r="Y1033646" s="251"/>
      <c r="AB1033646" s="251"/>
      <c r="AE1033646" s="251"/>
      <c r="AH1033646" s="251"/>
      <c r="AK1033646" s="251"/>
    </row>
    <row r="1033761" spans="25:37" x14ac:dyDescent="0.2">
      <c r="Y1033761" s="5"/>
      <c r="AB1033761" s="5"/>
      <c r="AE1033761" s="5"/>
      <c r="AH1033761" s="5"/>
      <c r="AK1033761" s="5"/>
    </row>
    <row r="1033771" spans="25:37" x14ac:dyDescent="0.2">
      <c r="Y1033771" s="251"/>
      <c r="AB1033771" s="251"/>
      <c r="AE1033771" s="251"/>
      <c r="AH1033771" s="251"/>
      <c r="AK1033771" s="251"/>
    </row>
    <row r="1033886" spans="25:37" x14ac:dyDescent="0.2">
      <c r="Y1033886" s="5"/>
      <c r="AB1033886" s="5"/>
      <c r="AE1033886" s="5"/>
      <c r="AH1033886" s="5"/>
      <c r="AK1033886" s="5"/>
    </row>
    <row r="1033896" spans="25:37" x14ac:dyDescent="0.2">
      <c r="Y1033896" s="251"/>
      <c r="AB1033896" s="251"/>
      <c r="AE1033896" s="251"/>
      <c r="AH1033896" s="251"/>
      <c r="AK1033896" s="251"/>
    </row>
    <row r="1034011" spans="25:37" x14ac:dyDescent="0.2">
      <c r="Y1034011" s="5"/>
      <c r="AB1034011" s="5"/>
      <c r="AE1034011" s="5"/>
      <c r="AH1034011" s="5"/>
      <c r="AK1034011" s="5"/>
    </row>
    <row r="1034021" spans="25:37" x14ac:dyDescent="0.2">
      <c r="Y1034021" s="251"/>
      <c r="AB1034021" s="251"/>
      <c r="AE1034021" s="251"/>
      <c r="AH1034021" s="251"/>
      <c r="AK1034021" s="251"/>
    </row>
    <row r="1034136" spans="25:37" x14ac:dyDescent="0.2">
      <c r="Y1034136" s="5"/>
      <c r="AB1034136" s="5"/>
      <c r="AE1034136" s="5"/>
      <c r="AH1034136" s="5"/>
      <c r="AK1034136" s="5"/>
    </row>
    <row r="1034146" spans="25:37" x14ac:dyDescent="0.2">
      <c r="Y1034146" s="251"/>
      <c r="AB1034146" s="251"/>
      <c r="AE1034146" s="251"/>
      <c r="AH1034146" s="251"/>
      <c r="AK1034146" s="251"/>
    </row>
    <row r="1034261" spans="25:37" x14ac:dyDescent="0.2">
      <c r="Y1034261" s="5"/>
      <c r="AB1034261" s="5"/>
      <c r="AE1034261" s="5"/>
      <c r="AH1034261" s="5"/>
      <c r="AK1034261" s="5"/>
    </row>
    <row r="1034271" spans="25:37" x14ac:dyDescent="0.2">
      <c r="Y1034271" s="251"/>
      <c r="AB1034271" s="251"/>
      <c r="AE1034271" s="251"/>
      <c r="AH1034271" s="251"/>
      <c r="AK1034271" s="251"/>
    </row>
    <row r="1034386" spans="25:37" x14ac:dyDescent="0.2">
      <c r="Y1034386" s="5"/>
      <c r="AB1034386" s="5"/>
      <c r="AE1034386" s="5"/>
      <c r="AH1034386" s="5"/>
      <c r="AK1034386" s="5"/>
    </row>
    <row r="1034396" spans="25:37" x14ac:dyDescent="0.2">
      <c r="Y1034396" s="251"/>
      <c r="AB1034396" s="251"/>
      <c r="AE1034396" s="251"/>
      <c r="AH1034396" s="251"/>
      <c r="AK1034396" s="251"/>
    </row>
    <row r="1034511" spans="25:37" x14ac:dyDescent="0.2">
      <c r="Y1034511" s="5"/>
      <c r="AB1034511" s="5"/>
      <c r="AE1034511" s="5"/>
      <c r="AH1034511" s="5"/>
      <c r="AK1034511" s="5"/>
    </row>
    <row r="1034521" spans="25:37" x14ac:dyDescent="0.2">
      <c r="Y1034521" s="251"/>
      <c r="AB1034521" s="251"/>
      <c r="AE1034521" s="251"/>
      <c r="AH1034521" s="251"/>
      <c r="AK1034521" s="251"/>
    </row>
    <row r="1034636" spans="25:37" x14ac:dyDescent="0.2">
      <c r="Y1034636" s="5"/>
      <c r="AB1034636" s="5"/>
      <c r="AE1034636" s="5"/>
      <c r="AH1034636" s="5"/>
      <c r="AK1034636" s="5"/>
    </row>
    <row r="1034646" spans="25:37" x14ac:dyDescent="0.2">
      <c r="Y1034646" s="251"/>
      <c r="AB1034646" s="251"/>
      <c r="AE1034646" s="251"/>
      <c r="AH1034646" s="251"/>
      <c r="AK1034646" s="251"/>
    </row>
    <row r="1034761" spans="25:37" x14ac:dyDescent="0.2">
      <c r="Y1034761" s="5"/>
      <c r="AB1034761" s="5"/>
      <c r="AE1034761" s="5"/>
      <c r="AH1034761" s="5"/>
      <c r="AK1034761" s="5"/>
    </row>
    <row r="1034771" spans="25:37" x14ac:dyDescent="0.2">
      <c r="Y1034771" s="251"/>
      <c r="AB1034771" s="251"/>
      <c r="AE1034771" s="251"/>
      <c r="AH1034771" s="251"/>
      <c r="AK1034771" s="251"/>
    </row>
    <row r="1034886" spans="25:37" x14ac:dyDescent="0.2">
      <c r="Y1034886" s="5"/>
      <c r="AB1034886" s="5"/>
      <c r="AE1034886" s="5"/>
      <c r="AH1034886" s="5"/>
      <c r="AK1034886" s="5"/>
    </row>
    <row r="1034896" spans="25:37" x14ac:dyDescent="0.2">
      <c r="Y1034896" s="251"/>
      <c r="AB1034896" s="251"/>
      <c r="AE1034896" s="251"/>
      <c r="AH1034896" s="251"/>
      <c r="AK1034896" s="251"/>
    </row>
    <row r="1035011" spans="25:37" x14ac:dyDescent="0.2">
      <c r="Y1035011" s="5"/>
      <c r="AB1035011" s="5"/>
      <c r="AE1035011" s="5"/>
      <c r="AH1035011" s="5"/>
      <c r="AK1035011" s="5"/>
    </row>
    <row r="1035021" spans="25:37" x14ac:dyDescent="0.2">
      <c r="Y1035021" s="251"/>
      <c r="AB1035021" s="251"/>
      <c r="AE1035021" s="251"/>
      <c r="AH1035021" s="251"/>
      <c r="AK1035021" s="251"/>
    </row>
    <row r="1035136" spans="25:37" x14ac:dyDescent="0.2">
      <c r="Y1035136" s="5"/>
      <c r="AB1035136" s="5"/>
      <c r="AE1035136" s="5"/>
      <c r="AH1035136" s="5"/>
      <c r="AK1035136" s="5"/>
    </row>
    <row r="1035146" spans="25:37" x14ac:dyDescent="0.2">
      <c r="Y1035146" s="251"/>
      <c r="AB1035146" s="251"/>
      <c r="AE1035146" s="251"/>
      <c r="AH1035146" s="251"/>
      <c r="AK1035146" s="251"/>
    </row>
    <row r="1035261" spans="25:37" x14ac:dyDescent="0.2">
      <c r="Y1035261" s="5"/>
      <c r="AB1035261" s="5"/>
      <c r="AE1035261" s="5"/>
      <c r="AH1035261" s="5"/>
      <c r="AK1035261" s="5"/>
    </row>
    <row r="1035271" spans="25:37" x14ac:dyDescent="0.2">
      <c r="Y1035271" s="251"/>
      <c r="AB1035271" s="251"/>
      <c r="AE1035271" s="251"/>
      <c r="AH1035271" s="251"/>
      <c r="AK1035271" s="251"/>
    </row>
    <row r="1035386" spans="25:37" x14ac:dyDescent="0.2">
      <c r="Y1035386" s="5"/>
      <c r="AB1035386" s="5"/>
      <c r="AE1035386" s="5"/>
      <c r="AH1035386" s="5"/>
      <c r="AK1035386" s="5"/>
    </row>
    <row r="1035396" spans="25:37" x14ac:dyDescent="0.2">
      <c r="Y1035396" s="251"/>
      <c r="AB1035396" s="251"/>
      <c r="AE1035396" s="251"/>
      <c r="AH1035396" s="251"/>
      <c r="AK1035396" s="251"/>
    </row>
    <row r="1035511" spans="25:37" x14ac:dyDescent="0.2">
      <c r="Y1035511" s="5"/>
      <c r="AB1035511" s="5"/>
      <c r="AE1035511" s="5"/>
      <c r="AH1035511" s="5"/>
      <c r="AK1035511" s="5"/>
    </row>
    <row r="1035521" spans="25:37" x14ac:dyDescent="0.2">
      <c r="Y1035521" s="251"/>
      <c r="AB1035521" s="251"/>
      <c r="AE1035521" s="251"/>
      <c r="AH1035521" s="251"/>
      <c r="AK1035521" s="251"/>
    </row>
    <row r="1035636" spans="25:37" x14ac:dyDescent="0.2">
      <c r="Y1035636" s="5"/>
      <c r="AB1035636" s="5"/>
      <c r="AE1035636" s="5"/>
      <c r="AH1035636" s="5"/>
      <c r="AK1035636" s="5"/>
    </row>
    <row r="1035646" spans="25:37" x14ac:dyDescent="0.2">
      <c r="Y1035646" s="251"/>
      <c r="AB1035646" s="251"/>
      <c r="AE1035646" s="251"/>
      <c r="AH1035646" s="251"/>
      <c r="AK1035646" s="251"/>
    </row>
    <row r="1035761" spans="25:37" x14ac:dyDescent="0.2">
      <c r="Y1035761" s="5"/>
      <c r="AB1035761" s="5"/>
      <c r="AE1035761" s="5"/>
      <c r="AH1035761" s="5"/>
      <c r="AK1035761" s="5"/>
    </row>
    <row r="1035771" spans="25:37" x14ac:dyDescent="0.2">
      <c r="Y1035771" s="251"/>
      <c r="AB1035771" s="251"/>
      <c r="AE1035771" s="251"/>
      <c r="AH1035771" s="251"/>
      <c r="AK1035771" s="251"/>
    </row>
    <row r="1035886" spans="25:37" x14ac:dyDescent="0.2">
      <c r="Y1035886" s="5"/>
      <c r="AB1035886" s="5"/>
      <c r="AE1035886" s="5"/>
      <c r="AH1035886" s="5"/>
      <c r="AK1035886" s="5"/>
    </row>
    <row r="1035896" spans="25:37" x14ac:dyDescent="0.2">
      <c r="Y1035896" s="251"/>
      <c r="AB1035896" s="251"/>
      <c r="AE1035896" s="251"/>
      <c r="AH1035896" s="251"/>
      <c r="AK1035896" s="251"/>
    </row>
    <row r="1036011" spans="25:37" x14ac:dyDescent="0.2">
      <c r="Y1036011" s="5"/>
      <c r="AB1036011" s="5"/>
      <c r="AE1036011" s="5"/>
      <c r="AH1036011" s="5"/>
      <c r="AK1036011" s="5"/>
    </row>
    <row r="1036021" spans="25:37" x14ac:dyDescent="0.2">
      <c r="Y1036021" s="251"/>
      <c r="AB1036021" s="251"/>
      <c r="AE1036021" s="251"/>
      <c r="AH1036021" s="251"/>
      <c r="AK1036021" s="251"/>
    </row>
    <row r="1036136" spans="25:37" x14ac:dyDescent="0.2">
      <c r="Y1036136" s="5"/>
      <c r="AB1036136" s="5"/>
      <c r="AE1036136" s="5"/>
      <c r="AH1036136" s="5"/>
      <c r="AK1036136" s="5"/>
    </row>
    <row r="1036146" spans="25:37" x14ac:dyDescent="0.2">
      <c r="Y1036146" s="251"/>
      <c r="AB1036146" s="251"/>
      <c r="AE1036146" s="251"/>
      <c r="AH1036146" s="251"/>
      <c r="AK1036146" s="251"/>
    </row>
    <row r="1036261" spans="25:37" x14ac:dyDescent="0.2">
      <c r="Y1036261" s="5"/>
      <c r="AB1036261" s="5"/>
      <c r="AE1036261" s="5"/>
      <c r="AH1036261" s="5"/>
      <c r="AK1036261" s="5"/>
    </row>
    <row r="1036271" spans="25:37" x14ac:dyDescent="0.2">
      <c r="Y1036271" s="251"/>
      <c r="AB1036271" s="251"/>
      <c r="AE1036271" s="251"/>
      <c r="AH1036271" s="251"/>
      <c r="AK1036271" s="251"/>
    </row>
    <row r="1036386" spans="25:37" x14ac:dyDescent="0.2">
      <c r="Y1036386" s="5"/>
      <c r="AB1036386" s="5"/>
      <c r="AE1036386" s="5"/>
      <c r="AH1036386" s="5"/>
      <c r="AK1036386" s="5"/>
    </row>
    <row r="1036396" spans="25:37" x14ac:dyDescent="0.2">
      <c r="Y1036396" s="251"/>
      <c r="AB1036396" s="251"/>
      <c r="AE1036396" s="251"/>
      <c r="AH1036396" s="251"/>
      <c r="AK1036396" s="251"/>
    </row>
    <row r="1036511" spans="25:37" x14ac:dyDescent="0.2">
      <c r="Y1036511" s="5"/>
      <c r="AB1036511" s="5"/>
      <c r="AE1036511" s="5"/>
      <c r="AH1036511" s="5"/>
      <c r="AK1036511" s="5"/>
    </row>
    <row r="1036521" spans="25:37" x14ac:dyDescent="0.2">
      <c r="Y1036521" s="251"/>
      <c r="AB1036521" s="251"/>
      <c r="AE1036521" s="251"/>
      <c r="AH1036521" s="251"/>
      <c r="AK1036521" s="251"/>
    </row>
    <row r="1036636" spans="25:37" x14ac:dyDescent="0.2">
      <c r="Y1036636" s="5"/>
      <c r="AB1036636" s="5"/>
      <c r="AE1036636" s="5"/>
      <c r="AH1036636" s="5"/>
      <c r="AK1036636" s="5"/>
    </row>
    <row r="1036646" spans="25:37" x14ac:dyDescent="0.2">
      <c r="Y1036646" s="251"/>
      <c r="AB1036646" s="251"/>
      <c r="AE1036646" s="251"/>
      <c r="AH1036646" s="251"/>
      <c r="AK1036646" s="251"/>
    </row>
    <row r="1036761" spans="25:37" x14ac:dyDescent="0.2">
      <c r="Y1036761" s="5"/>
      <c r="AB1036761" s="5"/>
      <c r="AE1036761" s="5"/>
      <c r="AH1036761" s="5"/>
      <c r="AK1036761" s="5"/>
    </row>
    <row r="1036771" spans="25:37" x14ac:dyDescent="0.2">
      <c r="Y1036771" s="251"/>
      <c r="AB1036771" s="251"/>
      <c r="AE1036771" s="251"/>
      <c r="AH1036771" s="251"/>
      <c r="AK1036771" s="251"/>
    </row>
    <row r="1036886" spans="25:37" x14ac:dyDescent="0.2">
      <c r="Y1036886" s="5"/>
      <c r="AB1036886" s="5"/>
      <c r="AE1036886" s="5"/>
      <c r="AH1036886" s="5"/>
      <c r="AK1036886" s="5"/>
    </row>
    <row r="1036896" spans="25:37" x14ac:dyDescent="0.2">
      <c r="Y1036896" s="251"/>
      <c r="AB1036896" s="251"/>
      <c r="AE1036896" s="251"/>
      <c r="AH1036896" s="251"/>
      <c r="AK1036896" s="251"/>
    </row>
    <row r="1037011" spans="25:37" x14ac:dyDescent="0.2">
      <c r="Y1037011" s="5"/>
      <c r="AB1037011" s="5"/>
      <c r="AE1037011" s="5"/>
      <c r="AH1037011" s="5"/>
      <c r="AK1037011" s="5"/>
    </row>
    <row r="1037021" spans="25:37" x14ac:dyDescent="0.2">
      <c r="Y1037021" s="251"/>
      <c r="AB1037021" s="251"/>
      <c r="AE1037021" s="251"/>
      <c r="AH1037021" s="251"/>
      <c r="AK1037021" s="251"/>
    </row>
    <row r="1037136" spans="25:37" x14ac:dyDescent="0.2">
      <c r="Y1037136" s="5"/>
      <c r="AB1037136" s="5"/>
      <c r="AE1037136" s="5"/>
      <c r="AH1037136" s="5"/>
      <c r="AK1037136" s="5"/>
    </row>
    <row r="1037146" spans="25:37" x14ac:dyDescent="0.2">
      <c r="Y1037146" s="251"/>
      <c r="AB1037146" s="251"/>
      <c r="AE1037146" s="251"/>
      <c r="AH1037146" s="251"/>
      <c r="AK1037146" s="251"/>
    </row>
    <row r="1037261" spans="25:37" x14ac:dyDescent="0.2">
      <c r="Y1037261" s="5"/>
      <c r="AB1037261" s="5"/>
      <c r="AE1037261" s="5"/>
      <c r="AH1037261" s="5"/>
      <c r="AK1037261" s="5"/>
    </row>
    <row r="1037271" spans="25:37" x14ac:dyDescent="0.2">
      <c r="Y1037271" s="251"/>
      <c r="AB1037271" s="251"/>
      <c r="AE1037271" s="251"/>
      <c r="AH1037271" s="251"/>
      <c r="AK1037271" s="251"/>
    </row>
    <row r="1037386" spans="25:37" x14ac:dyDescent="0.2">
      <c r="Y1037386" s="5"/>
      <c r="AB1037386" s="5"/>
      <c r="AE1037386" s="5"/>
      <c r="AH1037386" s="5"/>
      <c r="AK1037386" s="5"/>
    </row>
    <row r="1037396" spans="25:37" x14ac:dyDescent="0.2">
      <c r="Y1037396" s="251"/>
      <c r="AB1037396" s="251"/>
      <c r="AE1037396" s="251"/>
      <c r="AH1037396" s="251"/>
      <c r="AK1037396" s="251"/>
    </row>
    <row r="1037511" spans="25:37" x14ac:dyDescent="0.2">
      <c r="Y1037511" s="5"/>
      <c r="AB1037511" s="5"/>
      <c r="AE1037511" s="5"/>
      <c r="AH1037511" s="5"/>
      <c r="AK1037511" s="5"/>
    </row>
    <row r="1037521" spans="25:37" x14ac:dyDescent="0.2">
      <c r="Y1037521" s="251"/>
      <c r="AB1037521" s="251"/>
      <c r="AE1037521" s="251"/>
      <c r="AH1037521" s="251"/>
      <c r="AK1037521" s="251"/>
    </row>
    <row r="1037636" spans="25:37" x14ac:dyDescent="0.2">
      <c r="Y1037636" s="5"/>
      <c r="AB1037636" s="5"/>
      <c r="AE1037636" s="5"/>
      <c r="AH1037636" s="5"/>
      <c r="AK1037636" s="5"/>
    </row>
    <row r="1037646" spans="25:37" x14ac:dyDescent="0.2">
      <c r="Y1037646" s="251"/>
      <c r="AB1037646" s="251"/>
      <c r="AE1037646" s="251"/>
      <c r="AH1037646" s="251"/>
      <c r="AK1037646" s="251"/>
    </row>
    <row r="1037761" spans="25:37" x14ac:dyDescent="0.2">
      <c r="Y1037761" s="5"/>
      <c r="AB1037761" s="5"/>
      <c r="AE1037761" s="5"/>
      <c r="AH1037761" s="5"/>
      <c r="AK1037761" s="5"/>
    </row>
    <row r="1037771" spans="25:37" x14ac:dyDescent="0.2">
      <c r="Y1037771" s="251"/>
      <c r="AB1037771" s="251"/>
      <c r="AE1037771" s="251"/>
      <c r="AH1037771" s="251"/>
      <c r="AK1037771" s="251"/>
    </row>
    <row r="1037886" spans="25:37" x14ac:dyDescent="0.2">
      <c r="Y1037886" s="5"/>
      <c r="AB1037886" s="5"/>
      <c r="AE1037886" s="5"/>
      <c r="AH1037886" s="5"/>
      <c r="AK1037886" s="5"/>
    </row>
    <row r="1037896" spans="25:37" x14ac:dyDescent="0.2">
      <c r="Y1037896" s="251"/>
      <c r="AB1037896" s="251"/>
      <c r="AE1037896" s="251"/>
      <c r="AH1037896" s="251"/>
      <c r="AK1037896" s="251"/>
    </row>
    <row r="1038011" spans="25:37" x14ac:dyDescent="0.2">
      <c r="Y1038011" s="5"/>
      <c r="AB1038011" s="5"/>
      <c r="AE1038011" s="5"/>
      <c r="AH1038011" s="5"/>
      <c r="AK1038011" s="5"/>
    </row>
    <row r="1038021" spans="25:37" x14ac:dyDescent="0.2">
      <c r="Y1038021" s="251"/>
      <c r="AB1038021" s="251"/>
      <c r="AE1038021" s="251"/>
      <c r="AH1038021" s="251"/>
      <c r="AK1038021" s="251"/>
    </row>
    <row r="1038136" spans="25:37" x14ac:dyDescent="0.2">
      <c r="Y1038136" s="5"/>
      <c r="AB1038136" s="5"/>
      <c r="AE1038136" s="5"/>
      <c r="AH1038136" s="5"/>
      <c r="AK1038136" s="5"/>
    </row>
    <row r="1038146" spans="25:37" x14ac:dyDescent="0.2">
      <c r="Y1038146" s="251"/>
      <c r="AB1038146" s="251"/>
      <c r="AE1038146" s="251"/>
      <c r="AH1038146" s="251"/>
      <c r="AK1038146" s="251"/>
    </row>
    <row r="1038261" spans="25:37" x14ac:dyDescent="0.2">
      <c r="Y1038261" s="5"/>
      <c r="AB1038261" s="5"/>
      <c r="AE1038261" s="5"/>
      <c r="AH1038261" s="5"/>
      <c r="AK1038261" s="5"/>
    </row>
    <row r="1038271" spans="25:37" x14ac:dyDescent="0.2">
      <c r="Y1038271" s="251"/>
      <c r="AB1038271" s="251"/>
      <c r="AE1038271" s="251"/>
      <c r="AH1038271" s="251"/>
      <c r="AK1038271" s="251"/>
    </row>
    <row r="1038386" spans="25:37" x14ac:dyDescent="0.2">
      <c r="Y1038386" s="5"/>
      <c r="AB1038386" s="5"/>
      <c r="AE1038386" s="5"/>
      <c r="AH1038386" s="5"/>
      <c r="AK1038386" s="5"/>
    </row>
    <row r="1038396" spans="25:37" x14ac:dyDescent="0.2">
      <c r="Y1038396" s="251"/>
      <c r="AB1038396" s="251"/>
      <c r="AE1038396" s="251"/>
      <c r="AH1038396" s="251"/>
      <c r="AK1038396" s="251"/>
    </row>
    <row r="1038511" spans="25:37" x14ac:dyDescent="0.2">
      <c r="Y1038511" s="5"/>
      <c r="AB1038511" s="5"/>
      <c r="AE1038511" s="5"/>
      <c r="AH1038511" s="5"/>
      <c r="AK1038511" s="5"/>
    </row>
    <row r="1038521" spans="25:37" x14ac:dyDescent="0.2">
      <c r="Y1038521" s="251"/>
      <c r="AB1038521" s="251"/>
      <c r="AE1038521" s="251"/>
      <c r="AH1038521" s="251"/>
      <c r="AK1038521" s="251"/>
    </row>
    <row r="1038636" spans="25:37" x14ac:dyDescent="0.2">
      <c r="Y1038636" s="5"/>
      <c r="AB1038636" s="5"/>
      <c r="AE1038636" s="5"/>
      <c r="AH1038636" s="5"/>
      <c r="AK1038636" s="5"/>
    </row>
    <row r="1038646" spans="25:37" x14ac:dyDescent="0.2">
      <c r="Y1038646" s="251"/>
      <c r="AB1038646" s="251"/>
      <c r="AE1038646" s="251"/>
      <c r="AH1038646" s="251"/>
      <c r="AK1038646" s="251"/>
    </row>
    <row r="1038761" spans="25:37" x14ac:dyDescent="0.2">
      <c r="Y1038761" s="5"/>
      <c r="AB1038761" s="5"/>
      <c r="AE1038761" s="5"/>
      <c r="AH1038761" s="5"/>
      <c r="AK1038761" s="5"/>
    </row>
    <row r="1038771" spans="25:37" x14ac:dyDescent="0.2">
      <c r="Y1038771" s="251"/>
      <c r="AB1038771" s="251"/>
      <c r="AE1038771" s="251"/>
      <c r="AH1038771" s="251"/>
      <c r="AK1038771" s="251"/>
    </row>
    <row r="1038886" spans="25:37" x14ac:dyDescent="0.2">
      <c r="Y1038886" s="5"/>
      <c r="AB1038886" s="5"/>
      <c r="AE1038886" s="5"/>
      <c r="AH1038886" s="5"/>
      <c r="AK1038886" s="5"/>
    </row>
    <row r="1038896" spans="25:37" x14ac:dyDescent="0.2">
      <c r="Y1038896" s="251"/>
      <c r="AB1038896" s="251"/>
      <c r="AE1038896" s="251"/>
      <c r="AH1038896" s="251"/>
      <c r="AK1038896" s="251"/>
    </row>
    <row r="1039011" spans="25:37" x14ac:dyDescent="0.2">
      <c r="Y1039011" s="5"/>
      <c r="AB1039011" s="5"/>
      <c r="AE1039011" s="5"/>
      <c r="AH1039011" s="5"/>
      <c r="AK1039011" s="5"/>
    </row>
    <row r="1039021" spans="25:37" x14ac:dyDescent="0.2">
      <c r="Y1039021" s="251"/>
      <c r="AB1039021" s="251"/>
      <c r="AE1039021" s="251"/>
      <c r="AH1039021" s="251"/>
      <c r="AK1039021" s="251"/>
    </row>
    <row r="1039136" spans="25:37" x14ac:dyDescent="0.2">
      <c r="Y1039136" s="5"/>
      <c r="AB1039136" s="5"/>
      <c r="AE1039136" s="5"/>
      <c r="AH1039136" s="5"/>
      <c r="AK1039136" s="5"/>
    </row>
    <row r="1039146" spans="25:37" x14ac:dyDescent="0.2">
      <c r="Y1039146" s="251"/>
      <c r="AB1039146" s="251"/>
      <c r="AE1039146" s="251"/>
      <c r="AH1039146" s="251"/>
      <c r="AK1039146" s="251"/>
    </row>
    <row r="1039261" spans="25:37" x14ac:dyDescent="0.2">
      <c r="Y1039261" s="5"/>
      <c r="AB1039261" s="5"/>
      <c r="AE1039261" s="5"/>
      <c r="AH1039261" s="5"/>
      <c r="AK1039261" s="5"/>
    </row>
    <row r="1039271" spans="25:37" x14ac:dyDescent="0.2">
      <c r="Y1039271" s="251"/>
      <c r="AB1039271" s="251"/>
      <c r="AE1039271" s="251"/>
      <c r="AH1039271" s="251"/>
      <c r="AK1039271" s="251"/>
    </row>
    <row r="1039386" spans="25:37" x14ac:dyDescent="0.2">
      <c r="Y1039386" s="5"/>
      <c r="AB1039386" s="5"/>
      <c r="AE1039386" s="5"/>
      <c r="AH1039386" s="5"/>
      <c r="AK1039386" s="5"/>
    </row>
    <row r="1039396" spans="25:37" x14ac:dyDescent="0.2">
      <c r="Y1039396" s="251"/>
      <c r="AB1039396" s="251"/>
      <c r="AE1039396" s="251"/>
      <c r="AH1039396" s="251"/>
      <c r="AK1039396" s="251"/>
    </row>
    <row r="1039511" spans="25:37" x14ac:dyDescent="0.2">
      <c r="Y1039511" s="5"/>
      <c r="AB1039511" s="5"/>
      <c r="AE1039511" s="5"/>
      <c r="AH1039511" s="5"/>
      <c r="AK1039511" s="5"/>
    </row>
    <row r="1039521" spans="25:37" x14ac:dyDescent="0.2">
      <c r="Y1039521" s="251"/>
      <c r="AB1039521" s="251"/>
      <c r="AE1039521" s="251"/>
      <c r="AH1039521" s="251"/>
      <c r="AK1039521" s="251"/>
    </row>
    <row r="1039636" spans="25:37" x14ac:dyDescent="0.2">
      <c r="Y1039636" s="5"/>
      <c r="AB1039636" s="5"/>
      <c r="AE1039636" s="5"/>
      <c r="AH1039636" s="5"/>
      <c r="AK1039636" s="5"/>
    </row>
    <row r="1039646" spans="25:37" x14ac:dyDescent="0.2">
      <c r="Y1039646" s="251"/>
      <c r="AB1039646" s="251"/>
      <c r="AE1039646" s="251"/>
      <c r="AH1039646" s="251"/>
      <c r="AK1039646" s="251"/>
    </row>
    <row r="1039761" spans="25:37" x14ac:dyDescent="0.2">
      <c r="Y1039761" s="5"/>
      <c r="AB1039761" s="5"/>
      <c r="AE1039761" s="5"/>
      <c r="AH1039761" s="5"/>
      <c r="AK1039761" s="5"/>
    </row>
    <row r="1039771" spans="25:37" x14ac:dyDescent="0.2">
      <c r="Y1039771" s="251"/>
      <c r="AB1039771" s="251"/>
      <c r="AE1039771" s="251"/>
      <c r="AH1039771" s="251"/>
      <c r="AK1039771" s="251"/>
    </row>
    <row r="1039886" spans="25:37" x14ac:dyDescent="0.2">
      <c r="Y1039886" s="5"/>
      <c r="AB1039886" s="5"/>
      <c r="AE1039886" s="5"/>
      <c r="AH1039886" s="5"/>
      <c r="AK1039886" s="5"/>
    </row>
    <row r="1039896" spans="25:37" x14ac:dyDescent="0.2">
      <c r="Y1039896" s="251"/>
      <c r="AB1039896" s="251"/>
      <c r="AE1039896" s="251"/>
      <c r="AH1039896" s="251"/>
      <c r="AK1039896" s="251"/>
    </row>
    <row r="1040011" spans="25:37" x14ac:dyDescent="0.2">
      <c r="Y1040011" s="5"/>
      <c r="AB1040011" s="5"/>
      <c r="AE1040011" s="5"/>
      <c r="AH1040011" s="5"/>
      <c r="AK1040011" s="5"/>
    </row>
    <row r="1040021" spans="25:37" x14ac:dyDescent="0.2">
      <c r="Y1040021" s="251"/>
      <c r="AB1040021" s="251"/>
      <c r="AE1040021" s="251"/>
      <c r="AH1040021" s="251"/>
      <c r="AK1040021" s="251"/>
    </row>
    <row r="1040136" spans="25:37" x14ac:dyDescent="0.2">
      <c r="Y1040136" s="5"/>
      <c r="AB1040136" s="5"/>
      <c r="AE1040136" s="5"/>
      <c r="AH1040136" s="5"/>
      <c r="AK1040136" s="5"/>
    </row>
    <row r="1040146" spans="25:37" x14ac:dyDescent="0.2">
      <c r="Y1040146" s="251"/>
      <c r="AB1040146" s="251"/>
      <c r="AE1040146" s="251"/>
      <c r="AH1040146" s="251"/>
      <c r="AK1040146" s="251"/>
    </row>
    <row r="1040261" spans="25:37" x14ac:dyDescent="0.2">
      <c r="Y1040261" s="5"/>
      <c r="AB1040261" s="5"/>
      <c r="AE1040261" s="5"/>
      <c r="AH1040261" s="5"/>
      <c r="AK1040261" s="5"/>
    </row>
    <row r="1040271" spans="25:37" x14ac:dyDescent="0.2">
      <c r="Y1040271" s="251"/>
      <c r="AB1040271" s="251"/>
      <c r="AE1040271" s="251"/>
      <c r="AH1040271" s="251"/>
      <c r="AK1040271" s="251"/>
    </row>
    <row r="1040386" spans="25:37" x14ac:dyDescent="0.2">
      <c r="Y1040386" s="5"/>
      <c r="AB1040386" s="5"/>
      <c r="AE1040386" s="5"/>
      <c r="AH1040386" s="5"/>
      <c r="AK1040386" s="5"/>
    </row>
    <row r="1040396" spans="25:37" x14ac:dyDescent="0.2">
      <c r="Y1040396" s="251"/>
      <c r="AB1040396" s="251"/>
      <c r="AE1040396" s="251"/>
      <c r="AH1040396" s="251"/>
      <c r="AK1040396" s="251"/>
    </row>
    <row r="1040511" spans="25:37" x14ac:dyDescent="0.2">
      <c r="Y1040511" s="5"/>
      <c r="AB1040511" s="5"/>
      <c r="AE1040511" s="5"/>
      <c r="AH1040511" s="5"/>
      <c r="AK1040511" s="5"/>
    </row>
    <row r="1040521" spans="25:37" x14ac:dyDescent="0.2">
      <c r="Y1040521" s="251"/>
      <c r="AB1040521" s="251"/>
      <c r="AE1040521" s="251"/>
      <c r="AH1040521" s="251"/>
      <c r="AK1040521" s="251"/>
    </row>
    <row r="1040636" spans="25:37" x14ac:dyDescent="0.2">
      <c r="Y1040636" s="5"/>
      <c r="AB1040636" s="5"/>
      <c r="AE1040636" s="5"/>
      <c r="AH1040636" s="5"/>
      <c r="AK1040636" s="5"/>
    </row>
    <row r="1040646" spans="25:37" x14ac:dyDescent="0.2">
      <c r="Y1040646" s="251"/>
      <c r="AB1040646" s="251"/>
      <c r="AE1040646" s="251"/>
      <c r="AH1040646" s="251"/>
      <c r="AK1040646" s="251"/>
    </row>
    <row r="1040761" spans="25:37" x14ac:dyDescent="0.2">
      <c r="Y1040761" s="5"/>
      <c r="AB1040761" s="5"/>
      <c r="AE1040761" s="5"/>
      <c r="AH1040761" s="5"/>
      <c r="AK1040761" s="5"/>
    </row>
    <row r="1040771" spans="25:37" x14ac:dyDescent="0.2">
      <c r="Y1040771" s="251"/>
      <c r="AB1040771" s="251"/>
      <c r="AE1040771" s="251"/>
      <c r="AH1040771" s="251"/>
      <c r="AK1040771" s="251"/>
    </row>
    <row r="1040886" spans="25:37" x14ac:dyDescent="0.2">
      <c r="Y1040886" s="5"/>
      <c r="AB1040886" s="5"/>
      <c r="AE1040886" s="5"/>
      <c r="AH1040886" s="5"/>
      <c r="AK1040886" s="5"/>
    </row>
    <row r="1040896" spans="25:37" x14ac:dyDescent="0.2">
      <c r="Y1040896" s="251"/>
      <c r="AB1040896" s="251"/>
      <c r="AE1040896" s="251"/>
      <c r="AH1040896" s="251"/>
      <c r="AK1040896" s="251"/>
    </row>
    <row r="1041011" spans="25:37" x14ac:dyDescent="0.2">
      <c r="Y1041011" s="5"/>
      <c r="AB1041011" s="5"/>
      <c r="AE1041011" s="5"/>
      <c r="AH1041011" s="5"/>
      <c r="AK1041011" s="5"/>
    </row>
    <row r="1041021" spans="25:37" x14ac:dyDescent="0.2">
      <c r="Y1041021" s="251"/>
      <c r="AB1041021" s="251"/>
      <c r="AE1041021" s="251"/>
      <c r="AH1041021" s="251"/>
      <c r="AK1041021" s="251"/>
    </row>
    <row r="1041136" spans="25:37" x14ac:dyDescent="0.2">
      <c r="Y1041136" s="5"/>
      <c r="AB1041136" s="5"/>
      <c r="AE1041136" s="5"/>
      <c r="AH1041136" s="5"/>
      <c r="AK1041136" s="5"/>
    </row>
    <row r="1041146" spans="25:37" x14ac:dyDescent="0.2">
      <c r="Y1041146" s="251"/>
      <c r="AB1041146" s="251"/>
      <c r="AE1041146" s="251"/>
      <c r="AH1041146" s="251"/>
      <c r="AK1041146" s="251"/>
    </row>
    <row r="1041261" spans="25:37" x14ac:dyDescent="0.2">
      <c r="Y1041261" s="5"/>
      <c r="AB1041261" s="5"/>
      <c r="AE1041261" s="5"/>
      <c r="AH1041261" s="5"/>
      <c r="AK1041261" s="5"/>
    </row>
    <row r="1041271" spans="25:37" x14ac:dyDescent="0.2">
      <c r="Y1041271" s="251"/>
      <c r="AB1041271" s="251"/>
      <c r="AE1041271" s="251"/>
      <c r="AH1041271" s="251"/>
      <c r="AK1041271" s="251"/>
    </row>
    <row r="1041386" spans="25:37" x14ac:dyDescent="0.2">
      <c r="Y1041386" s="5"/>
      <c r="AB1041386" s="5"/>
      <c r="AE1041386" s="5"/>
      <c r="AH1041386" s="5"/>
      <c r="AK1041386" s="5"/>
    </row>
    <row r="1041396" spans="25:37" x14ac:dyDescent="0.2">
      <c r="Y1041396" s="251"/>
      <c r="AB1041396" s="251"/>
      <c r="AE1041396" s="251"/>
      <c r="AH1041396" s="251"/>
      <c r="AK1041396" s="251"/>
    </row>
    <row r="1041511" spans="25:37" x14ac:dyDescent="0.2">
      <c r="Y1041511" s="5"/>
      <c r="AB1041511" s="5"/>
      <c r="AE1041511" s="5"/>
      <c r="AH1041511" s="5"/>
      <c r="AK1041511" s="5"/>
    </row>
    <row r="1041521" spans="25:37" x14ac:dyDescent="0.2">
      <c r="Y1041521" s="251"/>
      <c r="AB1041521" s="251"/>
      <c r="AE1041521" s="251"/>
      <c r="AH1041521" s="251"/>
      <c r="AK1041521" s="251"/>
    </row>
    <row r="1041636" spans="25:37" x14ac:dyDescent="0.2">
      <c r="Y1041636" s="5"/>
      <c r="AB1041636" s="5"/>
      <c r="AE1041636" s="5"/>
      <c r="AH1041636" s="5"/>
      <c r="AK1041636" s="5"/>
    </row>
    <row r="1041646" spans="25:37" x14ac:dyDescent="0.2">
      <c r="Y1041646" s="251"/>
      <c r="AB1041646" s="251"/>
      <c r="AE1041646" s="251"/>
      <c r="AH1041646" s="251"/>
      <c r="AK1041646" s="251"/>
    </row>
    <row r="1041761" spans="25:37" x14ac:dyDescent="0.2">
      <c r="Y1041761" s="5"/>
      <c r="AB1041761" s="5"/>
      <c r="AE1041761" s="5"/>
      <c r="AH1041761" s="5"/>
      <c r="AK1041761" s="5"/>
    </row>
    <row r="1041771" spans="25:37" x14ac:dyDescent="0.2">
      <c r="Y1041771" s="251"/>
      <c r="AB1041771" s="251"/>
      <c r="AE1041771" s="251"/>
      <c r="AH1041771" s="251"/>
      <c r="AK1041771" s="251"/>
    </row>
    <row r="1041886" spans="25:37" x14ac:dyDescent="0.2">
      <c r="Y1041886" s="5"/>
      <c r="AB1041886" s="5"/>
      <c r="AE1041886" s="5"/>
      <c r="AH1041886" s="5"/>
      <c r="AK1041886" s="5"/>
    </row>
    <row r="1041896" spans="25:37" x14ac:dyDescent="0.2">
      <c r="Y1041896" s="251"/>
      <c r="AB1041896" s="251"/>
      <c r="AE1041896" s="251"/>
      <c r="AH1041896" s="251"/>
      <c r="AK1041896" s="251"/>
    </row>
    <row r="1042011" spans="25:37" x14ac:dyDescent="0.2">
      <c r="Y1042011" s="5"/>
      <c r="AB1042011" s="5"/>
      <c r="AE1042011" s="5"/>
      <c r="AH1042011" s="5"/>
      <c r="AK1042011" s="5"/>
    </row>
    <row r="1042021" spans="25:37" x14ac:dyDescent="0.2">
      <c r="Y1042021" s="251"/>
      <c r="AB1042021" s="251"/>
      <c r="AE1042021" s="251"/>
      <c r="AH1042021" s="251"/>
      <c r="AK1042021" s="251"/>
    </row>
    <row r="1042136" spans="25:37" x14ac:dyDescent="0.2">
      <c r="Y1042136" s="5"/>
      <c r="AB1042136" s="5"/>
      <c r="AE1042136" s="5"/>
      <c r="AH1042136" s="5"/>
      <c r="AK1042136" s="5"/>
    </row>
    <row r="1042146" spans="25:37" x14ac:dyDescent="0.2">
      <c r="Y1042146" s="251"/>
      <c r="AB1042146" s="251"/>
      <c r="AE1042146" s="251"/>
      <c r="AH1042146" s="251"/>
      <c r="AK1042146" s="251"/>
    </row>
    <row r="1042261" spans="25:37" x14ac:dyDescent="0.2">
      <c r="Y1042261" s="5"/>
      <c r="AB1042261" s="5"/>
      <c r="AE1042261" s="5"/>
      <c r="AH1042261" s="5"/>
      <c r="AK1042261" s="5"/>
    </row>
    <row r="1042271" spans="25:37" x14ac:dyDescent="0.2">
      <c r="Y1042271" s="251"/>
      <c r="AB1042271" s="251"/>
      <c r="AE1042271" s="251"/>
      <c r="AH1042271" s="251"/>
      <c r="AK1042271" s="251"/>
    </row>
    <row r="1042386" spans="25:37" x14ac:dyDescent="0.2">
      <c r="Y1042386" s="5"/>
      <c r="AB1042386" s="5"/>
      <c r="AE1042386" s="5"/>
      <c r="AH1042386" s="5"/>
      <c r="AK1042386" s="5"/>
    </row>
    <row r="1042396" spans="25:37" x14ac:dyDescent="0.2">
      <c r="Y1042396" s="251"/>
      <c r="AB1042396" s="251"/>
      <c r="AE1042396" s="251"/>
      <c r="AH1042396" s="251"/>
      <c r="AK1042396" s="251"/>
    </row>
    <row r="1042511" spans="25:37" x14ac:dyDescent="0.2">
      <c r="Y1042511" s="5"/>
      <c r="AB1042511" s="5"/>
      <c r="AE1042511" s="5"/>
      <c r="AH1042511" s="5"/>
      <c r="AK1042511" s="5"/>
    </row>
    <row r="1042521" spans="25:37" x14ac:dyDescent="0.2">
      <c r="Y1042521" s="251"/>
      <c r="AB1042521" s="251"/>
      <c r="AE1042521" s="251"/>
      <c r="AH1042521" s="251"/>
      <c r="AK1042521" s="251"/>
    </row>
    <row r="1042636" spans="25:37" x14ac:dyDescent="0.2">
      <c r="Y1042636" s="5"/>
      <c r="AB1042636" s="5"/>
      <c r="AE1042636" s="5"/>
      <c r="AH1042636" s="5"/>
      <c r="AK1042636" s="5"/>
    </row>
    <row r="1042646" spans="25:37" x14ac:dyDescent="0.2">
      <c r="Y1042646" s="251"/>
      <c r="AB1042646" s="251"/>
      <c r="AE1042646" s="251"/>
      <c r="AH1042646" s="251"/>
      <c r="AK1042646" s="251"/>
    </row>
    <row r="1042761" spans="25:37" x14ac:dyDescent="0.2">
      <c r="Y1042761" s="5"/>
      <c r="AB1042761" s="5"/>
      <c r="AE1042761" s="5"/>
      <c r="AH1042761" s="5"/>
      <c r="AK1042761" s="5"/>
    </row>
    <row r="1042771" spans="25:37" x14ac:dyDescent="0.2">
      <c r="Y1042771" s="251"/>
      <c r="AB1042771" s="251"/>
      <c r="AE1042771" s="251"/>
      <c r="AH1042771" s="251"/>
      <c r="AK1042771" s="251"/>
    </row>
    <row r="1042886" spans="25:37" x14ac:dyDescent="0.2">
      <c r="Y1042886" s="5"/>
      <c r="AB1042886" s="5"/>
      <c r="AE1042886" s="5"/>
      <c r="AH1042886" s="5"/>
      <c r="AK1042886" s="5"/>
    </row>
    <row r="1042896" spans="25:37" x14ac:dyDescent="0.2">
      <c r="Y1042896" s="251"/>
      <c r="AB1042896" s="251"/>
      <c r="AE1042896" s="251"/>
      <c r="AH1042896" s="251"/>
      <c r="AK1042896" s="251"/>
    </row>
    <row r="1043011" spans="25:37" x14ac:dyDescent="0.2">
      <c r="Y1043011" s="5"/>
      <c r="AB1043011" s="5"/>
      <c r="AE1043011" s="5"/>
      <c r="AH1043011" s="5"/>
      <c r="AK1043011" s="5"/>
    </row>
    <row r="1043021" spans="25:37" x14ac:dyDescent="0.2">
      <c r="Y1043021" s="251"/>
      <c r="AB1043021" s="251"/>
      <c r="AE1043021" s="251"/>
      <c r="AH1043021" s="251"/>
      <c r="AK1043021" s="251"/>
    </row>
    <row r="1043136" spans="25:37" x14ac:dyDescent="0.2">
      <c r="Y1043136" s="5"/>
      <c r="AB1043136" s="5"/>
      <c r="AE1043136" s="5"/>
      <c r="AH1043136" s="5"/>
      <c r="AK1043136" s="5"/>
    </row>
    <row r="1043146" spans="25:37" x14ac:dyDescent="0.2">
      <c r="Y1043146" s="251"/>
      <c r="AB1043146" s="251"/>
      <c r="AE1043146" s="251"/>
      <c r="AH1043146" s="251"/>
      <c r="AK1043146" s="251"/>
    </row>
    <row r="1043261" spans="25:37" x14ac:dyDescent="0.2">
      <c r="Y1043261" s="5"/>
      <c r="AB1043261" s="5"/>
      <c r="AE1043261" s="5"/>
      <c r="AH1043261" s="5"/>
      <c r="AK1043261" s="5"/>
    </row>
    <row r="1043271" spans="25:37" x14ac:dyDescent="0.2">
      <c r="Y1043271" s="251"/>
      <c r="AB1043271" s="251"/>
      <c r="AE1043271" s="251"/>
      <c r="AH1043271" s="251"/>
      <c r="AK1043271" s="251"/>
    </row>
    <row r="1043386" spans="25:37" x14ac:dyDescent="0.2">
      <c r="Y1043386" s="5"/>
      <c r="AB1043386" s="5"/>
      <c r="AE1043386" s="5"/>
      <c r="AH1043386" s="5"/>
      <c r="AK1043386" s="5"/>
    </row>
    <row r="1043396" spans="25:37" x14ac:dyDescent="0.2">
      <c r="Y1043396" s="251"/>
      <c r="AB1043396" s="251"/>
      <c r="AE1043396" s="251"/>
      <c r="AH1043396" s="251"/>
      <c r="AK1043396" s="251"/>
    </row>
    <row r="1043511" spans="25:37" x14ac:dyDescent="0.2">
      <c r="Y1043511" s="5"/>
      <c r="AB1043511" s="5"/>
      <c r="AE1043511" s="5"/>
      <c r="AH1043511" s="5"/>
      <c r="AK1043511" s="5"/>
    </row>
    <row r="1043521" spans="25:37" x14ac:dyDescent="0.2">
      <c r="Y1043521" s="251"/>
      <c r="AB1043521" s="251"/>
      <c r="AE1043521" s="251"/>
      <c r="AH1043521" s="251"/>
      <c r="AK1043521" s="251"/>
    </row>
    <row r="1043636" spans="25:37" x14ac:dyDescent="0.2">
      <c r="Y1043636" s="5"/>
      <c r="AB1043636" s="5"/>
      <c r="AE1043636" s="5"/>
      <c r="AH1043636" s="5"/>
      <c r="AK1043636" s="5"/>
    </row>
    <row r="1043646" spans="25:37" x14ac:dyDescent="0.2">
      <c r="Y1043646" s="251"/>
      <c r="AB1043646" s="251"/>
      <c r="AE1043646" s="251"/>
      <c r="AH1043646" s="251"/>
      <c r="AK1043646" s="251"/>
    </row>
    <row r="1043761" spans="25:37" x14ac:dyDescent="0.2">
      <c r="Y1043761" s="5"/>
      <c r="AB1043761" s="5"/>
      <c r="AE1043761" s="5"/>
      <c r="AH1043761" s="5"/>
      <c r="AK1043761" s="5"/>
    </row>
    <row r="1043771" spans="25:37" x14ac:dyDescent="0.2">
      <c r="Y1043771" s="251"/>
      <c r="AB1043771" s="251"/>
      <c r="AE1043771" s="251"/>
      <c r="AH1043771" s="251"/>
      <c r="AK1043771" s="251"/>
    </row>
    <row r="1043886" spans="25:37" x14ac:dyDescent="0.2">
      <c r="Y1043886" s="5"/>
      <c r="AB1043886" s="5"/>
      <c r="AE1043886" s="5"/>
      <c r="AH1043886" s="5"/>
      <c r="AK1043886" s="5"/>
    </row>
    <row r="1043896" spans="25:37" x14ac:dyDescent="0.2">
      <c r="Y1043896" s="251"/>
      <c r="AB1043896" s="251"/>
      <c r="AE1043896" s="251"/>
      <c r="AH1043896" s="251"/>
      <c r="AK1043896" s="251"/>
    </row>
    <row r="1044011" spans="25:37" x14ac:dyDescent="0.2">
      <c r="Y1044011" s="5"/>
      <c r="AB1044011" s="5"/>
      <c r="AE1044011" s="5"/>
      <c r="AH1044011" s="5"/>
      <c r="AK1044011" s="5"/>
    </row>
    <row r="1044021" spans="25:37" x14ac:dyDescent="0.2">
      <c r="Y1044021" s="251"/>
      <c r="AB1044021" s="251"/>
      <c r="AE1044021" s="251"/>
      <c r="AH1044021" s="251"/>
      <c r="AK1044021" s="251"/>
    </row>
    <row r="1044136" spans="25:37" x14ac:dyDescent="0.2">
      <c r="Y1044136" s="5"/>
      <c r="AB1044136" s="5"/>
      <c r="AE1044136" s="5"/>
      <c r="AH1044136" s="5"/>
      <c r="AK1044136" s="5"/>
    </row>
    <row r="1044146" spans="25:37" x14ac:dyDescent="0.2">
      <c r="Y1044146" s="251"/>
      <c r="AB1044146" s="251"/>
      <c r="AE1044146" s="251"/>
      <c r="AH1044146" s="251"/>
      <c r="AK1044146" s="251"/>
    </row>
    <row r="1044261" spans="25:37" x14ac:dyDescent="0.2">
      <c r="Y1044261" s="5"/>
      <c r="AB1044261" s="5"/>
      <c r="AE1044261" s="5"/>
      <c r="AH1044261" s="5"/>
      <c r="AK1044261" s="5"/>
    </row>
    <row r="1044271" spans="25:37" x14ac:dyDescent="0.2">
      <c r="Y1044271" s="251"/>
      <c r="AB1044271" s="251"/>
      <c r="AE1044271" s="251"/>
      <c r="AH1044271" s="251"/>
      <c r="AK1044271" s="251"/>
    </row>
    <row r="1044386" spans="25:37" x14ac:dyDescent="0.2">
      <c r="Y1044386" s="5"/>
      <c r="AB1044386" s="5"/>
      <c r="AE1044386" s="5"/>
      <c r="AH1044386" s="5"/>
      <c r="AK1044386" s="5"/>
    </row>
    <row r="1044396" spans="25:37" x14ac:dyDescent="0.2">
      <c r="Y1044396" s="251"/>
      <c r="AB1044396" s="251"/>
      <c r="AE1044396" s="251"/>
      <c r="AH1044396" s="251"/>
      <c r="AK1044396" s="251"/>
    </row>
    <row r="1044511" spans="25:37" x14ac:dyDescent="0.2">
      <c r="Y1044511" s="5"/>
      <c r="AB1044511" s="5"/>
      <c r="AE1044511" s="5"/>
      <c r="AH1044511" s="5"/>
      <c r="AK1044511" s="5"/>
    </row>
    <row r="1044521" spans="25:37" x14ac:dyDescent="0.2">
      <c r="Y1044521" s="251"/>
      <c r="AB1044521" s="251"/>
      <c r="AE1044521" s="251"/>
      <c r="AH1044521" s="251"/>
      <c r="AK1044521" s="251"/>
    </row>
    <row r="1044636" spans="25:37" x14ac:dyDescent="0.2">
      <c r="Y1044636" s="5"/>
      <c r="AB1044636" s="5"/>
      <c r="AE1044636" s="5"/>
      <c r="AH1044636" s="5"/>
      <c r="AK1044636" s="5"/>
    </row>
    <row r="1044646" spans="25:37" x14ac:dyDescent="0.2">
      <c r="Y1044646" s="251"/>
      <c r="AB1044646" s="251"/>
      <c r="AE1044646" s="251"/>
      <c r="AH1044646" s="251"/>
      <c r="AK1044646" s="251"/>
    </row>
    <row r="1044761" spans="25:37" x14ac:dyDescent="0.2">
      <c r="Y1044761" s="5"/>
      <c r="AB1044761" s="5"/>
      <c r="AE1044761" s="5"/>
      <c r="AH1044761" s="5"/>
      <c r="AK1044761" s="5"/>
    </row>
    <row r="1044771" spans="25:37" x14ac:dyDescent="0.2">
      <c r="Y1044771" s="251"/>
      <c r="AB1044771" s="251"/>
      <c r="AE1044771" s="251"/>
      <c r="AH1044771" s="251"/>
      <c r="AK1044771" s="251"/>
    </row>
    <row r="1044886" spans="25:37" x14ac:dyDescent="0.2">
      <c r="Y1044886" s="5"/>
      <c r="AB1044886" s="5"/>
      <c r="AE1044886" s="5"/>
      <c r="AH1044886" s="5"/>
      <c r="AK1044886" s="5"/>
    </row>
    <row r="1044896" spans="25:37" x14ac:dyDescent="0.2">
      <c r="Y1044896" s="251"/>
      <c r="AB1044896" s="251"/>
      <c r="AE1044896" s="251"/>
      <c r="AH1044896" s="251"/>
      <c r="AK1044896" s="251"/>
    </row>
    <row r="1045011" spans="25:37" x14ac:dyDescent="0.2">
      <c r="Y1045011" s="5"/>
      <c r="AB1045011" s="5"/>
      <c r="AE1045011" s="5"/>
      <c r="AH1045011" s="5"/>
      <c r="AK1045011" s="5"/>
    </row>
    <row r="1045021" spans="25:37" x14ac:dyDescent="0.2">
      <c r="Y1045021" s="251"/>
      <c r="AB1045021" s="251"/>
      <c r="AE1045021" s="251"/>
      <c r="AH1045021" s="251"/>
      <c r="AK1045021" s="251"/>
    </row>
    <row r="1045136" spans="25:37" x14ac:dyDescent="0.2">
      <c r="Y1045136" s="5"/>
      <c r="AB1045136" s="5"/>
      <c r="AE1045136" s="5"/>
      <c r="AH1045136" s="5"/>
      <c r="AK1045136" s="5"/>
    </row>
    <row r="1045146" spans="25:37" x14ac:dyDescent="0.2">
      <c r="Y1045146" s="251"/>
      <c r="AB1045146" s="251"/>
      <c r="AE1045146" s="251"/>
      <c r="AH1045146" s="251"/>
      <c r="AK1045146" s="251"/>
    </row>
    <row r="1045261" spans="25:37" x14ac:dyDescent="0.2">
      <c r="Y1045261" s="5"/>
      <c r="AB1045261" s="5"/>
      <c r="AE1045261" s="5"/>
      <c r="AH1045261" s="5"/>
      <c r="AK1045261" s="5"/>
    </row>
    <row r="1045271" spans="25:37" x14ac:dyDescent="0.2">
      <c r="Y1045271" s="251"/>
      <c r="AB1045271" s="251"/>
      <c r="AE1045271" s="251"/>
      <c r="AH1045271" s="251"/>
      <c r="AK1045271" s="251"/>
    </row>
    <row r="1045386" spans="25:37" x14ac:dyDescent="0.2">
      <c r="Y1045386" s="5"/>
      <c r="AB1045386" s="5"/>
      <c r="AE1045386" s="5"/>
      <c r="AH1045386" s="5"/>
      <c r="AK1045386" s="5"/>
    </row>
    <row r="1045396" spans="25:37" x14ac:dyDescent="0.2">
      <c r="Y1045396" s="251"/>
      <c r="AB1045396" s="251"/>
      <c r="AE1045396" s="251"/>
      <c r="AH1045396" s="251"/>
      <c r="AK1045396" s="251"/>
    </row>
    <row r="1045511" spans="25:37" x14ac:dyDescent="0.2">
      <c r="Y1045511" s="5"/>
      <c r="AB1045511" s="5"/>
      <c r="AE1045511" s="5"/>
      <c r="AH1045511" s="5"/>
      <c r="AK1045511" s="5"/>
    </row>
    <row r="1045521" spans="25:37" x14ac:dyDescent="0.2">
      <c r="Y1045521" s="251"/>
      <c r="AB1045521" s="251"/>
      <c r="AE1045521" s="251"/>
      <c r="AH1045521" s="251"/>
      <c r="AK1045521" s="251"/>
    </row>
    <row r="1045636" spans="25:37" x14ac:dyDescent="0.2">
      <c r="Y1045636" s="5"/>
      <c r="AB1045636" s="5"/>
      <c r="AE1045636" s="5"/>
      <c r="AH1045636" s="5"/>
      <c r="AK1045636" s="5"/>
    </row>
    <row r="1045646" spans="25:37" x14ac:dyDescent="0.2">
      <c r="Y1045646" s="251"/>
      <c r="AB1045646" s="251"/>
      <c r="AE1045646" s="251"/>
      <c r="AH1045646" s="251"/>
      <c r="AK1045646" s="251"/>
    </row>
    <row r="1045761" spans="25:37" x14ac:dyDescent="0.2">
      <c r="Y1045761" s="5"/>
      <c r="AB1045761" s="5"/>
      <c r="AE1045761" s="5"/>
      <c r="AH1045761" s="5"/>
      <c r="AK1045761" s="5"/>
    </row>
    <row r="1045771" spans="25:37" x14ac:dyDescent="0.2">
      <c r="Y1045771" s="251"/>
      <c r="AB1045771" s="251"/>
      <c r="AE1045771" s="251"/>
      <c r="AH1045771" s="251"/>
      <c r="AK1045771" s="251"/>
    </row>
    <row r="1045886" spans="25:37" x14ac:dyDescent="0.2">
      <c r="Y1045886" s="5"/>
      <c r="AB1045886" s="5"/>
      <c r="AE1045886" s="5"/>
      <c r="AH1045886" s="5"/>
      <c r="AK1045886" s="5"/>
    </row>
    <row r="1045896" spans="25:37" x14ac:dyDescent="0.2">
      <c r="Y1045896" s="251"/>
      <c r="AB1045896" s="251"/>
      <c r="AE1045896" s="251"/>
      <c r="AH1045896" s="251"/>
      <c r="AK1045896" s="251"/>
    </row>
    <row r="1046011" spans="25:37" x14ac:dyDescent="0.2">
      <c r="Y1046011" s="5"/>
      <c r="AB1046011" s="5"/>
      <c r="AE1046011" s="5"/>
      <c r="AH1046011" s="5"/>
      <c r="AK1046011" s="5"/>
    </row>
    <row r="1046021" spans="25:37" x14ac:dyDescent="0.2">
      <c r="Y1046021" s="251"/>
      <c r="AB1046021" s="251"/>
      <c r="AE1046021" s="251"/>
      <c r="AH1046021" s="251"/>
      <c r="AK1046021" s="251"/>
    </row>
    <row r="1046136" spans="25:37" x14ac:dyDescent="0.2">
      <c r="Y1046136" s="5"/>
      <c r="AB1046136" s="5"/>
      <c r="AE1046136" s="5"/>
      <c r="AH1046136" s="5"/>
      <c r="AK1046136" s="5"/>
    </row>
    <row r="1046146" spans="25:37" x14ac:dyDescent="0.2">
      <c r="Y1046146" s="251"/>
      <c r="AB1046146" s="251"/>
      <c r="AE1046146" s="251"/>
      <c r="AH1046146" s="251"/>
      <c r="AK1046146" s="251"/>
    </row>
    <row r="1046261" spans="25:37" x14ac:dyDescent="0.2">
      <c r="Y1046261" s="5"/>
      <c r="AB1046261" s="5"/>
      <c r="AE1046261" s="5"/>
      <c r="AH1046261" s="5"/>
      <c r="AK1046261" s="5"/>
    </row>
    <row r="1046271" spans="25:37" x14ac:dyDescent="0.2">
      <c r="Y1046271" s="251"/>
      <c r="AB1046271" s="251"/>
      <c r="AE1046271" s="251"/>
      <c r="AH1046271" s="251"/>
      <c r="AK1046271" s="251"/>
    </row>
    <row r="1046386" spans="25:37" x14ac:dyDescent="0.2">
      <c r="Y1046386" s="5"/>
      <c r="AB1046386" s="5"/>
      <c r="AE1046386" s="5"/>
      <c r="AH1046386" s="5"/>
      <c r="AK1046386" s="5"/>
    </row>
    <row r="1046396" spans="25:37" x14ac:dyDescent="0.2">
      <c r="Y1046396" s="251"/>
      <c r="AB1046396" s="251"/>
      <c r="AE1046396" s="251"/>
      <c r="AH1046396" s="251"/>
      <c r="AK1046396" s="251"/>
    </row>
    <row r="1046511" spans="25:37" x14ac:dyDescent="0.2">
      <c r="Y1046511" s="5"/>
      <c r="AB1046511" s="5"/>
      <c r="AE1046511" s="5"/>
      <c r="AH1046511" s="5"/>
      <c r="AK1046511" s="5"/>
    </row>
    <row r="1046521" spans="25:37" x14ac:dyDescent="0.2">
      <c r="Y1046521" s="251"/>
      <c r="AB1046521" s="251"/>
      <c r="AE1046521" s="251"/>
      <c r="AH1046521" s="251"/>
      <c r="AK1046521" s="251"/>
    </row>
    <row r="1046636" spans="25:37" x14ac:dyDescent="0.2">
      <c r="Y1046636" s="5"/>
      <c r="AB1046636" s="5"/>
      <c r="AE1046636" s="5"/>
      <c r="AH1046636" s="5"/>
      <c r="AK1046636" s="5"/>
    </row>
    <row r="1046646" spans="25:37" x14ac:dyDescent="0.2">
      <c r="Y1046646" s="251"/>
      <c r="AB1046646" s="251"/>
      <c r="AE1046646" s="251"/>
      <c r="AH1046646" s="251"/>
      <c r="AK1046646" s="251"/>
    </row>
    <row r="1046761" spans="25:37" x14ac:dyDescent="0.2">
      <c r="Y1046761" s="5"/>
      <c r="AB1046761" s="5"/>
      <c r="AE1046761" s="5"/>
      <c r="AH1046761" s="5"/>
      <c r="AK1046761" s="5"/>
    </row>
    <row r="1046771" spans="25:37" x14ac:dyDescent="0.2">
      <c r="Y1046771" s="251"/>
      <c r="AB1046771" s="251"/>
      <c r="AE1046771" s="251"/>
      <c r="AH1046771" s="251"/>
      <c r="AK1046771" s="251"/>
    </row>
    <row r="1046886" spans="25:37" x14ac:dyDescent="0.2">
      <c r="Y1046886" s="5"/>
      <c r="AB1046886" s="5"/>
      <c r="AE1046886" s="5"/>
      <c r="AH1046886" s="5"/>
      <c r="AK1046886" s="5"/>
    </row>
    <row r="1046896" spans="25:37" x14ac:dyDescent="0.2">
      <c r="Y1046896" s="251"/>
      <c r="AB1046896" s="251"/>
      <c r="AE1046896" s="251"/>
      <c r="AH1046896" s="251"/>
      <c r="AK1046896" s="251"/>
    </row>
    <row r="1047011" spans="25:37" x14ac:dyDescent="0.2">
      <c r="Y1047011" s="5"/>
      <c r="AB1047011" s="5"/>
      <c r="AE1047011" s="5"/>
      <c r="AH1047011" s="5"/>
      <c r="AK1047011" s="5"/>
    </row>
    <row r="1047021" spans="25:37" x14ac:dyDescent="0.2">
      <c r="Y1047021" s="251"/>
      <c r="AB1047021" s="251"/>
      <c r="AE1047021" s="251"/>
      <c r="AH1047021" s="251"/>
      <c r="AK1047021" s="251"/>
    </row>
    <row r="1047136" spans="25:37" x14ac:dyDescent="0.2">
      <c r="Y1047136" s="5"/>
      <c r="AB1047136" s="5"/>
      <c r="AE1047136" s="5"/>
      <c r="AH1047136" s="5"/>
      <c r="AK1047136" s="5"/>
    </row>
    <row r="1047146" spans="25:37" x14ac:dyDescent="0.2">
      <c r="Y1047146" s="251"/>
      <c r="AB1047146" s="251"/>
      <c r="AE1047146" s="251"/>
      <c r="AH1047146" s="251"/>
      <c r="AK1047146" s="251"/>
    </row>
    <row r="1047261" spans="25:37" x14ac:dyDescent="0.2">
      <c r="Y1047261" s="5"/>
      <c r="AB1047261" s="5"/>
      <c r="AE1047261" s="5"/>
      <c r="AH1047261" s="5"/>
      <c r="AK1047261" s="5"/>
    </row>
    <row r="1047271" spans="25:37" x14ac:dyDescent="0.2">
      <c r="Y1047271" s="251"/>
      <c r="AB1047271" s="251"/>
      <c r="AE1047271" s="251"/>
      <c r="AH1047271" s="251"/>
      <c r="AK1047271" s="251"/>
    </row>
    <row r="1047386" spans="25:37" x14ac:dyDescent="0.2">
      <c r="Y1047386" s="5"/>
      <c r="AB1047386" s="5"/>
      <c r="AE1047386" s="5"/>
      <c r="AH1047386" s="5"/>
      <c r="AK1047386" s="5"/>
    </row>
    <row r="1047396" spans="25:37" x14ac:dyDescent="0.2">
      <c r="Y1047396" s="251"/>
      <c r="AB1047396" s="251"/>
      <c r="AE1047396" s="251"/>
      <c r="AH1047396" s="251"/>
      <c r="AK1047396" s="251"/>
    </row>
    <row r="1047511" spans="25:37" x14ac:dyDescent="0.2">
      <c r="Y1047511" s="5"/>
      <c r="AB1047511" s="5"/>
      <c r="AE1047511" s="5"/>
      <c r="AH1047511" s="5"/>
      <c r="AK1047511" s="5"/>
    </row>
    <row r="1047521" spans="25:37" x14ac:dyDescent="0.2">
      <c r="Y1047521" s="251"/>
      <c r="AB1047521" s="251"/>
      <c r="AE1047521" s="251"/>
      <c r="AH1047521" s="251"/>
      <c r="AK1047521" s="251"/>
    </row>
    <row r="1047636" spans="25:37" x14ac:dyDescent="0.2">
      <c r="Y1047636" s="5"/>
      <c r="AB1047636" s="5"/>
      <c r="AE1047636" s="5"/>
      <c r="AH1047636" s="5"/>
      <c r="AK1047636" s="5"/>
    </row>
    <row r="1047646" spans="25:37" x14ac:dyDescent="0.2">
      <c r="Y1047646" s="251"/>
      <c r="AB1047646" s="251"/>
      <c r="AE1047646" s="251"/>
      <c r="AH1047646" s="251"/>
      <c r="AK1047646" s="251"/>
    </row>
    <row r="1047761" spans="25:37" x14ac:dyDescent="0.2">
      <c r="Y1047761" s="5"/>
      <c r="AB1047761" s="5"/>
      <c r="AE1047761" s="5"/>
      <c r="AH1047761" s="5"/>
      <c r="AK1047761" s="5"/>
    </row>
    <row r="1047771" spans="25:37" x14ac:dyDescent="0.2">
      <c r="Y1047771" s="251"/>
      <c r="AB1047771" s="251"/>
      <c r="AE1047771" s="251"/>
      <c r="AH1047771" s="251"/>
      <c r="AK1047771" s="251"/>
    </row>
    <row r="1047886" spans="25:37" x14ac:dyDescent="0.2">
      <c r="Y1047886" s="5"/>
      <c r="AB1047886" s="5"/>
      <c r="AE1047886" s="5"/>
      <c r="AH1047886" s="5"/>
      <c r="AK1047886" s="5"/>
    </row>
    <row r="1047896" spans="25:37" x14ac:dyDescent="0.2">
      <c r="Y1047896" s="251"/>
      <c r="AB1047896" s="251"/>
      <c r="AE1047896" s="251"/>
      <c r="AH1047896" s="251"/>
      <c r="AK1047896" s="251"/>
    </row>
    <row r="1048011" spans="25:37" x14ac:dyDescent="0.2">
      <c r="Y1048011" s="5"/>
      <c r="AB1048011" s="5"/>
      <c r="AE1048011" s="5"/>
      <c r="AH1048011" s="5"/>
      <c r="AK1048011" s="5"/>
    </row>
    <row r="1048021" spans="25:37" x14ac:dyDescent="0.2">
      <c r="Y1048021" s="251"/>
      <c r="AB1048021" s="251"/>
      <c r="AE1048021" s="251"/>
      <c r="AH1048021" s="251"/>
      <c r="AK1048021" s="251"/>
    </row>
    <row r="1048136" spans="25:37" x14ac:dyDescent="0.2">
      <c r="Y1048136" s="5"/>
      <c r="AB1048136" s="5"/>
      <c r="AE1048136" s="5"/>
      <c r="AH1048136" s="5"/>
      <c r="AK1048136" s="5"/>
    </row>
    <row r="1048146" spans="25:37" x14ac:dyDescent="0.2">
      <c r="Y1048146" s="251"/>
      <c r="AB1048146" s="251"/>
      <c r="AE1048146" s="251"/>
      <c r="AH1048146" s="251"/>
      <c r="AK1048146" s="251"/>
    </row>
    <row r="1048261" spans="25:37" x14ac:dyDescent="0.2">
      <c r="Y1048261" s="5"/>
      <c r="AB1048261" s="5"/>
      <c r="AE1048261" s="5"/>
      <c r="AH1048261" s="5"/>
      <c r="AK1048261" s="5"/>
    </row>
    <row r="1048271" spans="25:37" x14ac:dyDescent="0.2">
      <c r="Y1048271" s="251"/>
      <c r="AB1048271" s="251"/>
      <c r="AE1048271" s="251"/>
      <c r="AH1048271" s="251"/>
      <c r="AK1048271" s="251"/>
    </row>
    <row r="1048386" spans="25:37" x14ac:dyDescent="0.2">
      <c r="Y1048386" s="5"/>
      <c r="AB1048386" s="5"/>
      <c r="AE1048386" s="5"/>
      <c r="AH1048386" s="5"/>
      <c r="AK1048386" s="5"/>
    </row>
    <row r="1048396" spans="25:37" x14ac:dyDescent="0.2">
      <c r="Y1048396" s="251"/>
      <c r="AB1048396" s="251"/>
      <c r="AE1048396" s="251"/>
      <c r="AH1048396" s="251"/>
      <c r="AK1048396" s="251"/>
    </row>
    <row r="1048511" spans="25:37" x14ac:dyDescent="0.2">
      <c r="Y1048511" s="5"/>
      <c r="AB1048511" s="5"/>
      <c r="AE1048511" s="5"/>
      <c r="AH1048511" s="5"/>
      <c r="AK1048511" s="5"/>
    </row>
    <row r="1048521" spans="25:37" x14ac:dyDescent="0.2">
      <c r="Y1048521" s="251"/>
      <c r="AB1048521" s="251"/>
      <c r="AE1048521" s="251"/>
      <c r="AH1048521" s="251"/>
      <c r="AK1048521" s="251"/>
    </row>
  </sheetData>
  <mergeCells count="31">
    <mergeCell ref="O3:P3"/>
    <mergeCell ref="O2:P2"/>
    <mergeCell ref="BB63:BF63"/>
    <mergeCell ref="AY66:AY70"/>
    <mergeCell ref="B11:H11"/>
    <mergeCell ref="BB39:BF39"/>
    <mergeCell ref="AY43:AY47"/>
    <mergeCell ref="BB17:BF17"/>
    <mergeCell ref="BB18:BF18"/>
    <mergeCell ref="BB28:BF28"/>
    <mergeCell ref="AY31:AZ35"/>
    <mergeCell ref="AY20:AZ23"/>
    <mergeCell ref="E29:H29"/>
    <mergeCell ref="E30:H30"/>
    <mergeCell ref="E31:H31"/>
    <mergeCell ref="F47:H47"/>
    <mergeCell ref="F71:H71"/>
    <mergeCell ref="BB54:BF54"/>
    <mergeCell ref="B10:H10"/>
    <mergeCell ref="E34:H34"/>
    <mergeCell ref="E44:H44"/>
    <mergeCell ref="AY57:AY61"/>
    <mergeCell ref="G16:H16"/>
    <mergeCell ref="G17:H17"/>
    <mergeCell ref="B9:H9"/>
    <mergeCell ref="B5:E5"/>
    <mergeCell ref="B1:H1"/>
    <mergeCell ref="B4:H4"/>
    <mergeCell ref="B6:H6"/>
    <mergeCell ref="B7:H7"/>
    <mergeCell ref="B8:H8"/>
  </mergeCells>
  <phoneticPr fontId="13" type="noConversion"/>
  <conditionalFormatting sqref="A42 C42:H42 A50:H53 A87:H87">
    <cfRule type="expression" dxfId="13" priority="20">
      <formula>$C$41=_NEIN</formula>
    </cfRule>
  </conditionalFormatting>
  <conditionalFormatting sqref="A27:H34 A100:H108">
    <cfRule type="expression" dxfId="12" priority="23">
      <formula>$C$26=_NEIN</formula>
    </cfRule>
  </conditionalFormatting>
  <conditionalFormatting sqref="A57:H66">
    <cfRule type="expression" dxfId="11" priority="7">
      <formula>$C$56=_NEIN</formula>
    </cfRule>
  </conditionalFormatting>
  <conditionalFormatting sqref="A129:H131">
    <cfRule type="expression" dxfId="8" priority="9">
      <formula>_Batterie=_NEIN</formula>
    </cfRule>
  </conditionalFormatting>
  <conditionalFormatting sqref="G73">
    <cfRule type="expression" dxfId="7" priority="12">
      <formula>$B$56=_NEIN</formula>
    </cfRule>
  </conditionalFormatting>
  <conditionalFormatting sqref="G83">
    <cfRule type="expression" dxfId="6" priority="11">
      <formula>$B$56=_NEIN</formula>
    </cfRule>
  </conditionalFormatting>
  <conditionalFormatting sqref="AQ27:AQ34 AQ100:AQ108">
    <cfRule type="expression" dxfId="5" priority="5">
      <formula>$C$26=_NEIN</formula>
    </cfRule>
  </conditionalFormatting>
  <conditionalFormatting sqref="AQ42 AQ50:AQ53 AQ87">
    <cfRule type="expression" dxfId="4" priority="4">
      <formula>$C$41=_NEIN</formula>
    </cfRule>
  </conditionalFormatting>
  <conditionalFormatting sqref="AQ57:AQ66">
    <cfRule type="expression" dxfId="3" priority="1">
      <formula>$C$56=_NEIN</formula>
    </cfRule>
  </conditionalFormatting>
  <conditionalFormatting sqref="AQ129:AQ131">
    <cfRule type="expression" dxfId="0" priority="2">
      <formula>_Batterie=_NEIN</formula>
    </cfRule>
  </conditionalFormatting>
  <hyperlinks>
    <hyperlink ref="E76" r:id="rId1" xr:uid="{AA61C3A3-4F9E-4724-9EDD-4BF06A4AF8FB}"/>
  </hyperlinks>
  <pageMargins left="0.7" right="0.7" top="0.75" bottom="0.75" header="0.3" footer="0.3"/>
  <pageSetup paperSize="9" scale="49" fitToHeight="0" orientation="portrait" r:id="rId2"/>
  <headerFooter>
    <oddHeader>&amp;L&amp;"-,Fett"&amp;14Wirtschaftlichkeitsrechner Photovoltaikanlagen&amp;C&amp;G</oddHeader>
    <oddFooter>&amp;Lerstellt für Swissolar von Plan-E AG, Luzernerstrasse 131, 6014 Luzern&amp;R&amp;G</oddFooter>
  </headerFooter>
  <legacyDrawing r:id="rId3"/>
  <legacyDrawingHF r:id="rId4"/>
  <extLst>
    <ext xmlns:x14="http://schemas.microsoft.com/office/spreadsheetml/2009/9/main" uri="{78C0D931-6437-407d-A8EE-F0AAD7539E65}">
      <x14:conditionalFormattings>
        <x14:conditionalFormatting xmlns:xm="http://schemas.microsoft.com/office/excel/2006/main">
          <x14:cfRule type="expression" priority="25" id="{3DF25AA1-859C-4B02-A858-241B1A566FED}">
            <xm:f>$B$111=Listen!$A$5</xm:f>
            <x14:dxf>
              <font>
                <color theme="0" tint="-0.14996795556505021"/>
              </font>
              <fill>
                <patternFill>
                  <bgColor theme="0" tint="-0.14996795556505021"/>
                </patternFill>
              </fill>
            </x14:dxf>
          </x14:cfRule>
          <xm:sqref>A112:H112</xm:sqref>
        </x14:conditionalFormatting>
        <x14:conditionalFormatting xmlns:xm="http://schemas.microsoft.com/office/excel/2006/main">
          <x14:cfRule type="expression" priority="14" id="{11EA58DC-3AA7-4D2D-B120-67CABC59CF3B}">
            <xm:f>$B$111=Listen!$A$4</xm:f>
            <x14:dxf>
              <font>
                <color theme="0" tint="-0.14996795556505021"/>
              </font>
              <fill>
                <patternFill>
                  <bgColor theme="0" tint="-0.14996795556505021"/>
                </patternFill>
              </fill>
            </x14:dxf>
          </x14:cfRule>
          <xm:sqref>A113:H126</xm:sqref>
        </x14:conditionalFormatting>
        <x14:conditionalFormatting xmlns:xm="http://schemas.microsoft.com/office/excel/2006/main">
          <x14:cfRule type="expression" priority="6" id="{BB784BA6-9A1F-064A-B7AF-68F5ADC748F1}">
            <xm:f>$B$111=Listen!$A$5</xm:f>
            <x14:dxf>
              <font>
                <color theme="0" tint="-0.14996795556505021"/>
              </font>
              <fill>
                <patternFill>
                  <bgColor theme="0" tint="-0.14996795556505021"/>
                </patternFill>
              </fill>
            </x14:dxf>
          </x14:cfRule>
          <xm:sqref>AQ112</xm:sqref>
        </x14:conditionalFormatting>
        <x14:conditionalFormatting xmlns:xm="http://schemas.microsoft.com/office/excel/2006/main">
          <x14:cfRule type="expression" priority="3" id="{5E373C0B-9A96-C146-AF78-5171697977DA}">
            <xm:f>$B$111=Listen!$A$4</xm:f>
            <x14:dxf>
              <font>
                <color theme="0" tint="-0.14996795556505021"/>
              </font>
              <fill>
                <patternFill>
                  <bgColor theme="0" tint="-0.14996795556505021"/>
                </patternFill>
              </fill>
            </x14:dxf>
          </x14:cfRule>
          <xm:sqref>AQ113:AQ126</xm:sqref>
        </x14:conditionalFormatting>
      </x14:conditionalFormattings>
    </ext>
    <ext xmlns:x14="http://schemas.microsoft.com/office/spreadsheetml/2009/9/main" uri="{CCE6A557-97BC-4b89-ADB6-D9C93CAAB3DF}">
      <x14:dataValidations xmlns:xm="http://schemas.microsoft.com/office/excel/2006/main" count="7">
        <x14:dataValidation type="list" allowBlank="1" showInputMessage="1" showErrorMessage="1" xr:uid="{DC831E8B-0D66-424B-B54E-5BF16EA3BE15}">
          <x14:formula1>
            <xm:f>Listen!$E$4:$E$5</xm:f>
          </x14:formula1>
          <xm:sqref>B26 B56 O2 B41</xm:sqref>
        </x14:dataValidation>
        <x14:dataValidation type="list" allowBlank="1" showInputMessage="1" showErrorMessage="1" xr:uid="{00000000-0002-0000-0200-000000000000}">
          <x14:formula1>
            <xm:f>Listen!$A$4:$A$5</xm:f>
          </x14:formula1>
          <xm:sqref>B111</xm:sqref>
        </x14:dataValidation>
        <x14:dataValidation type="list" allowBlank="1" showInputMessage="1" showErrorMessage="1" xr:uid="{00000000-0002-0000-0200-000001000000}">
          <x14:formula1>
            <xm:f>Listen!$B$4:$B$5</xm:f>
          </x14:formula1>
          <xm:sqref>B5</xm:sqref>
        </x14:dataValidation>
        <x14:dataValidation type="list" allowBlank="1" showInputMessage="1" showErrorMessage="1" xr:uid="{00000000-0002-0000-0200-000002000000}">
          <x14:formula1>
            <xm:f>Listen!$C$4:$C$9</xm:f>
          </x14:formula1>
          <xm:sqref>B16</xm:sqref>
        </x14:dataValidation>
        <x14:dataValidation type="list" allowBlank="1" showInputMessage="1" showErrorMessage="1" xr:uid="{0946D7AC-8D1A-44E7-86BC-B69F2924BE9C}">
          <x14:formula1>
            <xm:f>Listen!$D$4:$D$9</xm:f>
          </x14:formula1>
          <xm:sqref>B27</xm:sqref>
        </x14:dataValidation>
        <x14:dataValidation type="list" allowBlank="1" showInputMessage="1" showErrorMessage="1" xr:uid="{F5B3C533-937A-4D12-9860-CACF8B18E5B4}">
          <x14:formula1>
            <xm:f>Listen!$F$4:$F$6</xm:f>
          </x14:formula1>
          <xm:sqref>B57</xm:sqref>
        </x14:dataValidation>
        <x14:dataValidation type="list" allowBlank="1" showInputMessage="1" showErrorMessage="1" xr:uid="{3E9F34F5-BE34-4295-9785-8869E01449B2}">
          <x14:formula1>
            <xm:f>Listen!$G$4:$G$11</xm:f>
          </x14:formula1>
          <xm:sqref>O3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pageSetUpPr fitToPage="1"/>
  </sheetPr>
  <dimension ref="A1:CD54"/>
  <sheetViews>
    <sheetView view="pageBreakPreview" zoomScale="120" zoomScaleNormal="85" zoomScaleSheetLayoutView="120" zoomScalePageLayoutView="25" workbookViewId="0">
      <pane xSplit="2" ySplit="6" topLeftCell="C7" activePane="bottomRight" state="frozen"/>
      <selection pane="topRight" activeCell="C1" sqref="C1"/>
      <selection pane="bottomLeft" activeCell="A7" sqref="A7"/>
      <selection pane="bottomRight" activeCell="K53" sqref="K53"/>
    </sheetView>
  </sheetViews>
  <sheetFormatPr baseColWidth="10" defaultRowHeight="15" x14ac:dyDescent="0.2"/>
  <cols>
    <col min="1" max="1" width="3.6640625" customWidth="1"/>
    <col min="2" max="2" width="6" customWidth="1"/>
    <col min="3" max="8" width="13.6640625" customWidth="1"/>
    <col min="9" max="9" width="15.33203125" customWidth="1"/>
    <col min="10" max="10" width="21.6640625" customWidth="1"/>
    <col min="11" max="11" width="15.5" customWidth="1"/>
    <col min="12" max="12" width="23" customWidth="1"/>
    <col min="13" max="13" width="18.5" customWidth="1"/>
    <col min="14" max="14" width="14.6640625" customWidth="1"/>
    <col min="15" max="15" width="18.5" customWidth="1"/>
    <col min="16" max="16" width="15.5" customWidth="1"/>
    <col min="17" max="17" width="14.33203125" customWidth="1"/>
    <col min="18" max="18" width="22.33203125" customWidth="1"/>
    <col min="19" max="19" width="16.33203125" customWidth="1"/>
    <col min="20" max="20" width="22.33203125" customWidth="1"/>
    <col min="21" max="21" width="26" customWidth="1"/>
    <col min="22" max="22" width="22.33203125" customWidth="1"/>
    <col min="23" max="23" width="20.6640625" customWidth="1"/>
    <col min="24" max="24" width="25.33203125" customWidth="1"/>
    <col min="25" max="25" width="25.1640625" customWidth="1"/>
    <col min="26" max="27" width="23.5" customWidth="1"/>
    <col min="28" max="28" width="24.83203125" customWidth="1"/>
    <col min="29" max="30" width="28.33203125" customWidth="1"/>
    <col min="31" max="31" width="29" customWidth="1"/>
    <col min="32" max="36" width="20.6640625" customWidth="1"/>
    <col min="37" max="37" width="34.83203125" customWidth="1"/>
    <col min="38" max="38" width="25.6640625" customWidth="1"/>
    <col min="39" max="46" width="20.6640625" customWidth="1"/>
    <col min="47" max="47" width="29.5" bestFit="1" customWidth="1"/>
    <col min="48" max="49" width="23.33203125" customWidth="1"/>
    <col min="50" max="50" width="25.5" customWidth="1"/>
    <col min="51" max="51" width="17.5" customWidth="1"/>
    <col min="52" max="52" width="16" customWidth="1"/>
    <col min="53" max="53" width="23.5" customWidth="1"/>
    <col min="54" max="54" width="14.5" customWidth="1"/>
    <col min="55" max="56" width="24.33203125" customWidth="1"/>
    <col min="57" max="57" width="16.83203125" customWidth="1"/>
    <col min="58" max="59" width="13" customWidth="1"/>
    <col min="60" max="60" width="25.83203125" customWidth="1"/>
    <col min="61" max="61" width="23.5" customWidth="1"/>
    <col min="62" max="62" width="22.1640625" customWidth="1"/>
    <col min="63" max="63" width="25.83203125" customWidth="1"/>
    <col min="64" max="64" width="20" customWidth="1"/>
    <col min="65" max="65" width="18.5" style="341" customWidth="1"/>
    <col min="66" max="66" width="18.5" customWidth="1"/>
    <col min="67" max="67" width="20.6640625" customWidth="1"/>
    <col min="68" max="68" width="18.5" customWidth="1"/>
    <col min="69" max="69" width="21.33203125" customWidth="1"/>
    <col min="70" max="70" width="23.5" customWidth="1"/>
    <col min="71" max="72" width="18.5" customWidth="1"/>
    <col min="73" max="73" width="20.6640625" customWidth="1"/>
    <col min="74" max="74" width="18.5" customWidth="1"/>
    <col min="75" max="75" width="21.5" customWidth="1"/>
    <col min="76" max="76" width="23.5" customWidth="1"/>
    <col min="77" max="78" width="18.5" customWidth="1"/>
    <col min="79" max="79" width="20.6640625" customWidth="1"/>
    <col min="80" max="80" width="18.5" customWidth="1"/>
    <col min="81" max="81" width="21.5" customWidth="1"/>
    <col min="82" max="82" width="23.5" customWidth="1"/>
  </cols>
  <sheetData>
    <row r="1" spans="1:82" s="2" customFormat="1" ht="22" x14ac:dyDescent="0.3">
      <c r="A1" s="124" t="s">
        <v>75</v>
      </c>
      <c r="C1" s="30" t="s">
        <v>39</v>
      </c>
      <c r="D1" s="30"/>
      <c r="E1" s="30" t="s">
        <v>39</v>
      </c>
      <c r="F1" s="30" t="s">
        <v>39</v>
      </c>
      <c r="G1" s="30" t="s">
        <v>39</v>
      </c>
      <c r="H1" s="30" t="s">
        <v>39</v>
      </c>
      <c r="I1" s="30"/>
      <c r="J1" s="30" t="s">
        <v>39</v>
      </c>
      <c r="L1" s="125" t="s">
        <v>37</v>
      </c>
      <c r="M1" s="80"/>
      <c r="N1" s="80"/>
      <c r="O1" s="125" t="s">
        <v>39</v>
      </c>
      <c r="P1" s="125" t="s">
        <v>39</v>
      </c>
      <c r="Q1" s="80"/>
      <c r="R1" s="125" t="s">
        <v>37</v>
      </c>
      <c r="T1" s="125" t="s">
        <v>39</v>
      </c>
      <c r="V1" s="125" t="s">
        <v>39</v>
      </c>
      <c r="X1" s="125" t="s">
        <v>39</v>
      </c>
      <c r="Z1" s="125" t="s">
        <v>39</v>
      </c>
      <c r="AA1" s="125" t="s">
        <v>39</v>
      </c>
      <c r="AF1" s="30" t="s">
        <v>39</v>
      </c>
      <c r="AG1" s="30" t="s">
        <v>39</v>
      </c>
      <c r="AH1" s="30" t="s">
        <v>39</v>
      </c>
      <c r="AI1" s="30" t="s">
        <v>39</v>
      </c>
      <c r="AJ1" s="30" t="s">
        <v>39</v>
      </c>
      <c r="AK1" s="30" t="s">
        <v>39</v>
      </c>
      <c r="AL1" s="30" t="s">
        <v>39</v>
      </c>
      <c r="AM1" s="30" t="s">
        <v>39</v>
      </c>
      <c r="AN1" s="30" t="s">
        <v>39</v>
      </c>
      <c r="AO1" s="30" t="s">
        <v>39</v>
      </c>
      <c r="AP1" s="30"/>
      <c r="AQ1" s="30" t="s">
        <v>39</v>
      </c>
      <c r="AR1" s="30" t="s">
        <v>39</v>
      </c>
      <c r="AS1" s="30" t="s">
        <v>39</v>
      </c>
      <c r="AT1" s="30" t="s">
        <v>39</v>
      </c>
      <c r="AU1" s="30" t="s">
        <v>39</v>
      </c>
      <c r="AV1" s="30" t="s">
        <v>39</v>
      </c>
      <c r="AW1" s="30" t="s">
        <v>39</v>
      </c>
      <c r="BF1" s="30" t="s">
        <v>39</v>
      </c>
      <c r="BG1" s="30" t="s">
        <v>39</v>
      </c>
      <c r="BM1" s="335"/>
      <c r="BN1" s="30" t="s">
        <v>39</v>
      </c>
      <c r="BO1" s="333"/>
      <c r="BQ1" s="333"/>
      <c r="BR1" s="30" t="s">
        <v>39</v>
      </c>
      <c r="BT1" s="30" t="s">
        <v>39</v>
      </c>
      <c r="BX1" s="30" t="s">
        <v>39</v>
      </c>
      <c r="BZ1" s="30" t="s">
        <v>39</v>
      </c>
      <c r="CD1" s="30" t="s">
        <v>39</v>
      </c>
    </row>
    <row r="2" spans="1:82" s="2" customFormat="1" x14ac:dyDescent="0.2">
      <c r="AF2" s="2" t="str">
        <f>Eingaben!A114</f>
        <v>Kontrollgänge</v>
      </c>
      <c r="AG2" s="2" t="str">
        <f>Eingaben!A115</f>
        <v>Audits / Sicherheitsnachweise</v>
      </c>
      <c r="AH2" s="2" t="str">
        <f>Eingaben!A116</f>
        <v>Überwachung</v>
      </c>
      <c r="AI2" s="2" t="str">
        <f>Eingaben!A117</f>
        <v>Administration</v>
      </c>
      <c r="AJ2" s="2" t="str">
        <f>Eingaben!A118</f>
        <v>Datenverbindung</v>
      </c>
      <c r="AK2" s="2" t="str">
        <f>Eingaben!A53</f>
        <v>Betriebskosten ZEV (Administration und Abrechnung)</v>
      </c>
      <c r="AL2" s="2" t="str">
        <f>Eingaben!A66</f>
        <v>Betriebskosten LEG (Administration und Abrechnung)</v>
      </c>
      <c r="AM2" s="2" t="str">
        <f>Eingaben!A119</f>
        <v>Versicherung</v>
      </c>
      <c r="AN2" s="2" t="str">
        <f>Eingaben!A120</f>
        <v>Reparaturen</v>
      </c>
      <c r="AO2" s="2" t="str">
        <f>Eingaben!A121</f>
        <v>Reinigung Anlage</v>
      </c>
      <c r="AP2" s="2" t="str">
        <f>Eingaben!A122</f>
        <v>Grünbewuchs Pflege</v>
      </c>
      <c r="AQ2" s="2" t="str">
        <f>Eingaben!A123</f>
        <v>Transformator</v>
      </c>
      <c r="AR2" s="2" t="str">
        <f>Eingaben!A124</f>
        <v>Dach- / Raummiete</v>
      </c>
      <c r="AS2" s="2" t="str">
        <f>Eingaben!A125</f>
        <v>Wechselrichteraustausch</v>
      </c>
      <c r="AT2" s="2" t="str">
        <f>Eingaben!A130</f>
        <v>Ersatz Batteriespeicher</v>
      </c>
      <c r="AU2" s="2" t="str">
        <f>Eingaben!A129</f>
        <v>Unterhaltskosten Batteriespeicher</v>
      </c>
      <c r="BM2" s="336"/>
      <c r="BO2" s="333"/>
      <c r="BQ2" s="333"/>
    </row>
    <row r="3" spans="1:82" s="2" customFormat="1" x14ac:dyDescent="0.2">
      <c r="A3" s="3" t="s">
        <v>80</v>
      </c>
      <c r="M3" s="66" t="str">
        <f>IF(_Projektnummer&lt;&gt;"",_Projektnummer,"")</f>
        <v/>
      </c>
      <c r="U3" s="66"/>
      <c r="AF3" s="2">
        <f>VLOOKUP(AF2,Eingaben!$A$114:$H$125,3,FALSE)</f>
        <v>830.68799999999999</v>
      </c>
      <c r="AG3" s="2">
        <f>VLOOKUP(AG2,Eingaben!$A$114:$H$125,3,FALSE)</f>
        <v>0</v>
      </c>
      <c r="AH3" s="2">
        <f>VLOOKUP(AH2,Eingaben!$A$114:$H$125,3,FALSE)</f>
        <v>69</v>
      </c>
      <c r="AI3" s="2">
        <f>VLOOKUP(AI2,Eingaben!$A$114:$H$125,3,FALSE)</f>
        <v>99</v>
      </c>
      <c r="AJ3" s="2">
        <f>VLOOKUP(AJ2,Eingaben!$A$114:$H$125,3,FALSE)</f>
        <v>120</v>
      </c>
      <c r="AK3" s="2">
        <f>VLOOKUP(AK2,Eingaben!$A$53:$H$133,3,FALSE)</f>
        <v>0</v>
      </c>
      <c r="AL3" s="2">
        <f>VLOOKUP(AL2,Eingaben!$A$53:$H$133,3,FALSE)</f>
        <v>0</v>
      </c>
      <c r="AM3" s="2">
        <f>VLOOKUP(AM2,Eingaben!$A$114:$H$125,3,FALSE)</f>
        <v>49.1008</v>
      </c>
      <c r="AN3" s="2">
        <f>VLOOKUP(AN2,Eingaben!$A$114:$H$125,3,FALSE)</f>
        <v>1215.3440000000001</v>
      </c>
      <c r="AO3" s="2">
        <f>VLOOKUP(AO2,Eingaben!$A$114:$H$125,3,FALSE)</f>
        <v>1056.25</v>
      </c>
      <c r="AP3" s="2">
        <f>VLOOKUP(AP2,Eingaben!$A$114:$H$125,3,FALSE)</f>
        <v>0</v>
      </c>
      <c r="AQ3" s="2">
        <f>VLOOKUP(AQ2,Eingaben!$A$114:$H$125,3,FALSE)</f>
        <v>0</v>
      </c>
      <c r="AR3" s="2">
        <f>VLOOKUP(AR2,Eingaben!$A$114:$H$125,3,FALSE)</f>
        <v>0</v>
      </c>
      <c r="AS3" s="2">
        <f>VLOOKUP(AS2,Eingaben!$A$114:$H$125,3,FALSE)</f>
        <v>1175</v>
      </c>
      <c r="AT3" s="2">
        <f>VLOOKUP(AT2,Eingaben!$A$129:$F$130,3,FALSE)</f>
        <v>0</v>
      </c>
      <c r="AU3" s="2">
        <f>VLOOKUP(AU2,Eingaben!$A$129:$F$130,3,FALSE)</f>
        <v>0</v>
      </c>
      <c r="BM3" s="336"/>
      <c r="BO3" s="333"/>
      <c r="BQ3" s="333"/>
    </row>
    <row r="4" spans="1:82" s="2" customFormat="1" x14ac:dyDescent="0.2">
      <c r="A4" s="3" t="s">
        <v>79</v>
      </c>
      <c r="M4" s="2" t="str">
        <f>_Projektbezeichnung&amp;", "&amp;_Standort</f>
        <v xml:space="preserve">, </v>
      </c>
      <c r="AF4" s="2">
        <f>VLOOKUP(AF2,Eingaben!$A$114:$H$125,6,FALSE)</f>
        <v>5</v>
      </c>
      <c r="AG4" s="2">
        <f>VLOOKUP(AG2,Eingaben!$A$114:$H$125,6,FALSE)</f>
        <v>20</v>
      </c>
      <c r="AH4" s="2">
        <f>VLOOKUP(AH2,Eingaben!$A$114:$H$125,6,FALSE)</f>
        <v>1</v>
      </c>
      <c r="AI4" s="2">
        <f>VLOOKUP(AI2,Eingaben!$A$114:$H$125,6,FALSE)</f>
        <v>1</v>
      </c>
      <c r="AJ4" s="2">
        <f>VLOOKUP(AJ2,Eingaben!$A$114:$H$125,6,FALSE)</f>
        <v>1</v>
      </c>
      <c r="AK4" s="2">
        <v>1</v>
      </c>
      <c r="AL4" s="2">
        <v>1</v>
      </c>
      <c r="AM4" s="2">
        <f>VLOOKUP(AM2,Eingaben!$A$114:$H$125,6,FALSE)</f>
        <v>1</v>
      </c>
      <c r="AN4" s="2">
        <f>VLOOKUP(AN2,Eingaben!$A$114:$H$125,6,FALSE)</f>
        <v>8</v>
      </c>
      <c r="AO4" s="2">
        <f>VLOOKUP(AO2,Eingaben!$A$114:$H$125,6,FALSE)</f>
        <v>8</v>
      </c>
      <c r="AP4" s="2">
        <f>VLOOKUP(AP2,Eingaben!$A$114:$H$125,6,FALSE)</f>
        <v>1</v>
      </c>
      <c r="AQ4" s="2">
        <f>VLOOKUP(AQ2,Eingaben!$A$114:$H$125,6,FALSE)</f>
        <v>1</v>
      </c>
      <c r="AR4" s="2">
        <f>VLOOKUP(AR2,Eingaben!$A$114:$H$125,6,FALSE)</f>
        <v>1</v>
      </c>
      <c r="AS4" s="2">
        <f>VLOOKUP(AS2,Eingaben!$A$114:$H$125,6,FALSE)</f>
        <v>16</v>
      </c>
      <c r="AT4" s="2">
        <f>VLOOKUP(AT2,Eingaben!$A$129:$F$130,6,FALSE)</f>
        <v>16</v>
      </c>
      <c r="AU4" s="2">
        <f>VLOOKUP(AU2,Eingaben!$A$129:$F$130,6,FALSE)</f>
        <v>1</v>
      </c>
      <c r="BM4" s="388" t="str">
        <f>_xlfn.TRANSLATE(BM5,"de","en")</f>
        <v>Cost-effectiveness without battery storage</v>
      </c>
      <c r="BN4" s="388"/>
      <c r="BO4" s="388"/>
      <c r="BP4" s="388"/>
      <c r="BQ4" s="388"/>
      <c r="BS4" s="388" t="str">
        <f>_xlfn.TRANSLATE(BS5,"de","en")</f>
        <v>Cost-effectiveness with battery storage</v>
      </c>
      <c r="BT4" s="388"/>
      <c r="BU4" s="388"/>
      <c r="BV4" s="388"/>
      <c r="BW4" s="388"/>
      <c r="BY4" s="388" t="str">
        <f>_xlfn.TRANSLATE(BY5,"de","en")</f>
        <v>Cost-effectiveness only battery storage</v>
      </c>
      <c r="BZ4" s="388"/>
      <c r="CA4" s="388"/>
      <c r="CB4" s="388"/>
      <c r="CC4" s="388"/>
    </row>
    <row r="5" spans="1:82" s="80" customFormat="1" ht="67" customHeight="1" x14ac:dyDescent="0.2">
      <c r="C5" s="80" t="str">
        <f>_xlfn.TRANSLATE(C6,"de","en")</f>
        <v>Year with lifetime</v>
      </c>
      <c r="D5" s="80" t="str">
        <f t="shared" ref="D5:BL5" si="0">_xlfn.TRANSLATE(D6,"de","en")</f>
        <v>Year with battery life</v>
      </c>
      <c r="E5" s="80" t="str">
        <f t="shared" si="0"/>
        <v>Year of battery renewal</v>
      </c>
      <c r="F5" s="80" t="str">
        <f t="shared" si="0"/>
        <v>Year Payment Remuneration</v>
      </c>
      <c r="G5" s="80" t="str">
        <f t="shared" si="0"/>
        <v>Year of debt 1 PVA</v>
      </c>
      <c r="H5" s="80" t="str">
        <f t="shared" si="0"/>
        <v>Year of debt 2 PVA</v>
      </c>
      <c r="I5" s="80" t="str">
        <f t="shared" si="0"/>
        <v>Year of Debt Battery</v>
      </c>
      <c r="J5" s="80" t="str">
        <f t="shared" si="0"/>
        <v>Degradation PV system
[% of new output]</v>
      </c>
      <c r="K5" s="80" t="str">
        <f t="shared" si="0"/>
        <v>Energy yield
[kWh]</v>
      </c>
      <c r="L5" s="80" t="str">
        <f t="shared" si="0"/>
        <v>Battery Degradation
[% of new capacity]</v>
      </c>
      <c r="M5" s="80" t="str">
        <f t="shared" si="0"/>
        <v>Battery
[kWh]</v>
      </c>
      <c r="N5" s="80" t="str">
        <f t="shared" si="0"/>
        <v>Increase EV with battery
[%]</v>
      </c>
      <c r="O5" s="80" t="str">
        <f t="shared" si="0"/>
        <v>Stored Power EV Battery
[kWh]</v>
      </c>
      <c r="P5" s="80" t="str">
        <f t="shared" si="0"/>
        <v>Losses of memory
[kWh]</v>
      </c>
      <c r="Q5" s="80" t="str">
        <f t="shared" si="0"/>
        <v>Energy from storage
[kWh]</v>
      </c>
      <c r="R5" s="80" t="str">
        <f t="shared" si="0"/>
        <v>Return delivery tariff with inflation
[CHF/kWh]</v>
      </c>
      <c r="S5" s="80" t="str">
        <f t="shared" si="0"/>
        <v>Acceptance remuneration
[CHF]</v>
      </c>
      <c r="T5" s="80" t="str">
        <f t="shared" si="0"/>
        <v>LEG tariff with inflation
 [CHF/kWh]</v>
      </c>
      <c r="U5" s="80" t="str">
        <f t="shared" si="0"/>
        <v>Remuneration
Electricity sale LEG incl. billing fee
[CHF]</v>
      </c>
      <c r="V5" s="80" t="str">
        <f t="shared" si="0"/>
        <v>Saved withdrawal with inflation
[CHF/kWh]</v>
      </c>
      <c r="W5" s="80" t="str">
        <f t="shared" si="0"/>
        <v>saved purchase /
Electricity sales ZEV
[CHF]</v>
      </c>
      <c r="X5" s="80" t="str">
        <f t="shared" si="0"/>
        <v>Performance tariff with inflation [CHF/kW/m]</v>
      </c>
      <c r="Y5" s="80" t="str">
        <f t="shared" si="0"/>
        <v>Savings / PV costs ZEV performance
[CHF]</v>
      </c>
      <c r="Z5" s="80" t="str">
        <f t="shared" si="0"/>
        <v>Billing fees ZEV
[CHF/kWh]</v>
      </c>
      <c r="AA5" s="80" t="str">
        <f t="shared" si="0"/>
        <v>Basic costs ZEV
[CHF/month]</v>
      </c>
      <c r="AB5" s="80" t="str">
        <f t="shared" si="0"/>
        <v>Billing fee ZEV with basic costs
[CHF]</v>
      </c>
      <c r="AC5" s="80" t="str">
        <f t="shared" si="0"/>
        <v>saved purchase /
Electricity sale ZEV battery
[CHF]</v>
      </c>
      <c r="AD5" s="80" t="str">
        <f t="shared" si="0"/>
        <v>Savings / PV costs ZEV power battery
[CHF]</v>
      </c>
      <c r="AE5" s="80" t="str">
        <f t="shared" si="0"/>
        <v>Costs of energy for charging battery storage
[CHF]</v>
      </c>
      <c r="AF5" s="80" t="str">
        <f t="shared" si="0"/>
        <v>Maintenance costs according to the maintenance table
[CHF]</v>
      </c>
      <c r="AG5" s="80" t="str">
        <f t="shared" si="0"/>
        <v>Maintenance costs according to the maintenance table
[CHF]</v>
      </c>
      <c r="AH5" s="80" t="str">
        <f t="shared" si="0"/>
        <v>Maintenance costs according to the maintenance table
[CHF]</v>
      </c>
      <c r="AI5" s="80" t="str">
        <f t="shared" si="0"/>
        <v>Maintenance costs according to the maintenance table
[CHF]</v>
      </c>
      <c r="AJ5" s="80" t="str">
        <f t="shared" si="0"/>
        <v>Maintenance costs according to the maintenance table
[CHF]</v>
      </c>
      <c r="AK5" s="80" t="str">
        <f t="shared" si="0"/>
        <v>Maintenance costs according to the maintenance table
[CHF]</v>
      </c>
      <c r="AL5" s="80" t="str">
        <f t="shared" si="0"/>
        <v>Maintenance costs according to the maintenance table
[CHF]</v>
      </c>
      <c r="AM5" s="80" t="str">
        <f t="shared" si="0"/>
        <v>Maintenance costs according to the maintenance table
[CHF]</v>
      </c>
      <c r="AN5" s="80" t="str">
        <f t="shared" si="0"/>
        <v>Maintenance costs according to the maintenance table
[CHF]</v>
      </c>
      <c r="AO5" s="80" t="str">
        <f t="shared" si="0"/>
        <v>Maintenance costs according to the maintenance table
[CHF]</v>
      </c>
      <c r="AP5" s="80" t="str">
        <f t="shared" si="0"/>
        <v>Maintenance costs according to the maintenance table
[CHF]</v>
      </c>
      <c r="AQ5" s="80" t="str">
        <f t="shared" si="0"/>
        <v>Maintenance costs according to the maintenance table
[CHF]</v>
      </c>
      <c r="AR5" s="80" t="str">
        <f t="shared" si="0"/>
        <v>Maintenance costs according to the maintenance table
[CHF]</v>
      </c>
      <c r="AS5" s="80" t="str">
        <f t="shared" si="0"/>
        <v>Maintenance costs according to the maintenance table
[CHF]</v>
      </c>
      <c r="AT5" s="80" t="str">
        <f t="shared" si="0"/>
        <v>Maintenance costs according to the maintenance table
[CHF]</v>
      </c>
      <c r="AU5" s="80" t="str">
        <f t="shared" si="0"/>
        <v>Maintenance costs according to the maintenance table
[CHF]</v>
      </c>
      <c r="AV5" s="80" t="str">
        <f t="shared" si="0"/>
        <v>Maintenance costs according to maintenance table Total
[CHF]</v>
      </c>
      <c r="AW5" s="80" t="str">
        <f t="shared" si="0"/>
        <v>Inflation factor Maintenance costs
[CHF]</v>
      </c>
      <c r="AX5" s="80" t="str">
        <f t="shared" si="0"/>
        <v>Operation and maintenance
Costs PVA
[CHF]</v>
      </c>
      <c r="AY5" s="80" t="str">
        <f t="shared" si="0"/>
        <v>Operating and billing costs ZEV
[CHF]</v>
      </c>
      <c r="AZ5" s="80" t="str">
        <f t="shared" si="0"/>
        <v>Operating and billing costs LEG
[CHF]</v>
      </c>
      <c r="BA5" s="80" t="str">
        <f t="shared" si="0"/>
        <v>Operation and maintenance of battery storage
[CHF]</v>
      </c>
      <c r="BB5" s="80" t="str">
        <f t="shared" si="0"/>
        <v>VAT- 
Sales tax
[CHF]</v>
      </c>
      <c r="BC5" s="80" t="str">
        <f t="shared" si="0"/>
        <v>VAT deduction PVA
Operation and maintenance
[CHF]</v>
      </c>
      <c r="BD5" s="80" t="str">
        <f t="shared" si="0"/>
        <v>VAT deduction battery
Operation and maintenance
[CHF]</v>
      </c>
      <c r="BE5" s="80" t="str">
        <f t="shared" si="0"/>
        <v>Payment
Remuneration
[CHF]</v>
      </c>
      <c r="BF5" s="80" t="str">
        <f t="shared" si="0"/>
        <v>Capital EIV for interest
[CHF]</v>
      </c>
      <c r="BG5" s="80" t="str">
        <f t="shared" si="0"/>
        <v>Interest rate EIV
[CHF]</v>
      </c>
      <c r="BH5" s="80" t="str">
        <f t="shared" si="0"/>
        <v>Cost of equity PVA
(Interest annually)
Annuity [CHF]</v>
      </c>
      <c r="BI5" s="80" t="str">
        <f t="shared" si="0"/>
        <v>Debt 1 PVA 
Annuity [CHF]</v>
      </c>
      <c r="BJ5" s="80" t="str">
        <f t="shared" si="0"/>
        <v>Debt capital 2 PVA
Annuity [CHF]</v>
      </c>
      <c r="BK5" s="80" t="str">
        <f t="shared" si="0"/>
        <v>Equity costs battery
(Interest annually)
Annuity [CHF]</v>
      </c>
      <c r="BL5" s="80" t="str">
        <f t="shared" si="0"/>
        <v>Debt capital 1 battery 
Annuity [CHF]</v>
      </c>
      <c r="BM5" s="387" t="s">
        <v>151</v>
      </c>
      <c r="BN5" s="387"/>
      <c r="BO5" s="387"/>
      <c r="BP5" s="387"/>
      <c r="BQ5" s="387"/>
      <c r="BS5" s="387" t="s">
        <v>154</v>
      </c>
      <c r="BT5" s="387"/>
      <c r="BU5" s="387"/>
      <c r="BV5" s="387"/>
      <c r="BW5" s="387"/>
      <c r="BY5" s="387" t="s">
        <v>182</v>
      </c>
      <c r="BZ5" s="387"/>
      <c r="CA5" s="387"/>
      <c r="CB5" s="387"/>
      <c r="CC5" s="387"/>
    </row>
    <row r="6" spans="1:82" s="3" customFormat="1" ht="60.75" customHeight="1" x14ac:dyDescent="0.2">
      <c r="A6" s="70"/>
      <c r="B6" s="70" t="s">
        <v>28</v>
      </c>
      <c r="C6" s="71" t="s">
        <v>55</v>
      </c>
      <c r="D6" s="71" t="s">
        <v>144</v>
      </c>
      <c r="E6" s="71" t="s">
        <v>290</v>
      </c>
      <c r="F6" s="71" t="s">
        <v>62</v>
      </c>
      <c r="G6" s="71" t="s">
        <v>179</v>
      </c>
      <c r="H6" s="71" t="s">
        <v>180</v>
      </c>
      <c r="I6" s="71" t="s">
        <v>181</v>
      </c>
      <c r="J6" s="136" t="s">
        <v>149</v>
      </c>
      <c r="K6" s="137" t="s">
        <v>31</v>
      </c>
      <c r="L6" s="71" t="s">
        <v>150</v>
      </c>
      <c r="M6" s="71" t="s">
        <v>233</v>
      </c>
      <c r="N6" s="71" t="s">
        <v>145</v>
      </c>
      <c r="O6" s="71" t="s">
        <v>146</v>
      </c>
      <c r="P6" s="71" t="s">
        <v>147</v>
      </c>
      <c r="Q6" s="137" t="s">
        <v>234</v>
      </c>
      <c r="R6" s="72" t="s">
        <v>38</v>
      </c>
      <c r="S6" s="72" t="s">
        <v>323</v>
      </c>
      <c r="T6" s="72" t="s">
        <v>204</v>
      </c>
      <c r="U6" s="72" t="s">
        <v>431</v>
      </c>
      <c r="V6" s="72" t="s">
        <v>40</v>
      </c>
      <c r="W6" s="72" t="s">
        <v>29</v>
      </c>
      <c r="X6" s="72" t="s">
        <v>514</v>
      </c>
      <c r="Y6" s="72" t="s">
        <v>200</v>
      </c>
      <c r="Z6" s="218" t="s">
        <v>206</v>
      </c>
      <c r="AA6" s="218" t="s">
        <v>307</v>
      </c>
      <c r="AB6" s="218" t="s">
        <v>418</v>
      </c>
      <c r="AC6" s="128" t="s">
        <v>152</v>
      </c>
      <c r="AD6" s="128" t="s">
        <v>153</v>
      </c>
      <c r="AE6" s="153" t="s">
        <v>205</v>
      </c>
      <c r="AF6" s="71" t="s">
        <v>60</v>
      </c>
      <c r="AG6" s="71" t="s">
        <v>60</v>
      </c>
      <c r="AH6" s="71" t="s">
        <v>60</v>
      </c>
      <c r="AI6" s="71" t="s">
        <v>60</v>
      </c>
      <c r="AJ6" s="71" t="s">
        <v>60</v>
      </c>
      <c r="AK6" s="71" t="s">
        <v>60</v>
      </c>
      <c r="AL6" s="71" t="s">
        <v>60</v>
      </c>
      <c r="AM6" s="71" t="s">
        <v>60</v>
      </c>
      <c r="AN6" s="71" t="s">
        <v>60</v>
      </c>
      <c r="AO6" s="71" t="s">
        <v>60</v>
      </c>
      <c r="AP6" s="71" t="s">
        <v>60</v>
      </c>
      <c r="AQ6" s="71" t="s">
        <v>60</v>
      </c>
      <c r="AR6" s="71" t="s">
        <v>60</v>
      </c>
      <c r="AS6" s="71" t="s">
        <v>60</v>
      </c>
      <c r="AT6" s="71" t="s">
        <v>60</v>
      </c>
      <c r="AU6" s="71" t="s">
        <v>60</v>
      </c>
      <c r="AV6" s="71" t="s">
        <v>61</v>
      </c>
      <c r="AW6" s="71" t="s">
        <v>116</v>
      </c>
      <c r="AX6" s="174" t="s">
        <v>223</v>
      </c>
      <c r="AY6" s="174" t="s">
        <v>314</v>
      </c>
      <c r="AZ6" s="174" t="s">
        <v>315</v>
      </c>
      <c r="BA6" s="73" t="s">
        <v>403</v>
      </c>
      <c r="BB6" s="179" t="s">
        <v>63</v>
      </c>
      <c r="BC6" s="179" t="s">
        <v>224</v>
      </c>
      <c r="BD6" s="74" t="s">
        <v>225</v>
      </c>
      <c r="BE6" s="75" t="s">
        <v>30</v>
      </c>
      <c r="BF6" s="71" t="s">
        <v>108</v>
      </c>
      <c r="BG6" s="71" t="s">
        <v>107</v>
      </c>
      <c r="BH6" s="76" t="s">
        <v>174</v>
      </c>
      <c r="BI6" s="76" t="s">
        <v>175</v>
      </c>
      <c r="BJ6" s="77" t="s">
        <v>176</v>
      </c>
      <c r="BK6" s="153" t="s">
        <v>177</v>
      </c>
      <c r="BL6" s="153" t="s">
        <v>178</v>
      </c>
      <c r="BM6" s="337" t="s">
        <v>102</v>
      </c>
      <c r="BN6" s="78" t="s">
        <v>112</v>
      </c>
      <c r="BO6" s="334" t="s">
        <v>103</v>
      </c>
      <c r="BP6" s="78" t="s">
        <v>104</v>
      </c>
      <c r="BQ6" s="334" t="s">
        <v>105</v>
      </c>
      <c r="BR6" s="164" t="s">
        <v>191</v>
      </c>
      <c r="BS6" s="78" t="s">
        <v>102</v>
      </c>
      <c r="BT6" s="78" t="s">
        <v>112</v>
      </c>
      <c r="BU6" s="79" t="s">
        <v>103</v>
      </c>
      <c r="BV6" s="78" t="s">
        <v>104</v>
      </c>
      <c r="BW6" s="79" t="s">
        <v>105</v>
      </c>
      <c r="BX6" s="164" t="s">
        <v>192</v>
      </c>
      <c r="BY6" s="78" t="s">
        <v>102</v>
      </c>
      <c r="BZ6" s="78" t="s">
        <v>112</v>
      </c>
      <c r="CA6" s="79" t="s">
        <v>103</v>
      </c>
      <c r="CB6" s="78" t="s">
        <v>104</v>
      </c>
      <c r="CC6" s="79" t="s">
        <v>105</v>
      </c>
      <c r="CD6" s="164" t="s">
        <v>193</v>
      </c>
    </row>
    <row r="7" spans="1:82" x14ac:dyDescent="0.2">
      <c r="A7" s="2"/>
      <c r="B7" s="2">
        <v>0</v>
      </c>
      <c r="C7" s="2"/>
      <c r="D7" s="2"/>
      <c r="E7" s="2"/>
      <c r="F7" s="2"/>
      <c r="G7" s="2"/>
      <c r="H7" s="2"/>
      <c r="I7" s="36"/>
      <c r="J7" s="135"/>
      <c r="K7" s="159"/>
      <c r="L7" s="138"/>
      <c r="M7" s="217">
        <f>_Speicherkapazität</f>
        <v>0</v>
      </c>
      <c r="N7" s="140"/>
      <c r="O7" s="140"/>
      <c r="P7" s="140"/>
      <c r="Q7" s="141"/>
      <c r="R7" s="82">
        <f>_Rückliefertarif</f>
        <v>0.08</v>
      </c>
      <c r="S7" s="81"/>
      <c r="T7" s="342">
        <f>IF(_LEG="JA",_Tarif_LEG,0)</f>
        <v>9.6666666666666665E-2</v>
      </c>
      <c r="U7" s="81"/>
      <c r="V7" s="82">
        <f>_ersetzterBezugstarifZEV</f>
        <v>0.23199999999999998</v>
      </c>
      <c r="W7" s="81"/>
      <c r="X7" s="131">
        <f>_Leistungskosten_ZEV</f>
        <v>1.5</v>
      </c>
      <c r="Y7" s="81"/>
      <c r="Z7" s="219">
        <f>IF(_ZEV="JA",_Tarif_Abrechnung_ZEV,0)</f>
        <v>0</v>
      </c>
      <c r="AA7" s="219">
        <f>IF(_ZEV="JA",_Grundkosten_Abrechnung_ZEV,0)</f>
        <v>8</v>
      </c>
      <c r="AB7" s="220"/>
      <c r="AC7" s="147"/>
      <c r="AD7" s="147"/>
      <c r="AE7" s="154"/>
      <c r="AF7" s="80"/>
      <c r="AG7" s="80"/>
      <c r="AH7" s="80"/>
      <c r="AI7" s="80"/>
      <c r="AJ7" s="80"/>
      <c r="AK7" s="80"/>
      <c r="AL7" s="80"/>
      <c r="AM7" s="80"/>
      <c r="AN7" s="80"/>
      <c r="AO7" s="80"/>
      <c r="AP7" s="80"/>
      <c r="AQ7" s="80"/>
      <c r="AR7" s="80"/>
      <c r="AS7" s="80"/>
      <c r="AT7" s="80"/>
      <c r="AU7" s="80"/>
      <c r="AV7" s="80"/>
      <c r="AW7" s="80"/>
      <c r="AX7" s="175"/>
      <c r="AY7" s="175"/>
      <c r="AZ7" s="175"/>
      <c r="BA7" s="83"/>
      <c r="BB7" s="180"/>
      <c r="BC7" s="180"/>
      <c r="BD7" s="84"/>
      <c r="BE7" s="85"/>
      <c r="BF7" s="80"/>
      <c r="BG7" s="86"/>
      <c r="BH7" s="87"/>
      <c r="BI7" s="87"/>
      <c r="BJ7" s="88"/>
      <c r="BK7" s="154"/>
      <c r="BL7" s="154"/>
      <c r="BM7" s="338">
        <f>-1*(_relevante_Investitionskosten-_direkteFörderung-_Steuereinsparung-_Fremdkapital1-_Fremdkapital2)</f>
        <v>-15344</v>
      </c>
      <c r="BN7" s="16">
        <f>-1*(_relevante_Investitionskosten-_direkteFörderung-_Steuereinsparung)</f>
        <v>-15344</v>
      </c>
      <c r="BO7" s="89"/>
      <c r="BP7" s="16">
        <f>BM7</f>
        <v>-15344</v>
      </c>
      <c r="BQ7" s="89"/>
      <c r="BR7" s="2"/>
      <c r="BS7" s="16">
        <f>-1*(_relevante_Investitionskosten+_relevante_Investitionskosten_Batterie-_direkteFörderung-_Steuereinsparung-_Förderung_Batterie-_Fremdkapital1-_Fremdkapital2-_Fremdkapital_Batterie)</f>
        <v>-15344</v>
      </c>
      <c r="BT7" s="16">
        <f>-1*(_relevante_Investitionskosten+_relevante_Investitionskosten_Batterie-_direkteFörderung-_Förderung_Batterie-_Steuereinsparung)</f>
        <v>-15344</v>
      </c>
      <c r="BU7" s="89"/>
      <c r="BV7" s="16">
        <f>BS7</f>
        <v>-15344</v>
      </c>
      <c r="BW7" s="89"/>
      <c r="BX7" s="2"/>
      <c r="BY7" s="16">
        <f>-1*(_relevante_Investitionskosten_Batterie-_Förderung_Batterie-_Fremdkapital_Batterie)</f>
        <v>0</v>
      </c>
      <c r="BZ7" s="16">
        <f>-1*(_relevante_Investitionskosten_Batterie-_Förderung_Batterie)</f>
        <v>0</v>
      </c>
      <c r="CA7" s="89"/>
      <c r="CB7" s="16">
        <f>BY7</f>
        <v>0</v>
      </c>
      <c r="CC7" s="89"/>
      <c r="CD7" s="2"/>
    </row>
    <row r="8" spans="1:82" x14ac:dyDescent="0.2">
      <c r="A8" s="2"/>
      <c r="B8" s="2">
        <v>1</v>
      </c>
      <c r="C8" s="2" t="b">
        <f t="shared" ref="C8:C52" si="1">IF(B8&lt;=_Anlagenlebensdauer,TRUE,FALSE)</f>
        <v>1</v>
      </c>
      <c r="D8" s="2" t="b">
        <f t="shared" ref="D8:D52" si="2">IF(AND(_Batterie=_JA,B8&lt;=_Lebensdauer_Speicher),TRUE,FALSE)</f>
        <v>0</v>
      </c>
      <c r="E8" s="2" t="b">
        <f t="shared" ref="E8:E52" si="3">IF(AND(_Batterie=_JA,_Kosten_Ersatz_Speicher&gt;0),IF(AND(B8&lt;=_Jahr_Ersatz_Speicher-1+_Lebensdauer_Speicher,C8),TRUE,FALSE),IF(AND(_Batterie=_JA,B8&lt;=_Lebensdauer_Speicher,C8),TRUE,FALSE))</f>
        <v>0</v>
      </c>
      <c r="F8" s="2" t="b">
        <f t="shared" ref="F8:F52" si="4">IF(B8=_ZahlungsfristEIVFB,TRUE,FALSE)</f>
        <v>1</v>
      </c>
      <c r="G8" s="2" t="b">
        <f t="shared" ref="G8:G52" si="5">IF(B8&lt;=_Laufzeit_Fremdkapital1,TRUE,FALSE)</f>
        <v>0</v>
      </c>
      <c r="H8" s="2" t="b">
        <f t="shared" ref="H8:H52" si="6">IF(B8&lt;=_Laufzeit_Fremdkapital2,TRUE,FALSE)</f>
        <v>0</v>
      </c>
      <c r="I8" s="36" t="b">
        <f t="shared" ref="I8:I52" si="7">IF(B8&lt;=_Laufzeit_Fremdkapital_Batterie,TRUE,FALSE)</f>
        <v>0</v>
      </c>
      <c r="J8" s="135">
        <f>(1-((B8-1)*_Degradation)/100)</f>
        <v>1</v>
      </c>
      <c r="K8" s="160">
        <f t="shared" ref="K8:K52" si="8">IF(C8,_Anlagenleistung*J8*_spez_Jahresenergieertrag,"")</f>
        <v>4500</v>
      </c>
      <c r="L8" s="138">
        <v>1</v>
      </c>
      <c r="M8" s="217" t="str">
        <f t="shared" ref="M8:M52" si="9">IF(E8,_Speicherkapazität*L8,"")</f>
        <v/>
      </c>
      <c r="N8" s="140" t="str">
        <f>IF(E8,_Erhöhung_Eigennutzungsgrad_Speicher,"")</f>
        <v/>
      </c>
      <c r="O8" s="139" t="str">
        <f t="shared" ref="O8:O52" si="10">IF(E8,N8/100*K8,"")</f>
        <v/>
      </c>
      <c r="P8" s="139" t="str">
        <f t="shared" ref="P8:P52" si="11">IF(E8,(O8)*(1-_Speicher_Wirkungsgrad/100),"")</f>
        <v/>
      </c>
      <c r="Q8" s="142" t="str">
        <f t="shared" ref="Q8:Q52" si="12">IF(E8,O8-P8,"")</f>
        <v/>
      </c>
      <c r="R8" s="82">
        <f>IF(C8,R7,"")</f>
        <v>0.08</v>
      </c>
      <c r="S8" s="90">
        <f>IF(C8,K8*(1-_Eigennutzungsgrad/100-_Anteil_LEG/100)*R8,"")</f>
        <v>-3.9968028886505635E-14</v>
      </c>
      <c r="T8" s="342">
        <f>IF(C8,T7,"")</f>
        <v>9.6666666666666665E-2</v>
      </c>
      <c r="U8" s="90">
        <f t="shared" ref="U8:U52" si="13">IF(C8,K8*(_Anteil_LEG/100)*T8,"")</f>
        <v>290.27365686134249</v>
      </c>
      <c r="V8" s="82">
        <f>IF(C8,V7,"")</f>
        <v>0.23199999999999998</v>
      </c>
      <c r="W8" s="90">
        <f t="shared" ref="W8:W52" si="14">IF(C8,K8*(_Eigennutzungsgrad/100)*V8,"")</f>
        <v>347.34322353277798</v>
      </c>
      <c r="X8" s="132">
        <f>IF(C8,X7,"")</f>
        <v>1.5</v>
      </c>
      <c r="Y8" s="90">
        <f>IF(C8,_Summe_Leistungsspitzen*_Reduktion_Leistungsspitzen/100*J8*X8,"")</f>
        <v>0</v>
      </c>
      <c r="Z8" s="219">
        <f>IF(C8,Z7,"")</f>
        <v>0</v>
      </c>
      <c r="AA8" s="219">
        <f>IF(C8,AA7,"")</f>
        <v>8</v>
      </c>
      <c r="AB8" s="221">
        <f>IF(C8,K8*(_Eigennutzungsgrad/100)*Z8+AA8*_Anzahl_Verbraucher*12,"")</f>
        <v>0</v>
      </c>
      <c r="AC8" s="148">
        <f t="shared" ref="AC8:AC52" si="15">IF(E8,Q8*V8,IF(C8,0,""))</f>
        <v>0</v>
      </c>
      <c r="AD8" s="148">
        <f t="shared" ref="AD8:AD42" si="16">IF(E8,_Summe_Leistungsspitzen*_Reduktion_Leistungsspitzen_Batterie/100*L8*X8,IF(C8,0,""))</f>
        <v>0</v>
      </c>
      <c r="AE8" s="155">
        <f t="shared" ref="AE8:AE52" si="17">IF(E8,-O8*R8,IF(C8,0,""))</f>
        <v>0</v>
      </c>
      <c r="AF8" s="86">
        <f t="shared" ref="AF8:AU23" si="18">IF(INT($B8/AF$4)=$B8/AF$4,AF$3,0)</f>
        <v>0</v>
      </c>
      <c r="AG8" s="86">
        <f t="shared" si="18"/>
        <v>0</v>
      </c>
      <c r="AH8" s="86">
        <f t="shared" si="18"/>
        <v>69</v>
      </c>
      <c r="AI8" s="86">
        <f t="shared" si="18"/>
        <v>99</v>
      </c>
      <c r="AJ8" s="86">
        <f t="shared" si="18"/>
        <v>120</v>
      </c>
      <c r="AK8" s="86">
        <f t="shared" si="18"/>
        <v>0</v>
      </c>
      <c r="AL8" s="86">
        <f t="shared" si="18"/>
        <v>0</v>
      </c>
      <c r="AM8" s="86">
        <f t="shared" si="18"/>
        <v>49.1008</v>
      </c>
      <c r="AN8" s="86">
        <f t="shared" si="18"/>
        <v>0</v>
      </c>
      <c r="AO8" s="86">
        <f t="shared" si="18"/>
        <v>0</v>
      </c>
      <c r="AP8" s="86">
        <f t="shared" si="18"/>
        <v>0</v>
      </c>
      <c r="AQ8" s="86">
        <f t="shared" si="18"/>
        <v>0</v>
      </c>
      <c r="AR8" s="86">
        <f t="shared" si="18"/>
        <v>0</v>
      </c>
      <c r="AS8" s="86">
        <f t="shared" si="18"/>
        <v>0</v>
      </c>
      <c r="AT8" s="86">
        <f t="shared" si="18"/>
        <v>0</v>
      </c>
      <c r="AU8" s="86">
        <f t="shared" si="18"/>
        <v>0</v>
      </c>
      <c r="AV8" s="86">
        <f>SUM(AF8:AJ8,AM8:AS8)</f>
        <v>337.10079999999999</v>
      </c>
      <c r="AW8" s="91">
        <v>1</v>
      </c>
      <c r="AX8" s="176">
        <f t="shared" ref="AX8:AX52" si="19">IF(C8,(-IF(_Berechnungsart_Unterhaltskosten=_Unterhalt_Preis_pro_kWh,K8*_spez_Unterhaltskosten,AV8))*AW8,"")</f>
        <v>-337.10079999999999</v>
      </c>
      <c r="AY8" s="176">
        <f>IF(C8,(-AK8)*AW8,"")</f>
        <v>0</v>
      </c>
      <c r="AZ8" s="176">
        <f>IF(C8,(-AL8)*AW8,"")</f>
        <v>0</v>
      </c>
      <c r="BA8" s="92">
        <f>IF(E8,-(AT8+AU8)*AW8,IF((C8),0,""))</f>
        <v>0</v>
      </c>
      <c r="BB8" s="181">
        <f t="shared" ref="BB8:BB52" si="20">IF(C8,-IF(_MWStPflicht=_MWStpflichtig,(S8)*_MWStSatz/100,0),"")</f>
        <v>3.2374103398069565E-15</v>
      </c>
      <c r="BC8" s="181">
        <f t="shared" ref="BC8:BC52" si="21">IF(C8,-IF(_MWStPflicht=_MWStpflichtig,(AX8)*_MWStSatz/100,0),"")</f>
        <v>27.305164799999996</v>
      </c>
      <c r="BD8" s="93">
        <f t="shared" ref="BD8:BD52" si="22">IF(E8,-IF(_MWStPflicht=_MWStpflichtig,(BA8)*_MWStSatz/100,0),IF(C8,0,""))</f>
        <v>0</v>
      </c>
      <c r="BE8" s="85">
        <f t="shared" ref="BE8:BE52" si="23">IF(C8,IF(F8,_Einmalvergütung+_Fassadenbonus+_Höhenbonus+_Fassadenbonus,0),"")</f>
        <v>0</v>
      </c>
      <c r="BF8" s="86">
        <f>_Einmalvergütung+_Fassadenbonus</f>
        <v>0</v>
      </c>
      <c r="BG8" s="94">
        <f t="shared" ref="BG8:BG52" si="24">IF(C8,PMT(_Zins_Eigenkapital/100,_ZahlungsfristEIVFB,BF8)+BF8/_ZahlungsfristEIVFB,"")</f>
        <v>0</v>
      </c>
      <c r="BH8" s="95">
        <f>IF(C8,PMT(_Zins_Eigenkapital/100,_Anlagenlebensdauer,_Eigenkapital)+BG8,"")</f>
        <v>-511.46666666666664</v>
      </c>
      <c r="BI8" s="95">
        <f t="shared" ref="BI8:BI52" si="25">IF(C8,IF(G8,PMT(_Zins_Fremdkapital1/100,_Laufzeit_Fremdkapital1,_Fremdkapital1),0),"")</f>
        <v>0</v>
      </c>
      <c r="BJ8" s="96">
        <f t="shared" ref="BJ8:BJ52" si="26">IF(C8,IF(H8,PMT(_Zins_Fremdkapital2/100,_Laufzeit_Fremdkapital2,_Fremdkapital2),0),"")</f>
        <v>0</v>
      </c>
      <c r="BK8" s="155">
        <f t="shared" ref="BK8:BK52" si="27">IF(D8,PMT(_Zins_Eigenkapital_Batterie/100,_Lebensdauer_Speicher,_Eigenkapital_Batterie)+BJ8,IF(C8,0,""))</f>
        <v>0</v>
      </c>
      <c r="BL8" s="155">
        <f t="shared" ref="BL8:BL52" si="28">IF(D8,IF(I8,PMT(_Zins_Fremdkapital_Batterie/100,_Laufzeit_Fremdkapital_Batterie,_Fremdkapital_Batterie),0),IF(C8,0,""))</f>
        <v>0</v>
      </c>
      <c r="BM8" s="338">
        <f>IF(C8,S8+U8+W8+AB8+Y8+AX8+AY8+AZ8+BB8+BC8+BE8+BI8+BJ8,"")</f>
        <v>327.82124519412048</v>
      </c>
      <c r="BN8" s="16">
        <f t="shared" ref="BN8:BN52" si="29">IF($C8,BM8-BI8-BJ8,"")</f>
        <v>327.82124519412048</v>
      </c>
      <c r="BO8" s="97">
        <f>IF($C8,IF($C8,BM7+BM8,0),"")</f>
        <v>-15016.17875480588</v>
      </c>
      <c r="BP8" s="16">
        <f t="shared" ref="BP8:BP52" si="30">IF(C8,BM8*(1+_Zins_Eigenkapital/100)^-B8,"")</f>
        <v>327.82124519412048</v>
      </c>
      <c r="BQ8" s="97">
        <f>IF($C8,BP7+BP8,"")</f>
        <v>-15016.17875480588</v>
      </c>
      <c r="BR8" s="2" t="str">
        <f t="shared" ref="BR8:BR52" si="31">IF($C8,IF(AND(BQ7&lt;0,BQ8&gt;=0),B8,""),"")</f>
        <v/>
      </c>
      <c r="BS8" s="16">
        <f>IF(C8,BM8+BA8+AC8+AD8+AE8+BD8+BL8,"")</f>
        <v>327.82124519412048</v>
      </c>
      <c r="BT8" s="16">
        <f t="shared" ref="BT8:BT37" si="32">IF($C8,BS8-BI8-BJ8-BL8,"")</f>
        <v>327.82124519412048</v>
      </c>
      <c r="BU8" s="97">
        <f t="shared" ref="BU8:BU52" si="33">IF($C8,IF($C8,BS7+BS8,0),"")</f>
        <v>-15016.17875480588</v>
      </c>
      <c r="BV8" s="16">
        <f t="shared" ref="BV8:BV52" si="34">IF(C8,BS8*(1+_Zins_Eigenkapital/100)^-B8,"")</f>
        <v>327.82124519412048</v>
      </c>
      <c r="BW8" s="97">
        <f>IF($C8,BV7+BV8,"")</f>
        <v>-15016.17875480588</v>
      </c>
      <c r="BX8" s="2" t="str">
        <f t="shared" ref="BX8:BX52" si="35">IF($C8,IF(AND(BW7&lt;0,BW8&gt;=0),B8,""),"")</f>
        <v/>
      </c>
      <c r="BY8" s="16" t="str">
        <f>IF(E8,AC8+AD8+BL8+BA8+BD8+AE8,"")</f>
        <v/>
      </c>
      <c r="BZ8" s="16" t="str">
        <f t="shared" ref="BZ8:BZ52" si="36">IF(E8,BY8-BL8,"")</f>
        <v/>
      </c>
      <c r="CA8" s="97" t="str">
        <f>IF($E8,IF($C8,BY7+BY8,0),"")</f>
        <v/>
      </c>
      <c r="CB8" s="16" t="str">
        <f t="shared" ref="CB8:CB52" si="37">IF(E8,BY8*(1+_Zins_Eigenkapital/100)^-I8,"")</f>
        <v/>
      </c>
      <c r="CC8" s="97" t="str">
        <f>IF($E8,CB7+CB8,"")</f>
        <v/>
      </c>
      <c r="CD8" s="2" t="str">
        <f t="shared" ref="CD8:CD52" si="38">IF($E8,IF(AND(CC7&lt;0,CC8&gt;=0),B8,""),"")</f>
        <v/>
      </c>
    </row>
    <row r="9" spans="1:82" x14ac:dyDescent="0.2">
      <c r="A9" s="2"/>
      <c r="B9" s="2">
        <f>B8+1</f>
        <v>2</v>
      </c>
      <c r="C9" s="2" t="b">
        <f t="shared" si="1"/>
        <v>1</v>
      </c>
      <c r="D9" s="2" t="b">
        <f t="shared" si="2"/>
        <v>0</v>
      </c>
      <c r="E9" s="2" t="b">
        <f t="shared" si="3"/>
        <v>0</v>
      </c>
      <c r="F9" s="2" t="b">
        <f t="shared" si="4"/>
        <v>0</v>
      </c>
      <c r="G9" s="2" t="b">
        <f t="shared" si="5"/>
        <v>0</v>
      </c>
      <c r="H9" s="2" t="b">
        <f t="shared" si="6"/>
        <v>0</v>
      </c>
      <c r="I9" s="36" t="b">
        <f t="shared" si="7"/>
        <v>0</v>
      </c>
      <c r="J9" s="135">
        <f t="shared" ref="J9:J52" si="39">(1-((B9-1)*_Degradation)/100)</f>
        <v>0.996</v>
      </c>
      <c r="K9" s="160">
        <f t="shared" si="8"/>
        <v>4482</v>
      </c>
      <c r="L9" s="138">
        <f t="shared" ref="L9:L52" si="40">IF(B9=_Jahr_Ersatz_Speicher,1,IF((L8-_Degradation_Speicher_Jahr/100)&lt;0,0,L8-_Degradation_Speicher_Jahr/100))</f>
        <v>0.98666666666666669</v>
      </c>
      <c r="M9" s="217" t="str">
        <f t="shared" si="9"/>
        <v/>
      </c>
      <c r="N9" s="140" t="str">
        <f t="shared" ref="N9:N52" si="41">IF(E9,_Erhöhung_Eigennutzungsgrad_Speicher*L9,"")</f>
        <v/>
      </c>
      <c r="O9" s="139" t="str">
        <f t="shared" si="10"/>
        <v/>
      </c>
      <c r="P9" s="139" t="str">
        <f t="shared" si="11"/>
        <v/>
      </c>
      <c r="Q9" s="142" t="str">
        <f t="shared" si="12"/>
        <v/>
      </c>
      <c r="R9" s="82">
        <f t="shared" ref="R9:R52" si="42">IF(C9,R8*(1+_Teuerungsrate/100),"")</f>
        <v>8.0399999999999999E-2</v>
      </c>
      <c r="S9" s="90">
        <f t="shared" ref="S9:S52" si="43">IF(C9,K9*(1-_Eigennutzungsgrad/100-_Anteil_LEG/100)*R9,"")</f>
        <v>-4.0007197554814411E-14</v>
      </c>
      <c r="T9" s="342">
        <f t="shared" ref="T9:T52" si="44">IF(C9,T8*(1+_Teuerungsrate/100),"")</f>
        <v>9.7149999999999986E-2</v>
      </c>
      <c r="U9" s="90">
        <f t="shared" si="13"/>
        <v>290.55812504506656</v>
      </c>
      <c r="V9" s="82">
        <f t="shared" ref="V9:V52" si="45">IF(C9,V8*(1+_Teuerungsrate/100),"")</f>
        <v>0.23315999999999995</v>
      </c>
      <c r="W9" s="90">
        <f t="shared" si="14"/>
        <v>347.68361989184001</v>
      </c>
      <c r="X9" s="132">
        <f t="shared" ref="X9:X52" si="46">IF(C9,X8*(1+_Teuerungsrate/100),"")</f>
        <v>1.5074999999999998</v>
      </c>
      <c r="Y9" s="90">
        <f t="shared" ref="Y9:Y52" si="47">IF(C9,_Summe_Leistungsspitzen*_Reduktion_Leistungsspitzen/100*J9*X9,"")</f>
        <v>0</v>
      </c>
      <c r="Z9" s="219">
        <f t="shared" ref="Z9:Z52" si="48">IF(C9,Z8*(1+_Teuerungsrate/100),"")</f>
        <v>0</v>
      </c>
      <c r="AA9" s="219">
        <f t="shared" ref="AA9:AA52" si="49">IF(C9,AA8*(1+_Teuerungsrate/100),"")</f>
        <v>8.0399999999999991</v>
      </c>
      <c r="AB9" s="221">
        <f t="shared" ref="AB9:AB52" si="50">IF(C9,K9*(_Eigennutzungsgrad/100)*Z9+AA9*_Anzahl_Verbraucher*12,"")</f>
        <v>0</v>
      </c>
      <c r="AC9" s="148">
        <f t="shared" si="15"/>
        <v>0</v>
      </c>
      <c r="AD9" s="148">
        <f t="shared" si="16"/>
        <v>0</v>
      </c>
      <c r="AE9" s="155">
        <f t="shared" si="17"/>
        <v>0</v>
      </c>
      <c r="AF9" s="86">
        <f t="shared" si="18"/>
        <v>0</v>
      </c>
      <c r="AG9" s="86">
        <f t="shared" si="18"/>
        <v>0</v>
      </c>
      <c r="AH9" s="86">
        <f t="shared" si="18"/>
        <v>69</v>
      </c>
      <c r="AI9" s="86">
        <f t="shared" si="18"/>
        <v>99</v>
      </c>
      <c r="AJ9" s="86">
        <f t="shared" si="18"/>
        <v>120</v>
      </c>
      <c r="AK9" s="86">
        <f t="shared" si="18"/>
        <v>0</v>
      </c>
      <c r="AL9" s="86">
        <f t="shared" si="18"/>
        <v>0</v>
      </c>
      <c r="AM9" s="86">
        <f t="shared" si="18"/>
        <v>49.1008</v>
      </c>
      <c r="AN9" s="86">
        <f t="shared" si="18"/>
        <v>0</v>
      </c>
      <c r="AO9" s="86">
        <f t="shared" si="18"/>
        <v>0</v>
      </c>
      <c r="AP9" s="86">
        <f t="shared" si="18"/>
        <v>0</v>
      </c>
      <c r="AQ9" s="86">
        <f t="shared" si="18"/>
        <v>0</v>
      </c>
      <c r="AR9" s="86">
        <f t="shared" si="18"/>
        <v>0</v>
      </c>
      <c r="AS9" s="86">
        <f t="shared" si="18"/>
        <v>0</v>
      </c>
      <c r="AT9" s="86">
        <f t="shared" si="18"/>
        <v>0</v>
      </c>
      <c r="AU9" s="86">
        <f t="shared" si="18"/>
        <v>0</v>
      </c>
      <c r="AV9" s="86">
        <f t="shared" ref="AV9:AV52" si="51">SUM(AF9:AJ9,AM9:AS9)</f>
        <v>337.10079999999999</v>
      </c>
      <c r="AW9" s="91">
        <f t="shared" ref="AW9:AW52" si="52">IF(C9,AW8*(1+_Teuerungsrate/100),"")</f>
        <v>1.0049999999999999</v>
      </c>
      <c r="AX9" s="176">
        <f t="shared" si="19"/>
        <v>-338.78630399999997</v>
      </c>
      <c r="AY9" s="176">
        <f t="shared" ref="AY9:AY52" si="53">IF(C9,(-AK9)*AW9,"")</f>
        <v>0</v>
      </c>
      <c r="AZ9" s="176">
        <f t="shared" ref="AZ9:AZ52" si="54">IF(C9,(-AL9)*AW9,"")</f>
        <v>0</v>
      </c>
      <c r="BA9" s="92">
        <f t="shared" ref="BA9:BA52" si="55">IF(E9,-(AT9+AU9)*AW9,IF((C9),0,""))</f>
        <v>0</v>
      </c>
      <c r="BB9" s="181">
        <f t="shared" si="20"/>
        <v>3.2405830019399673E-15</v>
      </c>
      <c r="BC9" s="181">
        <f t="shared" si="21"/>
        <v>27.441690624</v>
      </c>
      <c r="BD9" s="93">
        <f t="shared" si="22"/>
        <v>0</v>
      </c>
      <c r="BE9" s="85">
        <f t="shared" si="23"/>
        <v>0</v>
      </c>
      <c r="BF9" s="86">
        <f t="shared" ref="BF9:BF52" si="56">IF(C8,IF(F8,0,BF8),"")</f>
        <v>0</v>
      </c>
      <c r="BG9" s="94">
        <f t="shared" si="24"/>
        <v>0</v>
      </c>
      <c r="BH9" s="95">
        <f t="shared" ref="BH9:BH52" si="57">IF(C9,PMT(_Zins_Eigenkapital/100,_Anlagenlebensdauer,_Eigenkapital)+BG9,"")</f>
        <v>-511.46666666666664</v>
      </c>
      <c r="BI9" s="95">
        <f t="shared" si="25"/>
        <v>0</v>
      </c>
      <c r="BJ9" s="96">
        <f t="shared" si="26"/>
        <v>0</v>
      </c>
      <c r="BK9" s="155">
        <f t="shared" si="27"/>
        <v>0</v>
      </c>
      <c r="BL9" s="155">
        <f t="shared" si="28"/>
        <v>0</v>
      </c>
      <c r="BM9" s="338">
        <f t="shared" ref="BM9:BM52" si="58">IF(C9,S9+U9+W9+AB9+Y9+AX9+AY9+AZ9+BB9+BC9+BE9+BI9+BJ9,"")</f>
        <v>326.89713156090659</v>
      </c>
      <c r="BN9" s="16">
        <f t="shared" si="29"/>
        <v>326.89713156090659</v>
      </c>
      <c r="BO9" s="97">
        <f t="shared" ref="BO9:BO52" si="59">IF($C9,BO8+BM9,"")</f>
        <v>-14689.281623244973</v>
      </c>
      <c r="BP9" s="16">
        <f t="shared" si="30"/>
        <v>326.89713156090659</v>
      </c>
      <c r="BQ9" s="97">
        <f t="shared" ref="BQ9:BQ52" si="60">IF($C9,BQ8+BP9,"")</f>
        <v>-14689.281623244973</v>
      </c>
      <c r="BR9" s="2" t="str">
        <f t="shared" si="31"/>
        <v/>
      </c>
      <c r="BS9" s="16">
        <f t="shared" ref="BS9:BS52" si="61">IF(C9,BM9+BA9+AC9+AD9+AE9+BD9+BL9,"")</f>
        <v>326.89713156090659</v>
      </c>
      <c r="BT9" s="16">
        <f t="shared" si="32"/>
        <v>326.89713156090659</v>
      </c>
      <c r="BU9" s="97">
        <f t="shared" ref="BU9:BU37" si="62">IF($C9,BU8+BS9,"")</f>
        <v>-14689.281623244973</v>
      </c>
      <c r="BV9" s="16">
        <f t="shared" si="34"/>
        <v>326.89713156090659</v>
      </c>
      <c r="BW9" s="97">
        <f t="shared" ref="BW9:BW52" si="63">IF($C9,BW8+BV9,"")</f>
        <v>-14689.281623244973</v>
      </c>
      <c r="BX9" s="2" t="str">
        <f t="shared" si="35"/>
        <v/>
      </c>
      <c r="BY9" s="16" t="str">
        <f t="shared" ref="BY9:BY52" si="64">IF(E9,AC9+AD9+BL9+BA9+BD9+AE9,"")</f>
        <v/>
      </c>
      <c r="BZ9" s="16" t="str">
        <f t="shared" si="36"/>
        <v/>
      </c>
      <c r="CA9" s="97" t="str">
        <f>IF($E9,CA8+BY9,"")</f>
        <v/>
      </c>
      <c r="CB9" s="16" t="str">
        <f t="shared" si="37"/>
        <v/>
      </c>
      <c r="CC9" s="97" t="str">
        <f>IF($E9,CC8+CB9,"")</f>
        <v/>
      </c>
      <c r="CD9" s="2" t="str">
        <f t="shared" si="38"/>
        <v/>
      </c>
    </row>
    <row r="10" spans="1:82" x14ac:dyDescent="0.2">
      <c r="A10" s="2"/>
      <c r="B10" s="2">
        <f t="shared" ref="B10:B52" si="65">B9+1</f>
        <v>3</v>
      </c>
      <c r="C10" s="2" t="b">
        <f t="shared" si="1"/>
        <v>1</v>
      </c>
      <c r="D10" s="2" t="b">
        <f t="shared" si="2"/>
        <v>0</v>
      </c>
      <c r="E10" s="2" t="b">
        <f t="shared" si="3"/>
        <v>0</v>
      </c>
      <c r="F10" s="2" t="b">
        <f t="shared" si="4"/>
        <v>0</v>
      </c>
      <c r="G10" s="2" t="b">
        <f t="shared" si="5"/>
        <v>0</v>
      </c>
      <c r="H10" s="2" t="b">
        <f t="shared" si="6"/>
        <v>0</v>
      </c>
      <c r="I10" s="36" t="b">
        <f t="shared" si="7"/>
        <v>0</v>
      </c>
      <c r="J10" s="135">
        <f t="shared" si="39"/>
        <v>0.99199999999999999</v>
      </c>
      <c r="K10" s="160">
        <f t="shared" si="8"/>
        <v>4464</v>
      </c>
      <c r="L10" s="138">
        <f t="shared" si="40"/>
        <v>0.97333333333333338</v>
      </c>
      <c r="M10" s="217" t="str">
        <f t="shared" si="9"/>
        <v/>
      </c>
      <c r="N10" s="140" t="str">
        <f t="shared" si="41"/>
        <v/>
      </c>
      <c r="O10" s="139" t="str">
        <f t="shared" si="10"/>
        <v/>
      </c>
      <c r="P10" s="139" t="str">
        <f t="shared" si="11"/>
        <v/>
      </c>
      <c r="Q10" s="142" t="str">
        <f t="shared" si="12"/>
        <v/>
      </c>
      <c r="R10" s="82">
        <f t="shared" si="42"/>
        <v>8.0801999999999985E-2</v>
      </c>
      <c r="S10" s="90">
        <f t="shared" si="43"/>
        <v>-4.0045758709084106E-14</v>
      </c>
      <c r="T10" s="342">
        <f t="shared" si="44"/>
        <v>9.7635749999999979E-2</v>
      </c>
      <c r="U10" s="90">
        <f t="shared" si="13"/>
        <v>290.83818106920637</v>
      </c>
      <c r="V10" s="82">
        <f t="shared" si="45"/>
        <v>0.23432579999999992</v>
      </c>
      <c r="W10" s="90">
        <f t="shared" si="14"/>
        <v>348.01873663390444</v>
      </c>
      <c r="X10" s="132">
        <f t="shared" si="46"/>
        <v>1.5150374999999996</v>
      </c>
      <c r="Y10" s="90">
        <f t="shared" si="47"/>
        <v>0</v>
      </c>
      <c r="Z10" s="219">
        <f t="shared" si="48"/>
        <v>0</v>
      </c>
      <c r="AA10" s="219">
        <f t="shared" si="49"/>
        <v>8.0801999999999978</v>
      </c>
      <c r="AB10" s="221">
        <f t="shared" si="50"/>
        <v>0</v>
      </c>
      <c r="AC10" s="148">
        <f t="shared" si="15"/>
        <v>0</v>
      </c>
      <c r="AD10" s="148">
        <f t="shared" si="16"/>
        <v>0</v>
      </c>
      <c r="AE10" s="155">
        <f t="shared" si="17"/>
        <v>0</v>
      </c>
      <c r="AF10" s="86">
        <f t="shared" si="18"/>
        <v>0</v>
      </c>
      <c r="AG10" s="86">
        <f t="shared" si="18"/>
        <v>0</v>
      </c>
      <c r="AH10" s="86">
        <f t="shared" si="18"/>
        <v>69</v>
      </c>
      <c r="AI10" s="86">
        <f t="shared" si="18"/>
        <v>99</v>
      </c>
      <c r="AJ10" s="86">
        <f t="shared" si="18"/>
        <v>120</v>
      </c>
      <c r="AK10" s="86">
        <f t="shared" si="18"/>
        <v>0</v>
      </c>
      <c r="AL10" s="86">
        <f t="shared" si="18"/>
        <v>0</v>
      </c>
      <c r="AM10" s="86">
        <f t="shared" si="18"/>
        <v>49.1008</v>
      </c>
      <c r="AN10" s="86">
        <f t="shared" si="18"/>
        <v>0</v>
      </c>
      <c r="AO10" s="86">
        <f t="shared" si="18"/>
        <v>0</v>
      </c>
      <c r="AP10" s="86">
        <f t="shared" si="18"/>
        <v>0</v>
      </c>
      <c r="AQ10" s="86">
        <f t="shared" si="18"/>
        <v>0</v>
      </c>
      <c r="AR10" s="86">
        <f t="shared" si="18"/>
        <v>0</v>
      </c>
      <c r="AS10" s="86">
        <f t="shared" si="18"/>
        <v>0</v>
      </c>
      <c r="AT10" s="86">
        <f t="shared" si="18"/>
        <v>0</v>
      </c>
      <c r="AU10" s="86">
        <f t="shared" si="18"/>
        <v>0</v>
      </c>
      <c r="AV10" s="86">
        <f t="shared" si="51"/>
        <v>337.10079999999999</v>
      </c>
      <c r="AW10" s="91">
        <f t="shared" si="52"/>
        <v>1.0100249999999997</v>
      </c>
      <c r="AX10" s="176">
        <f t="shared" si="19"/>
        <v>-340.48023551999989</v>
      </c>
      <c r="AY10" s="176">
        <f t="shared" si="53"/>
        <v>0</v>
      </c>
      <c r="AZ10" s="176">
        <f t="shared" si="54"/>
        <v>0</v>
      </c>
      <c r="BA10" s="92">
        <f t="shared" si="55"/>
        <v>0</v>
      </c>
      <c r="BB10" s="181">
        <f t="shared" si="20"/>
        <v>3.2437064554358124E-15</v>
      </c>
      <c r="BC10" s="181">
        <f t="shared" si="21"/>
        <v>27.578899077119992</v>
      </c>
      <c r="BD10" s="93">
        <f t="shared" si="22"/>
        <v>0</v>
      </c>
      <c r="BE10" s="85">
        <f t="shared" si="23"/>
        <v>0</v>
      </c>
      <c r="BF10" s="86">
        <f t="shared" si="56"/>
        <v>0</v>
      </c>
      <c r="BG10" s="94">
        <f t="shared" si="24"/>
        <v>0</v>
      </c>
      <c r="BH10" s="95">
        <f t="shared" si="57"/>
        <v>-511.46666666666664</v>
      </c>
      <c r="BI10" s="95">
        <f t="shared" si="25"/>
        <v>0</v>
      </c>
      <c r="BJ10" s="96">
        <f t="shared" si="26"/>
        <v>0</v>
      </c>
      <c r="BK10" s="155">
        <f t="shared" si="27"/>
        <v>0</v>
      </c>
      <c r="BL10" s="155">
        <f t="shared" si="28"/>
        <v>0</v>
      </c>
      <c r="BM10" s="338">
        <f t="shared" si="58"/>
        <v>325.95558126023087</v>
      </c>
      <c r="BN10" s="16">
        <f t="shared" si="29"/>
        <v>325.95558126023087</v>
      </c>
      <c r="BO10" s="97">
        <f t="shared" si="59"/>
        <v>-14363.326041984743</v>
      </c>
      <c r="BP10" s="16">
        <f t="shared" si="30"/>
        <v>325.95558126023087</v>
      </c>
      <c r="BQ10" s="97">
        <f t="shared" si="60"/>
        <v>-14363.326041984743</v>
      </c>
      <c r="BR10" s="2" t="str">
        <f t="shared" si="31"/>
        <v/>
      </c>
      <c r="BS10" s="16">
        <f t="shared" si="61"/>
        <v>325.95558126023087</v>
      </c>
      <c r="BT10" s="16">
        <f t="shared" si="32"/>
        <v>325.95558126023087</v>
      </c>
      <c r="BU10" s="97">
        <f t="shared" si="62"/>
        <v>-14363.326041984743</v>
      </c>
      <c r="BV10" s="16">
        <f t="shared" si="34"/>
        <v>325.95558126023087</v>
      </c>
      <c r="BW10" s="97">
        <f t="shared" si="63"/>
        <v>-14363.326041984743</v>
      </c>
      <c r="BX10" s="2" t="str">
        <f t="shared" si="35"/>
        <v/>
      </c>
      <c r="BY10" s="16" t="str">
        <f t="shared" si="64"/>
        <v/>
      </c>
      <c r="BZ10" s="16" t="str">
        <f t="shared" si="36"/>
        <v/>
      </c>
      <c r="CA10" s="97" t="str">
        <f t="shared" ref="CA10:CA52" si="66">IF($E10,CA9+BY10,"")</f>
        <v/>
      </c>
      <c r="CB10" s="16" t="str">
        <f t="shared" si="37"/>
        <v/>
      </c>
      <c r="CC10" s="97" t="str">
        <f t="shared" ref="CC10:CC52" si="67">IF($E10,CC9+CB10,"")</f>
        <v/>
      </c>
      <c r="CD10" s="2" t="str">
        <f t="shared" si="38"/>
        <v/>
      </c>
    </row>
    <row r="11" spans="1:82" x14ac:dyDescent="0.2">
      <c r="A11" s="2"/>
      <c r="B11" s="2">
        <f t="shared" si="65"/>
        <v>4</v>
      </c>
      <c r="C11" s="2" t="b">
        <f t="shared" si="1"/>
        <v>1</v>
      </c>
      <c r="D11" s="2" t="b">
        <f t="shared" si="2"/>
        <v>0</v>
      </c>
      <c r="E11" s="2" t="b">
        <f t="shared" si="3"/>
        <v>0</v>
      </c>
      <c r="F11" s="2" t="b">
        <f t="shared" si="4"/>
        <v>0</v>
      </c>
      <c r="G11" s="2" t="b">
        <f t="shared" si="5"/>
        <v>0</v>
      </c>
      <c r="H11" s="2" t="b">
        <f t="shared" si="6"/>
        <v>0</v>
      </c>
      <c r="I11" s="36" t="b">
        <f t="shared" si="7"/>
        <v>0</v>
      </c>
      <c r="J11" s="135">
        <f t="shared" si="39"/>
        <v>0.98799999999999999</v>
      </c>
      <c r="K11" s="160">
        <f t="shared" si="8"/>
        <v>4446</v>
      </c>
      <c r="L11" s="138">
        <f t="shared" si="40"/>
        <v>0.96000000000000008</v>
      </c>
      <c r="M11" s="217" t="str">
        <f t="shared" si="9"/>
        <v/>
      </c>
      <c r="N11" s="140" t="str">
        <f t="shared" si="41"/>
        <v/>
      </c>
      <c r="O11" s="139" t="str">
        <f t="shared" si="10"/>
        <v/>
      </c>
      <c r="P11" s="139" t="str">
        <f t="shared" si="11"/>
        <v/>
      </c>
      <c r="Q11" s="142" t="str">
        <f t="shared" si="12"/>
        <v/>
      </c>
      <c r="R11" s="82">
        <f t="shared" si="42"/>
        <v>8.1206009999999981E-2</v>
      </c>
      <c r="S11" s="90">
        <f t="shared" si="43"/>
        <v>-4.0083705294957629E-14</v>
      </c>
      <c r="T11" s="342">
        <f t="shared" si="44"/>
        <v>9.8123928749999964E-2</v>
      </c>
      <c r="U11" s="90">
        <f t="shared" si="13"/>
        <v>291.11377370046142</v>
      </c>
      <c r="V11" s="82">
        <f t="shared" si="45"/>
        <v>0.2354974289999999</v>
      </c>
      <c r="W11" s="90">
        <f t="shared" si="14"/>
        <v>348.34851245289218</v>
      </c>
      <c r="X11" s="132">
        <f t="shared" si="46"/>
        <v>1.5226126874999995</v>
      </c>
      <c r="Y11" s="90">
        <f t="shared" si="47"/>
        <v>0</v>
      </c>
      <c r="Z11" s="219">
        <f t="shared" si="48"/>
        <v>0</v>
      </c>
      <c r="AA11" s="219">
        <f t="shared" si="49"/>
        <v>8.1206009999999971</v>
      </c>
      <c r="AB11" s="221">
        <f t="shared" si="50"/>
        <v>0</v>
      </c>
      <c r="AC11" s="148">
        <f t="shared" si="15"/>
        <v>0</v>
      </c>
      <c r="AD11" s="148">
        <f t="shared" si="16"/>
        <v>0</v>
      </c>
      <c r="AE11" s="155">
        <f t="shared" si="17"/>
        <v>0</v>
      </c>
      <c r="AF11" s="86">
        <f t="shared" si="18"/>
        <v>0</v>
      </c>
      <c r="AG11" s="86">
        <f t="shared" si="18"/>
        <v>0</v>
      </c>
      <c r="AH11" s="86">
        <f t="shared" si="18"/>
        <v>69</v>
      </c>
      <c r="AI11" s="86">
        <f t="shared" si="18"/>
        <v>99</v>
      </c>
      <c r="AJ11" s="86">
        <f t="shared" si="18"/>
        <v>120</v>
      </c>
      <c r="AK11" s="86">
        <f t="shared" si="18"/>
        <v>0</v>
      </c>
      <c r="AL11" s="86">
        <f t="shared" si="18"/>
        <v>0</v>
      </c>
      <c r="AM11" s="86">
        <f t="shared" si="18"/>
        <v>49.1008</v>
      </c>
      <c r="AN11" s="86">
        <f t="shared" si="18"/>
        <v>0</v>
      </c>
      <c r="AO11" s="86">
        <f t="shared" si="18"/>
        <v>0</v>
      </c>
      <c r="AP11" s="86">
        <f t="shared" si="18"/>
        <v>0</v>
      </c>
      <c r="AQ11" s="86">
        <f t="shared" si="18"/>
        <v>0</v>
      </c>
      <c r="AR11" s="86">
        <f t="shared" si="18"/>
        <v>0</v>
      </c>
      <c r="AS11" s="86">
        <f t="shared" si="18"/>
        <v>0</v>
      </c>
      <c r="AT11" s="86">
        <f t="shared" si="18"/>
        <v>0</v>
      </c>
      <c r="AU11" s="86">
        <f t="shared" si="18"/>
        <v>0</v>
      </c>
      <c r="AV11" s="86">
        <f t="shared" si="51"/>
        <v>337.10079999999999</v>
      </c>
      <c r="AW11" s="91">
        <f t="shared" si="52"/>
        <v>1.0150751249999996</v>
      </c>
      <c r="AX11" s="176">
        <f t="shared" si="19"/>
        <v>-342.18263669759989</v>
      </c>
      <c r="AY11" s="176">
        <f t="shared" si="53"/>
        <v>0</v>
      </c>
      <c r="AZ11" s="176">
        <f t="shared" si="54"/>
        <v>0</v>
      </c>
      <c r="BA11" s="92">
        <f t="shared" si="55"/>
        <v>0</v>
      </c>
      <c r="BB11" s="181">
        <f t="shared" si="20"/>
        <v>3.2467801288915678E-15</v>
      </c>
      <c r="BC11" s="181">
        <f t="shared" si="21"/>
        <v>27.716793572505591</v>
      </c>
      <c r="BD11" s="93">
        <f t="shared" si="22"/>
        <v>0</v>
      </c>
      <c r="BE11" s="85">
        <f t="shared" si="23"/>
        <v>0</v>
      </c>
      <c r="BF11" s="86">
        <f t="shared" si="56"/>
        <v>0</v>
      </c>
      <c r="BG11" s="94">
        <f t="shared" si="24"/>
        <v>0</v>
      </c>
      <c r="BH11" s="95">
        <f t="shared" si="57"/>
        <v>-511.46666666666664</v>
      </c>
      <c r="BI11" s="95">
        <f t="shared" si="25"/>
        <v>0</v>
      </c>
      <c r="BJ11" s="96">
        <f t="shared" si="26"/>
        <v>0</v>
      </c>
      <c r="BK11" s="155">
        <f t="shared" si="27"/>
        <v>0</v>
      </c>
      <c r="BL11" s="155">
        <f t="shared" si="28"/>
        <v>0</v>
      </c>
      <c r="BM11" s="338">
        <f t="shared" si="58"/>
        <v>324.99644302825919</v>
      </c>
      <c r="BN11" s="16">
        <f t="shared" si="29"/>
        <v>324.99644302825919</v>
      </c>
      <c r="BO11" s="97">
        <f t="shared" si="59"/>
        <v>-14038.329598956483</v>
      </c>
      <c r="BP11" s="16">
        <f t="shared" si="30"/>
        <v>324.99644302825919</v>
      </c>
      <c r="BQ11" s="97">
        <f t="shared" si="60"/>
        <v>-14038.329598956483</v>
      </c>
      <c r="BR11" s="2" t="str">
        <f t="shared" si="31"/>
        <v/>
      </c>
      <c r="BS11" s="16">
        <f t="shared" si="61"/>
        <v>324.99644302825919</v>
      </c>
      <c r="BT11" s="16">
        <f t="shared" si="32"/>
        <v>324.99644302825919</v>
      </c>
      <c r="BU11" s="97">
        <f t="shared" si="62"/>
        <v>-14038.329598956483</v>
      </c>
      <c r="BV11" s="16">
        <f t="shared" si="34"/>
        <v>324.99644302825919</v>
      </c>
      <c r="BW11" s="97">
        <f t="shared" si="63"/>
        <v>-14038.329598956483</v>
      </c>
      <c r="BX11" s="2" t="str">
        <f t="shared" si="35"/>
        <v/>
      </c>
      <c r="BY11" s="16" t="str">
        <f t="shared" si="64"/>
        <v/>
      </c>
      <c r="BZ11" s="16" t="str">
        <f t="shared" si="36"/>
        <v/>
      </c>
      <c r="CA11" s="97" t="str">
        <f t="shared" si="66"/>
        <v/>
      </c>
      <c r="CB11" s="16" t="str">
        <f t="shared" si="37"/>
        <v/>
      </c>
      <c r="CC11" s="97" t="str">
        <f t="shared" si="67"/>
        <v/>
      </c>
      <c r="CD11" s="2" t="str">
        <f t="shared" si="38"/>
        <v/>
      </c>
    </row>
    <row r="12" spans="1:82" x14ac:dyDescent="0.2">
      <c r="A12" s="2"/>
      <c r="B12" s="2">
        <f t="shared" si="65"/>
        <v>5</v>
      </c>
      <c r="C12" s="2" t="b">
        <f t="shared" si="1"/>
        <v>1</v>
      </c>
      <c r="D12" s="2" t="b">
        <f t="shared" si="2"/>
        <v>0</v>
      </c>
      <c r="E12" s="2" t="b">
        <f t="shared" si="3"/>
        <v>0</v>
      </c>
      <c r="F12" s="2" t="b">
        <f t="shared" si="4"/>
        <v>0</v>
      </c>
      <c r="G12" s="2" t="b">
        <f t="shared" si="5"/>
        <v>0</v>
      </c>
      <c r="H12" s="2" t="b">
        <f t="shared" si="6"/>
        <v>0</v>
      </c>
      <c r="I12" s="36" t="b">
        <f t="shared" si="7"/>
        <v>0</v>
      </c>
      <c r="J12" s="135">
        <f t="shared" si="39"/>
        <v>0.98399999999999999</v>
      </c>
      <c r="K12" s="160">
        <f t="shared" si="8"/>
        <v>4428</v>
      </c>
      <c r="L12" s="138">
        <f t="shared" si="40"/>
        <v>0.94666666666666677</v>
      </c>
      <c r="M12" s="217" t="str">
        <f t="shared" si="9"/>
        <v/>
      </c>
      <c r="N12" s="140" t="str">
        <f t="shared" si="41"/>
        <v/>
      </c>
      <c r="O12" s="139" t="str">
        <f t="shared" si="10"/>
        <v/>
      </c>
      <c r="P12" s="139" t="str">
        <f t="shared" si="11"/>
        <v/>
      </c>
      <c r="Q12" s="142" t="str">
        <f t="shared" si="12"/>
        <v/>
      </c>
      <c r="R12" s="82">
        <f t="shared" si="42"/>
        <v>8.1612040049999973E-2</v>
      </c>
      <c r="S12" s="90">
        <f t="shared" si="43"/>
        <v>-4.0121030202722158E-14</v>
      </c>
      <c r="T12" s="342">
        <f t="shared" si="44"/>
        <v>9.861454839374996E-2</v>
      </c>
      <c r="U12" s="90">
        <f t="shared" si="13"/>
        <v>291.38485130350233</v>
      </c>
      <c r="V12" s="82">
        <f t="shared" si="45"/>
        <v>0.23667491614499986</v>
      </c>
      <c r="W12" s="90">
        <f t="shared" si="14"/>
        <v>348.67288556165391</v>
      </c>
      <c r="X12" s="132">
        <f t="shared" si="46"/>
        <v>1.5302257509374992</v>
      </c>
      <c r="Y12" s="90">
        <f t="shared" si="47"/>
        <v>0</v>
      </c>
      <c r="Z12" s="219">
        <f t="shared" si="48"/>
        <v>0</v>
      </c>
      <c r="AA12" s="219">
        <f t="shared" si="49"/>
        <v>8.1612040049999965</v>
      </c>
      <c r="AB12" s="221">
        <f t="shared" si="50"/>
        <v>0</v>
      </c>
      <c r="AC12" s="148">
        <f t="shared" si="15"/>
        <v>0</v>
      </c>
      <c r="AD12" s="148">
        <f t="shared" si="16"/>
        <v>0</v>
      </c>
      <c r="AE12" s="155">
        <f t="shared" si="17"/>
        <v>0</v>
      </c>
      <c r="AF12" s="86">
        <f t="shared" si="18"/>
        <v>830.68799999999999</v>
      </c>
      <c r="AG12" s="86">
        <f t="shared" si="18"/>
        <v>0</v>
      </c>
      <c r="AH12" s="86">
        <f t="shared" si="18"/>
        <v>69</v>
      </c>
      <c r="AI12" s="86">
        <f t="shared" si="18"/>
        <v>99</v>
      </c>
      <c r="AJ12" s="86">
        <f t="shared" si="18"/>
        <v>120</v>
      </c>
      <c r="AK12" s="86">
        <f t="shared" si="18"/>
        <v>0</v>
      </c>
      <c r="AL12" s="86">
        <f t="shared" si="18"/>
        <v>0</v>
      </c>
      <c r="AM12" s="86">
        <f t="shared" si="18"/>
        <v>49.1008</v>
      </c>
      <c r="AN12" s="86">
        <f t="shared" si="18"/>
        <v>0</v>
      </c>
      <c r="AO12" s="86">
        <f t="shared" si="18"/>
        <v>0</v>
      </c>
      <c r="AP12" s="86">
        <f t="shared" si="18"/>
        <v>0</v>
      </c>
      <c r="AQ12" s="86">
        <f t="shared" si="18"/>
        <v>0</v>
      </c>
      <c r="AR12" s="86">
        <f t="shared" si="18"/>
        <v>0</v>
      </c>
      <c r="AS12" s="86">
        <f t="shared" si="18"/>
        <v>0</v>
      </c>
      <c r="AT12" s="86">
        <f t="shared" si="18"/>
        <v>0</v>
      </c>
      <c r="AU12" s="86">
        <f t="shared" si="18"/>
        <v>0</v>
      </c>
      <c r="AV12" s="86">
        <f t="shared" si="51"/>
        <v>1167.7888</v>
      </c>
      <c r="AW12" s="91">
        <f t="shared" si="52"/>
        <v>1.0201505006249996</v>
      </c>
      <c r="AX12" s="176">
        <f t="shared" si="19"/>
        <v>-1191.3203289442674</v>
      </c>
      <c r="AY12" s="176">
        <f t="shared" si="53"/>
        <v>0</v>
      </c>
      <c r="AZ12" s="176">
        <f t="shared" si="54"/>
        <v>0</v>
      </c>
      <c r="BA12" s="92">
        <f t="shared" si="55"/>
        <v>0</v>
      </c>
      <c r="BB12" s="181">
        <f t="shared" si="20"/>
        <v>3.2498034464204946E-15</v>
      </c>
      <c r="BC12" s="181">
        <f t="shared" si="21"/>
        <v>96.496946644485647</v>
      </c>
      <c r="BD12" s="93">
        <f t="shared" si="22"/>
        <v>0</v>
      </c>
      <c r="BE12" s="85">
        <f t="shared" si="23"/>
        <v>0</v>
      </c>
      <c r="BF12" s="86">
        <f t="shared" si="56"/>
        <v>0</v>
      </c>
      <c r="BG12" s="94">
        <f t="shared" si="24"/>
        <v>0</v>
      </c>
      <c r="BH12" s="95">
        <f t="shared" si="57"/>
        <v>-511.46666666666664</v>
      </c>
      <c r="BI12" s="95">
        <f t="shared" si="25"/>
        <v>0</v>
      </c>
      <c r="BJ12" s="96">
        <f t="shared" si="26"/>
        <v>0</v>
      </c>
      <c r="BK12" s="155">
        <f t="shared" si="27"/>
        <v>0</v>
      </c>
      <c r="BL12" s="155">
        <f t="shared" si="28"/>
        <v>0</v>
      </c>
      <c r="BM12" s="338">
        <f t="shared" si="58"/>
        <v>-454.76564543462564</v>
      </c>
      <c r="BN12" s="16">
        <f t="shared" si="29"/>
        <v>-454.76564543462564</v>
      </c>
      <c r="BO12" s="97">
        <f t="shared" si="59"/>
        <v>-14493.095244391108</v>
      </c>
      <c r="BP12" s="16">
        <f t="shared" si="30"/>
        <v>-454.76564543462564</v>
      </c>
      <c r="BQ12" s="97">
        <f t="shared" si="60"/>
        <v>-14493.095244391108</v>
      </c>
      <c r="BR12" s="2" t="str">
        <f t="shared" si="31"/>
        <v/>
      </c>
      <c r="BS12" s="16">
        <f t="shared" si="61"/>
        <v>-454.76564543462564</v>
      </c>
      <c r="BT12" s="16">
        <f t="shared" si="32"/>
        <v>-454.76564543462564</v>
      </c>
      <c r="BU12" s="97">
        <f t="shared" si="62"/>
        <v>-14493.095244391108</v>
      </c>
      <c r="BV12" s="16">
        <f t="shared" si="34"/>
        <v>-454.76564543462564</v>
      </c>
      <c r="BW12" s="97">
        <f t="shared" si="63"/>
        <v>-14493.095244391108</v>
      </c>
      <c r="BX12" s="2" t="str">
        <f t="shared" si="35"/>
        <v/>
      </c>
      <c r="BY12" s="16" t="str">
        <f t="shared" si="64"/>
        <v/>
      </c>
      <c r="BZ12" s="16" t="str">
        <f t="shared" si="36"/>
        <v/>
      </c>
      <c r="CA12" s="97" t="str">
        <f t="shared" si="66"/>
        <v/>
      </c>
      <c r="CB12" s="16" t="str">
        <f t="shared" si="37"/>
        <v/>
      </c>
      <c r="CC12" s="97" t="str">
        <f t="shared" si="67"/>
        <v/>
      </c>
      <c r="CD12" s="2" t="str">
        <f t="shared" si="38"/>
        <v/>
      </c>
    </row>
    <row r="13" spans="1:82" x14ac:dyDescent="0.2">
      <c r="A13" s="2"/>
      <c r="B13" s="2">
        <f t="shared" si="65"/>
        <v>6</v>
      </c>
      <c r="C13" s="2" t="b">
        <f t="shared" si="1"/>
        <v>1</v>
      </c>
      <c r="D13" s="2" t="b">
        <f t="shared" si="2"/>
        <v>0</v>
      </c>
      <c r="E13" s="2" t="b">
        <f t="shared" si="3"/>
        <v>0</v>
      </c>
      <c r="F13" s="2" t="b">
        <f t="shared" si="4"/>
        <v>0</v>
      </c>
      <c r="G13" s="2" t="b">
        <f t="shared" si="5"/>
        <v>0</v>
      </c>
      <c r="H13" s="2" t="b">
        <f t="shared" si="6"/>
        <v>0</v>
      </c>
      <c r="I13" s="36" t="b">
        <f t="shared" si="7"/>
        <v>0</v>
      </c>
      <c r="J13" s="135">
        <f t="shared" si="39"/>
        <v>0.98</v>
      </c>
      <c r="K13" s="160">
        <f t="shared" si="8"/>
        <v>4410</v>
      </c>
      <c r="L13" s="138">
        <f t="shared" si="40"/>
        <v>0.93333333333333346</v>
      </c>
      <c r="M13" s="217" t="str">
        <f t="shared" si="9"/>
        <v/>
      </c>
      <c r="N13" s="140" t="str">
        <f t="shared" si="41"/>
        <v/>
      </c>
      <c r="O13" s="139" t="str">
        <f t="shared" si="10"/>
        <v/>
      </c>
      <c r="P13" s="139" t="str">
        <f t="shared" si="11"/>
        <v/>
      </c>
      <c r="Q13" s="142" t="str">
        <f t="shared" si="12"/>
        <v/>
      </c>
      <c r="R13" s="82">
        <f t="shared" si="42"/>
        <v>8.2020100250249958E-2</v>
      </c>
      <c r="S13" s="90">
        <f t="shared" si="43"/>
        <v>-4.0157726266931959E-14</v>
      </c>
      <c r="T13" s="342">
        <f t="shared" si="44"/>
        <v>9.9107621135718693E-2</v>
      </c>
      <c r="U13" s="90">
        <f t="shared" si="13"/>
        <v>291.65136183823114</v>
      </c>
      <c r="V13" s="82">
        <f t="shared" si="45"/>
        <v>0.23785829072572484</v>
      </c>
      <c r="W13" s="90">
        <f t="shared" si="14"/>
        <v>348.99179368869198</v>
      </c>
      <c r="X13" s="132">
        <f t="shared" si="46"/>
        <v>1.5378768796921867</v>
      </c>
      <c r="Y13" s="90">
        <f t="shared" si="47"/>
        <v>0</v>
      </c>
      <c r="Z13" s="219">
        <f t="shared" si="48"/>
        <v>0</v>
      </c>
      <c r="AA13" s="219">
        <f t="shared" si="49"/>
        <v>8.202010025024995</v>
      </c>
      <c r="AB13" s="221">
        <f t="shared" si="50"/>
        <v>0</v>
      </c>
      <c r="AC13" s="148">
        <f t="shared" si="15"/>
        <v>0</v>
      </c>
      <c r="AD13" s="148">
        <f t="shared" si="16"/>
        <v>0</v>
      </c>
      <c r="AE13" s="155">
        <f t="shared" si="17"/>
        <v>0</v>
      </c>
      <c r="AF13" s="86">
        <f t="shared" si="18"/>
        <v>0</v>
      </c>
      <c r="AG13" s="86">
        <f t="shared" si="18"/>
        <v>0</v>
      </c>
      <c r="AH13" s="86">
        <f t="shared" si="18"/>
        <v>69</v>
      </c>
      <c r="AI13" s="86">
        <f t="shared" si="18"/>
        <v>99</v>
      </c>
      <c r="AJ13" s="86">
        <f t="shared" si="18"/>
        <v>120</v>
      </c>
      <c r="AK13" s="86">
        <f t="shared" si="18"/>
        <v>0</v>
      </c>
      <c r="AL13" s="86">
        <f t="shared" si="18"/>
        <v>0</v>
      </c>
      <c r="AM13" s="86">
        <f t="shared" si="18"/>
        <v>49.1008</v>
      </c>
      <c r="AN13" s="86">
        <f t="shared" si="18"/>
        <v>0</v>
      </c>
      <c r="AO13" s="86">
        <f t="shared" si="18"/>
        <v>0</v>
      </c>
      <c r="AP13" s="86">
        <f t="shared" si="18"/>
        <v>0</v>
      </c>
      <c r="AQ13" s="86">
        <f t="shared" si="18"/>
        <v>0</v>
      </c>
      <c r="AR13" s="86">
        <f t="shared" si="18"/>
        <v>0</v>
      </c>
      <c r="AS13" s="86">
        <f t="shared" si="18"/>
        <v>0</v>
      </c>
      <c r="AT13" s="86">
        <f t="shared" si="18"/>
        <v>0</v>
      </c>
      <c r="AU13" s="86">
        <f t="shared" si="18"/>
        <v>0</v>
      </c>
      <c r="AV13" s="86">
        <f t="shared" si="51"/>
        <v>337.10079999999999</v>
      </c>
      <c r="AW13" s="91">
        <f t="shared" si="52"/>
        <v>1.0252512531281244</v>
      </c>
      <c r="AX13" s="176">
        <f t="shared" si="19"/>
        <v>-345.61301763049323</v>
      </c>
      <c r="AY13" s="176">
        <f t="shared" si="53"/>
        <v>0</v>
      </c>
      <c r="AZ13" s="176">
        <f t="shared" si="54"/>
        <v>0</v>
      </c>
      <c r="BA13" s="92">
        <f t="shared" si="55"/>
        <v>0</v>
      </c>
      <c r="BB13" s="181">
        <f t="shared" si="20"/>
        <v>3.2527758276214885E-15</v>
      </c>
      <c r="BC13" s="181">
        <f t="shared" si="21"/>
        <v>27.994654428069953</v>
      </c>
      <c r="BD13" s="93">
        <f t="shared" si="22"/>
        <v>0</v>
      </c>
      <c r="BE13" s="85">
        <f t="shared" si="23"/>
        <v>0</v>
      </c>
      <c r="BF13" s="86">
        <f t="shared" si="56"/>
        <v>0</v>
      </c>
      <c r="BG13" s="94">
        <f t="shared" si="24"/>
        <v>0</v>
      </c>
      <c r="BH13" s="95">
        <f t="shared" si="57"/>
        <v>-511.46666666666664</v>
      </c>
      <c r="BI13" s="95">
        <f t="shared" si="25"/>
        <v>0</v>
      </c>
      <c r="BJ13" s="96">
        <f t="shared" si="26"/>
        <v>0</v>
      </c>
      <c r="BK13" s="155">
        <f t="shared" si="27"/>
        <v>0</v>
      </c>
      <c r="BL13" s="155">
        <f t="shared" si="28"/>
        <v>0</v>
      </c>
      <c r="BM13" s="338">
        <f t="shared" si="58"/>
        <v>323.02479232449974</v>
      </c>
      <c r="BN13" s="16">
        <f t="shared" si="29"/>
        <v>323.02479232449974</v>
      </c>
      <c r="BO13" s="97">
        <f t="shared" si="59"/>
        <v>-14170.070452066608</v>
      </c>
      <c r="BP13" s="16">
        <f t="shared" si="30"/>
        <v>323.02479232449974</v>
      </c>
      <c r="BQ13" s="97">
        <f t="shared" si="60"/>
        <v>-14170.070452066608</v>
      </c>
      <c r="BR13" s="2" t="str">
        <f t="shared" si="31"/>
        <v/>
      </c>
      <c r="BS13" s="16">
        <f t="shared" si="61"/>
        <v>323.02479232449974</v>
      </c>
      <c r="BT13" s="16">
        <f t="shared" si="32"/>
        <v>323.02479232449974</v>
      </c>
      <c r="BU13" s="97">
        <f t="shared" si="62"/>
        <v>-14170.070452066608</v>
      </c>
      <c r="BV13" s="16">
        <f t="shared" si="34"/>
        <v>323.02479232449974</v>
      </c>
      <c r="BW13" s="97">
        <f t="shared" si="63"/>
        <v>-14170.070452066608</v>
      </c>
      <c r="BX13" s="2" t="str">
        <f t="shared" si="35"/>
        <v/>
      </c>
      <c r="BY13" s="16" t="str">
        <f t="shared" si="64"/>
        <v/>
      </c>
      <c r="BZ13" s="16" t="str">
        <f t="shared" si="36"/>
        <v/>
      </c>
      <c r="CA13" s="97" t="str">
        <f t="shared" si="66"/>
        <v/>
      </c>
      <c r="CB13" s="16" t="str">
        <f t="shared" si="37"/>
        <v/>
      </c>
      <c r="CC13" s="97" t="str">
        <f t="shared" si="67"/>
        <v/>
      </c>
      <c r="CD13" s="2" t="str">
        <f t="shared" si="38"/>
        <v/>
      </c>
    </row>
    <row r="14" spans="1:82" x14ac:dyDescent="0.2">
      <c r="A14" s="2"/>
      <c r="B14" s="2">
        <f t="shared" si="65"/>
        <v>7</v>
      </c>
      <c r="C14" s="2" t="b">
        <f t="shared" si="1"/>
        <v>1</v>
      </c>
      <c r="D14" s="2" t="b">
        <f t="shared" si="2"/>
        <v>0</v>
      </c>
      <c r="E14" s="2" t="b">
        <f t="shared" si="3"/>
        <v>0</v>
      </c>
      <c r="F14" s="2" t="b">
        <f t="shared" si="4"/>
        <v>0</v>
      </c>
      <c r="G14" s="2" t="b">
        <f t="shared" si="5"/>
        <v>0</v>
      </c>
      <c r="H14" s="2" t="b">
        <f t="shared" si="6"/>
        <v>0</v>
      </c>
      <c r="I14" s="36" t="b">
        <f t="shared" si="7"/>
        <v>0</v>
      </c>
      <c r="J14" s="135">
        <f t="shared" si="39"/>
        <v>0.97599999999999998</v>
      </c>
      <c r="K14" s="160">
        <f t="shared" si="8"/>
        <v>4391.9999999999991</v>
      </c>
      <c r="L14" s="138">
        <f t="shared" si="40"/>
        <v>0.92000000000000015</v>
      </c>
      <c r="M14" s="217" t="str">
        <f t="shared" si="9"/>
        <v/>
      </c>
      <c r="N14" s="140" t="str">
        <f t="shared" si="41"/>
        <v/>
      </c>
      <c r="O14" s="139" t="str">
        <f t="shared" si="10"/>
        <v/>
      </c>
      <c r="P14" s="139" t="str">
        <f t="shared" si="11"/>
        <v/>
      </c>
      <c r="Q14" s="142" t="str">
        <f t="shared" si="12"/>
        <v/>
      </c>
      <c r="R14" s="82">
        <f t="shared" si="42"/>
        <v>8.2430200751501204E-2</v>
      </c>
      <c r="S14" s="90">
        <f t="shared" si="43"/>
        <v>-4.0193786266028784E-14</v>
      </c>
      <c r="T14" s="342">
        <f t="shared" si="44"/>
        <v>9.9603159241397274E-2</v>
      </c>
      <c r="U14" s="90">
        <f t="shared" si="13"/>
        <v>291.91325285702453</v>
      </c>
      <c r="V14" s="82">
        <f t="shared" si="45"/>
        <v>0.23904758217935343</v>
      </c>
      <c r="W14" s="90">
        <f t="shared" si="14"/>
        <v>349.30517407486127</v>
      </c>
      <c r="X14" s="132">
        <f t="shared" si="46"/>
        <v>1.5455662640906473</v>
      </c>
      <c r="Y14" s="90">
        <f t="shared" si="47"/>
        <v>0</v>
      </c>
      <c r="Z14" s="219">
        <f t="shared" si="48"/>
        <v>0</v>
      </c>
      <c r="AA14" s="219">
        <f t="shared" si="49"/>
        <v>8.2430200751501186</v>
      </c>
      <c r="AB14" s="221">
        <f t="shared" si="50"/>
        <v>0</v>
      </c>
      <c r="AC14" s="148">
        <f t="shared" si="15"/>
        <v>0</v>
      </c>
      <c r="AD14" s="148">
        <f t="shared" si="16"/>
        <v>0</v>
      </c>
      <c r="AE14" s="155">
        <f t="shared" si="17"/>
        <v>0</v>
      </c>
      <c r="AF14" s="86">
        <f t="shared" si="18"/>
        <v>0</v>
      </c>
      <c r="AG14" s="86">
        <f t="shared" si="18"/>
        <v>0</v>
      </c>
      <c r="AH14" s="86">
        <f t="shared" si="18"/>
        <v>69</v>
      </c>
      <c r="AI14" s="86">
        <f t="shared" si="18"/>
        <v>99</v>
      </c>
      <c r="AJ14" s="86">
        <f t="shared" si="18"/>
        <v>120</v>
      </c>
      <c r="AK14" s="86">
        <f t="shared" si="18"/>
        <v>0</v>
      </c>
      <c r="AL14" s="86">
        <f t="shared" si="18"/>
        <v>0</v>
      </c>
      <c r="AM14" s="86">
        <f t="shared" si="18"/>
        <v>49.1008</v>
      </c>
      <c r="AN14" s="86">
        <f t="shared" si="18"/>
        <v>0</v>
      </c>
      <c r="AO14" s="86">
        <f t="shared" si="18"/>
        <v>0</v>
      </c>
      <c r="AP14" s="86">
        <f t="shared" si="18"/>
        <v>0</v>
      </c>
      <c r="AQ14" s="86">
        <f t="shared" si="18"/>
        <v>0</v>
      </c>
      <c r="AR14" s="86">
        <f t="shared" si="18"/>
        <v>0</v>
      </c>
      <c r="AS14" s="86">
        <f t="shared" si="18"/>
        <v>0</v>
      </c>
      <c r="AT14" s="86">
        <f t="shared" si="18"/>
        <v>0</v>
      </c>
      <c r="AU14" s="86">
        <f t="shared" si="18"/>
        <v>0</v>
      </c>
      <c r="AV14" s="86">
        <f t="shared" si="51"/>
        <v>337.10079999999999</v>
      </c>
      <c r="AW14" s="91">
        <f t="shared" si="52"/>
        <v>1.0303775093937648</v>
      </c>
      <c r="AX14" s="176">
        <f t="shared" si="19"/>
        <v>-347.34108271864562</v>
      </c>
      <c r="AY14" s="176">
        <f t="shared" si="53"/>
        <v>0</v>
      </c>
      <c r="AZ14" s="176">
        <f t="shared" si="54"/>
        <v>0</v>
      </c>
      <c r="BA14" s="92">
        <f t="shared" si="55"/>
        <v>0</v>
      </c>
      <c r="BB14" s="181">
        <f t="shared" si="20"/>
        <v>3.2556966875483314E-15</v>
      </c>
      <c r="BC14" s="181">
        <f t="shared" si="21"/>
        <v>28.134627700210295</v>
      </c>
      <c r="BD14" s="93">
        <f t="shared" si="22"/>
        <v>0</v>
      </c>
      <c r="BE14" s="85">
        <f t="shared" si="23"/>
        <v>0</v>
      </c>
      <c r="BF14" s="86">
        <f t="shared" si="56"/>
        <v>0</v>
      </c>
      <c r="BG14" s="94">
        <f t="shared" si="24"/>
        <v>0</v>
      </c>
      <c r="BH14" s="95">
        <f t="shared" si="57"/>
        <v>-511.46666666666664</v>
      </c>
      <c r="BI14" s="95">
        <f t="shared" si="25"/>
        <v>0</v>
      </c>
      <c r="BJ14" s="96">
        <f t="shared" si="26"/>
        <v>0</v>
      </c>
      <c r="BK14" s="155">
        <f t="shared" si="27"/>
        <v>0</v>
      </c>
      <c r="BL14" s="155">
        <f t="shared" si="28"/>
        <v>0</v>
      </c>
      <c r="BM14" s="338">
        <f t="shared" si="58"/>
        <v>322.01197191345034</v>
      </c>
      <c r="BN14" s="16">
        <f t="shared" si="29"/>
        <v>322.01197191345034</v>
      </c>
      <c r="BO14" s="97">
        <f t="shared" si="59"/>
        <v>-13848.058480153157</v>
      </c>
      <c r="BP14" s="16">
        <f t="shared" si="30"/>
        <v>322.01197191345034</v>
      </c>
      <c r="BQ14" s="97">
        <f t="shared" si="60"/>
        <v>-13848.058480153157</v>
      </c>
      <c r="BR14" s="2" t="str">
        <f t="shared" si="31"/>
        <v/>
      </c>
      <c r="BS14" s="16">
        <f t="shared" si="61"/>
        <v>322.01197191345034</v>
      </c>
      <c r="BT14" s="16">
        <f t="shared" si="32"/>
        <v>322.01197191345034</v>
      </c>
      <c r="BU14" s="97">
        <f t="shared" si="62"/>
        <v>-13848.058480153157</v>
      </c>
      <c r="BV14" s="16">
        <f t="shared" si="34"/>
        <v>322.01197191345034</v>
      </c>
      <c r="BW14" s="97">
        <f t="shared" si="63"/>
        <v>-13848.058480153157</v>
      </c>
      <c r="BX14" s="2" t="str">
        <f t="shared" si="35"/>
        <v/>
      </c>
      <c r="BY14" s="16" t="str">
        <f t="shared" si="64"/>
        <v/>
      </c>
      <c r="BZ14" s="16" t="str">
        <f t="shared" si="36"/>
        <v/>
      </c>
      <c r="CA14" s="97" t="str">
        <f t="shared" si="66"/>
        <v/>
      </c>
      <c r="CB14" s="16" t="str">
        <f t="shared" si="37"/>
        <v/>
      </c>
      <c r="CC14" s="97" t="str">
        <f t="shared" si="67"/>
        <v/>
      </c>
      <c r="CD14" s="2" t="str">
        <f t="shared" si="38"/>
        <v/>
      </c>
    </row>
    <row r="15" spans="1:82" x14ac:dyDescent="0.2">
      <c r="A15" s="2"/>
      <c r="B15" s="2">
        <f t="shared" si="65"/>
        <v>8</v>
      </c>
      <c r="C15" s="2" t="b">
        <f t="shared" si="1"/>
        <v>1</v>
      </c>
      <c r="D15" s="2" t="b">
        <f t="shared" si="2"/>
        <v>0</v>
      </c>
      <c r="E15" s="2" t="b">
        <f t="shared" si="3"/>
        <v>0</v>
      </c>
      <c r="F15" s="2" t="b">
        <f t="shared" si="4"/>
        <v>0</v>
      </c>
      <c r="G15" s="2" t="b">
        <f t="shared" si="5"/>
        <v>0</v>
      </c>
      <c r="H15" s="2" t="b">
        <f t="shared" si="6"/>
        <v>0</v>
      </c>
      <c r="I15" s="36" t="b">
        <f t="shared" si="7"/>
        <v>0</v>
      </c>
      <c r="J15" s="135">
        <f t="shared" si="39"/>
        <v>0.97199999999999998</v>
      </c>
      <c r="K15" s="160">
        <f t="shared" si="8"/>
        <v>4374</v>
      </c>
      <c r="L15" s="138">
        <f t="shared" si="40"/>
        <v>0.90666666666666684</v>
      </c>
      <c r="M15" s="217" t="str">
        <f t="shared" si="9"/>
        <v/>
      </c>
      <c r="N15" s="140" t="str">
        <f t="shared" si="41"/>
        <v/>
      </c>
      <c r="O15" s="139" t="str">
        <f t="shared" si="10"/>
        <v/>
      </c>
      <c r="P15" s="139" t="str">
        <f t="shared" si="11"/>
        <v/>
      </c>
      <c r="Q15" s="142" t="str">
        <f t="shared" si="12"/>
        <v/>
      </c>
      <c r="R15" s="82">
        <f t="shared" si="42"/>
        <v>8.2842351755258697E-2</v>
      </c>
      <c r="S15" s="90">
        <f t="shared" si="43"/>
        <v>-4.0229202921959923E-14</v>
      </c>
      <c r="T15" s="342">
        <f t="shared" si="44"/>
        <v>0.10010117503760425</v>
      </c>
      <c r="U15" s="90">
        <f t="shared" si="13"/>
        <v>292.17047150196009</v>
      </c>
      <c r="V15" s="82">
        <f t="shared" si="45"/>
        <v>0.24024282009025016</v>
      </c>
      <c r="W15" s="90">
        <f t="shared" si="14"/>
        <v>349.61296347005026</v>
      </c>
      <c r="X15" s="132">
        <f t="shared" si="46"/>
        <v>1.5532940954111005</v>
      </c>
      <c r="Y15" s="90">
        <f t="shared" si="47"/>
        <v>0</v>
      </c>
      <c r="Z15" s="219">
        <f t="shared" si="48"/>
        <v>0</v>
      </c>
      <c r="AA15" s="219">
        <f t="shared" si="49"/>
        <v>8.2842351755258683</v>
      </c>
      <c r="AB15" s="221">
        <f t="shared" si="50"/>
        <v>0</v>
      </c>
      <c r="AC15" s="148">
        <f t="shared" si="15"/>
        <v>0</v>
      </c>
      <c r="AD15" s="148">
        <f t="shared" si="16"/>
        <v>0</v>
      </c>
      <c r="AE15" s="155">
        <f t="shared" si="17"/>
        <v>0</v>
      </c>
      <c r="AF15" s="86">
        <f t="shared" si="18"/>
        <v>0</v>
      </c>
      <c r="AG15" s="86">
        <f t="shared" si="18"/>
        <v>0</v>
      </c>
      <c r="AH15" s="86">
        <f t="shared" si="18"/>
        <v>69</v>
      </c>
      <c r="AI15" s="86">
        <f t="shared" si="18"/>
        <v>99</v>
      </c>
      <c r="AJ15" s="86">
        <f t="shared" si="18"/>
        <v>120</v>
      </c>
      <c r="AK15" s="86">
        <f t="shared" si="18"/>
        <v>0</v>
      </c>
      <c r="AL15" s="86">
        <f t="shared" si="18"/>
        <v>0</v>
      </c>
      <c r="AM15" s="86">
        <f t="shared" si="18"/>
        <v>49.1008</v>
      </c>
      <c r="AN15" s="86">
        <f t="shared" si="18"/>
        <v>1215.3440000000001</v>
      </c>
      <c r="AO15" s="86">
        <f t="shared" si="18"/>
        <v>1056.25</v>
      </c>
      <c r="AP15" s="86">
        <f t="shared" si="18"/>
        <v>0</v>
      </c>
      <c r="AQ15" s="86">
        <f t="shared" si="18"/>
        <v>0</v>
      </c>
      <c r="AR15" s="86">
        <f t="shared" si="18"/>
        <v>0</v>
      </c>
      <c r="AS15" s="86">
        <f t="shared" si="18"/>
        <v>0</v>
      </c>
      <c r="AT15" s="86">
        <f t="shared" si="18"/>
        <v>0</v>
      </c>
      <c r="AU15" s="86">
        <f t="shared" si="18"/>
        <v>0</v>
      </c>
      <c r="AV15" s="86">
        <f t="shared" si="51"/>
        <v>2608.6948000000002</v>
      </c>
      <c r="AW15" s="91">
        <f t="shared" si="52"/>
        <v>1.0355293969407335</v>
      </c>
      <c r="AX15" s="176">
        <f t="shared" si="19"/>
        <v>-2701.3801530464275</v>
      </c>
      <c r="AY15" s="176">
        <f t="shared" si="53"/>
        <v>0</v>
      </c>
      <c r="AZ15" s="176">
        <f t="shared" si="54"/>
        <v>0</v>
      </c>
      <c r="BA15" s="92">
        <f t="shared" si="55"/>
        <v>0</v>
      </c>
      <c r="BB15" s="181">
        <f t="shared" si="20"/>
        <v>3.2585654366787536E-15</v>
      </c>
      <c r="BC15" s="181">
        <f t="shared" si="21"/>
        <v>218.81179239676061</v>
      </c>
      <c r="BD15" s="93">
        <f t="shared" si="22"/>
        <v>0</v>
      </c>
      <c r="BE15" s="85">
        <f t="shared" si="23"/>
        <v>0</v>
      </c>
      <c r="BF15" s="86">
        <f t="shared" si="56"/>
        <v>0</v>
      </c>
      <c r="BG15" s="94">
        <f t="shared" si="24"/>
        <v>0</v>
      </c>
      <c r="BH15" s="95">
        <f t="shared" si="57"/>
        <v>-511.46666666666664</v>
      </c>
      <c r="BI15" s="95">
        <f t="shared" si="25"/>
        <v>0</v>
      </c>
      <c r="BJ15" s="96">
        <f t="shared" si="26"/>
        <v>0</v>
      </c>
      <c r="BK15" s="155">
        <f t="shared" si="27"/>
        <v>0</v>
      </c>
      <c r="BL15" s="155">
        <f t="shared" si="28"/>
        <v>0</v>
      </c>
      <c r="BM15" s="338">
        <f t="shared" si="58"/>
        <v>-1840.7849256776567</v>
      </c>
      <c r="BN15" s="16">
        <f t="shared" si="29"/>
        <v>-1840.7849256776567</v>
      </c>
      <c r="BO15" s="97">
        <f t="shared" si="59"/>
        <v>-15688.843405830814</v>
      </c>
      <c r="BP15" s="16">
        <f t="shared" si="30"/>
        <v>-1840.7849256776567</v>
      </c>
      <c r="BQ15" s="97">
        <f t="shared" si="60"/>
        <v>-15688.843405830814</v>
      </c>
      <c r="BR15" s="2" t="str">
        <f t="shared" si="31"/>
        <v/>
      </c>
      <c r="BS15" s="16">
        <f t="shared" si="61"/>
        <v>-1840.7849256776567</v>
      </c>
      <c r="BT15" s="16">
        <f t="shared" si="32"/>
        <v>-1840.7849256776567</v>
      </c>
      <c r="BU15" s="97">
        <f t="shared" si="62"/>
        <v>-15688.843405830814</v>
      </c>
      <c r="BV15" s="16">
        <f t="shared" si="34"/>
        <v>-1840.7849256776567</v>
      </c>
      <c r="BW15" s="97">
        <f t="shared" si="63"/>
        <v>-15688.843405830814</v>
      </c>
      <c r="BX15" s="2" t="str">
        <f t="shared" si="35"/>
        <v/>
      </c>
      <c r="BY15" s="16" t="str">
        <f t="shared" si="64"/>
        <v/>
      </c>
      <c r="BZ15" s="16" t="str">
        <f t="shared" si="36"/>
        <v/>
      </c>
      <c r="CA15" s="97" t="str">
        <f t="shared" si="66"/>
        <v/>
      </c>
      <c r="CB15" s="16" t="str">
        <f t="shared" si="37"/>
        <v/>
      </c>
      <c r="CC15" s="97" t="str">
        <f t="shared" si="67"/>
        <v/>
      </c>
      <c r="CD15" s="2" t="str">
        <f t="shared" si="38"/>
        <v/>
      </c>
    </row>
    <row r="16" spans="1:82" x14ac:dyDescent="0.2">
      <c r="A16" s="2"/>
      <c r="B16" s="2">
        <f t="shared" si="65"/>
        <v>9</v>
      </c>
      <c r="C16" s="2" t="b">
        <f t="shared" si="1"/>
        <v>1</v>
      </c>
      <c r="D16" s="2" t="b">
        <f t="shared" si="2"/>
        <v>0</v>
      </c>
      <c r="E16" s="2" t="b">
        <f t="shared" si="3"/>
        <v>0</v>
      </c>
      <c r="F16" s="2" t="b">
        <f t="shared" si="4"/>
        <v>0</v>
      </c>
      <c r="G16" s="2" t="b">
        <f t="shared" si="5"/>
        <v>0</v>
      </c>
      <c r="H16" s="2" t="b">
        <f t="shared" si="6"/>
        <v>0</v>
      </c>
      <c r="I16" s="36" t="b">
        <f t="shared" si="7"/>
        <v>0</v>
      </c>
      <c r="J16" s="135">
        <f t="shared" si="39"/>
        <v>0.96799999999999997</v>
      </c>
      <c r="K16" s="160">
        <f t="shared" si="8"/>
        <v>4356</v>
      </c>
      <c r="L16" s="138">
        <f t="shared" si="40"/>
        <v>0.89333333333333353</v>
      </c>
      <c r="M16" s="217" t="str">
        <f t="shared" si="9"/>
        <v/>
      </c>
      <c r="N16" s="140" t="str">
        <f t="shared" si="41"/>
        <v/>
      </c>
      <c r="O16" s="139" t="str">
        <f t="shared" si="10"/>
        <v/>
      </c>
      <c r="P16" s="139" t="str">
        <f t="shared" si="11"/>
        <v/>
      </c>
      <c r="Q16" s="142" t="str">
        <f t="shared" si="12"/>
        <v/>
      </c>
      <c r="R16" s="82">
        <f t="shared" si="42"/>
        <v>8.3256563514034987E-2</v>
      </c>
      <c r="S16" s="90">
        <f t="shared" si="43"/>
        <v>-4.0263968899793715E-14</v>
      </c>
      <c r="T16" s="342">
        <f t="shared" si="44"/>
        <v>0.10060168091279226</v>
      </c>
      <c r="U16" s="90">
        <f t="shared" si="13"/>
        <v>292.42296450202349</v>
      </c>
      <c r="V16" s="82">
        <f t="shared" si="45"/>
        <v>0.2414440341907014</v>
      </c>
      <c r="W16" s="90">
        <f t="shared" si="14"/>
        <v>349.91509812983912</v>
      </c>
      <c r="X16" s="132">
        <f t="shared" si="46"/>
        <v>1.5610605658881558</v>
      </c>
      <c r="Y16" s="90">
        <f t="shared" si="47"/>
        <v>0</v>
      </c>
      <c r="Z16" s="219">
        <f t="shared" si="48"/>
        <v>0</v>
      </c>
      <c r="AA16" s="219">
        <f t="shared" si="49"/>
        <v>8.3256563514034969</v>
      </c>
      <c r="AB16" s="221">
        <f t="shared" si="50"/>
        <v>0</v>
      </c>
      <c r="AC16" s="148">
        <f t="shared" si="15"/>
        <v>0</v>
      </c>
      <c r="AD16" s="148">
        <f t="shared" si="16"/>
        <v>0</v>
      </c>
      <c r="AE16" s="155">
        <f t="shared" si="17"/>
        <v>0</v>
      </c>
      <c r="AF16" s="86">
        <f t="shared" si="18"/>
        <v>0</v>
      </c>
      <c r="AG16" s="86">
        <f t="shared" si="18"/>
        <v>0</v>
      </c>
      <c r="AH16" s="86">
        <f t="shared" si="18"/>
        <v>69</v>
      </c>
      <c r="AI16" s="86">
        <f t="shared" si="18"/>
        <v>99</v>
      </c>
      <c r="AJ16" s="86">
        <f t="shared" si="18"/>
        <v>120</v>
      </c>
      <c r="AK16" s="86">
        <f t="shared" si="18"/>
        <v>0</v>
      </c>
      <c r="AL16" s="86">
        <f t="shared" si="18"/>
        <v>0</v>
      </c>
      <c r="AM16" s="86">
        <f t="shared" si="18"/>
        <v>49.1008</v>
      </c>
      <c r="AN16" s="86">
        <f t="shared" si="18"/>
        <v>0</v>
      </c>
      <c r="AO16" s="86">
        <f t="shared" si="18"/>
        <v>0</v>
      </c>
      <c r="AP16" s="86">
        <f t="shared" si="18"/>
        <v>0</v>
      </c>
      <c r="AQ16" s="86">
        <f t="shared" si="18"/>
        <v>0</v>
      </c>
      <c r="AR16" s="86">
        <f t="shared" si="18"/>
        <v>0</v>
      </c>
      <c r="AS16" s="86">
        <f t="shared" si="18"/>
        <v>0</v>
      </c>
      <c r="AT16" s="86">
        <f t="shared" si="18"/>
        <v>0</v>
      </c>
      <c r="AU16" s="86">
        <f t="shared" si="18"/>
        <v>0</v>
      </c>
      <c r="AV16" s="86">
        <f t="shared" si="51"/>
        <v>337.10079999999999</v>
      </c>
      <c r="AW16" s="91">
        <f t="shared" si="52"/>
        <v>1.0407070439254371</v>
      </c>
      <c r="AX16" s="176">
        <f t="shared" si="19"/>
        <v>-350.82317707289997</v>
      </c>
      <c r="AY16" s="176">
        <f t="shared" si="53"/>
        <v>0</v>
      </c>
      <c r="AZ16" s="176">
        <f t="shared" si="54"/>
        <v>0</v>
      </c>
      <c r="BA16" s="92">
        <f t="shared" si="55"/>
        <v>0</v>
      </c>
      <c r="BB16" s="181">
        <f t="shared" si="20"/>
        <v>3.2613814808832906E-15</v>
      </c>
      <c r="BC16" s="181">
        <f t="shared" si="21"/>
        <v>28.416677342904894</v>
      </c>
      <c r="BD16" s="93">
        <f t="shared" si="22"/>
        <v>0</v>
      </c>
      <c r="BE16" s="85">
        <f t="shared" si="23"/>
        <v>0</v>
      </c>
      <c r="BF16" s="86">
        <f t="shared" si="56"/>
        <v>0</v>
      </c>
      <c r="BG16" s="94">
        <f t="shared" si="24"/>
        <v>0</v>
      </c>
      <c r="BH16" s="95">
        <f t="shared" si="57"/>
        <v>-511.46666666666664</v>
      </c>
      <c r="BI16" s="95">
        <f t="shared" si="25"/>
        <v>0</v>
      </c>
      <c r="BJ16" s="96">
        <f t="shared" si="26"/>
        <v>0</v>
      </c>
      <c r="BK16" s="155">
        <f t="shared" si="27"/>
        <v>0</v>
      </c>
      <c r="BL16" s="155">
        <f t="shared" si="28"/>
        <v>0</v>
      </c>
      <c r="BM16" s="338">
        <f t="shared" si="58"/>
        <v>319.93156290186755</v>
      </c>
      <c r="BN16" s="16">
        <f t="shared" si="29"/>
        <v>319.93156290186755</v>
      </c>
      <c r="BO16" s="97">
        <f t="shared" si="59"/>
        <v>-15368.911842928946</v>
      </c>
      <c r="BP16" s="16">
        <f t="shared" si="30"/>
        <v>319.93156290186755</v>
      </c>
      <c r="BQ16" s="97">
        <f t="shared" si="60"/>
        <v>-15368.911842928946</v>
      </c>
      <c r="BR16" s="2" t="str">
        <f t="shared" si="31"/>
        <v/>
      </c>
      <c r="BS16" s="16">
        <f t="shared" si="61"/>
        <v>319.93156290186755</v>
      </c>
      <c r="BT16" s="16">
        <f t="shared" si="32"/>
        <v>319.93156290186755</v>
      </c>
      <c r="BU16" s="97">
        <f t="shared" si="62"/>
        <v>-15368.911842928946</v>
      </c>
      <c r="BV16" s="16">
        <f t="shared" si="34"/>
        <v>319.93156290186755</v>
      </c>
      <c r="BW16" s="97">
        <f t="shared" si="63"/>
        <v>-15368.911842928946</v>
      </c>
      <c r="BX16" s="2" t="str">
        <f t="shared" si="35"/>
        <v/>
      </c>
      <c r="BY16" s="16" t="str">
        <f t="shared" si="64"/>
        <v/>
      </c>
      <c r="BZ16" s="16" t="str">
        <f t="shared" si="36"/>
        <v/>
      </c>
      <c r="CA16" s="97" t="str">
        <f t="shared" si="66"/>
        <v/>
      </c>
      <c r="CB16" s="16" t="str">
        <f t="shared" si="37"/>
        <v/>
      </c>
      <c r="CC16" s="97" t="str">
        <f t="shared" si="67"/>
        <v/>
      </c>
      <c r="CD16" s="2" t="str">
        <f t="shared" si="38"/>
        <v/>
      </c>
    </row>
    <row r="17" spans="1:82" x14ac:dyDescent="0.2">
      <c r="A17" s="2"/>
      <c r="B17" s="2">
        <f t="shared" si="65"/>
        <v>10</v>
      </c>
      <c r="C17" s="2" t="b">
        <f t="shared" si="1"/>
        <v>1</v>
      </c>
      <c r="D17" s="2" t="b">
        <f t="shared" si="2"/>
        <v>0</v>
      </c>
      <c r="E17" s="2" t="b">
        <f t="shared" si="3"/>
        <v>0</v>
      </c>
      <c r="F17" s="2" t="b">
        <f t="shared" si="4"/>
        <v>0</v>
      </c>
      <c r="G17" s="2" t="b">
        <f t="shared" si="5"/>
        <v>0</v>
      </c>
      <c r="H17" s="2" t="b">
        <f t="shared" si="6"/>
        <v>0</v>
      </c>
      <c r="I17" s="36" t="b">
        <f t="shared" si="7"/>
        <v>0</v>
      </c>
      <c r="J17" s="135">
        <f t="shared" si="39"/>
        <v>0.96399999999999997</v>
      </c>
      <c r="K17" s="160">
        <f t="shared" si="8"/>
        <v>4338</v>
      </c>
      <c r="L17" s="138">
        <f t="shared" si="40"/>
        <v>0.88000000000000023</v>
      </c>
      <c r="M17" s="217" t="str">
        <f t="shared" si="9"/>
        <v/>
      </c>
      <c r="N17" s="140" t="str">
        <f t="shared" si="41"/>
        <v/>
      </c>
      <c r="O17" s="139" t="str">
        <f t="shared" si="10"/>
        <v/>
      </c>
      <c r="P17" s="139" t="str">
        <f t="shared" si="11"/>
        <v/>
      </c>
      <c r="Q17" s="142" t="str">
        <f t="shared" si="12"/>
        <v/>
      </c>
      <c r="R17" s="82">
        <f t="shared" si="42"/>
        <v>8.3672846331605155E-2</v>
      </c>
      <c r="S17" s="90">
        <f t="shared" si="43"/>
        <v>-4.0298076807332792E-14</v>
      </c>
      <c r="T17" s="342">
        <f t="shared" si="44"/>
        <v>0.10110468931735621</v>
      </c>
      <c r="U17" s="90">
        <f t="shared" si="13"/>
        <v>292.67067817029988</v>
      </c>
      <c r="V17" s="82">
        <f t="shared" si="45"/>
        <v>0.24265125436165488</v>
      </c>
      <c r="W17" s="90">
        <f t="shared" si="14"/>
        <v>350.21151381213917</v>
      </c>
      <c r="X17" s="132">
        <f t="shared" si="46"/>
        <v>1.5688658687175965</v>
      </c>
      <c r="Y17" s="90">
        <f t="shared" si="47"/>
        <v>0</v>
      </c>
      <c r="Z17" s="219">
        <f t="shared" si="48"/>
        <v>0</v>
      </c>
      <c r="AA17" s="219">
        <f t="shared" si="49"/>
        <v>8.367284633160514</v>
      </c>
      <c r="AB17" s="221">
        <f t="shared" si="50"/>
        <v>0</v>
      </c>
      <c r="AC17" s="148">
        <f t="shared" si="15"/>
        <v>0</v>
      </c>
      <c r="AD17" s="148">
        <f t="shared" si="16"/>
        <v>0</v>
      </c>
      <c r="AE17" s="155">
        <f t="shared" si="17"/>
        <v>0</v>
      </c>
      <c r="AF17" s="86">
        <f t="shared" si="18"/>
        <v>830.68799999999999</v>
      </c>
      <c r="AG17" s="86">
        <f t="shared" si="18"/>
        <v>0</v>
      </c>
      <c r="AH17" s="86">
        <f t="shared" si="18"/>
        <v>69</v>
      </c>
      <c r="AI17" s="86">
        <f t="shared" si="18"/>
        <v>99</v>
      </c>
      <c r="AJ17" s="86">
        <f t="shared" si="18"/>
        <v>120</v>
      </c>
      <c r="AK17" s="86">
        <f t="shared" si="18"/>
        <v>0</v>
      </c>
      <c r="AL17" s="86">
        <f t="shared" si="18"/>
        <v>0</v>
      </c>
      <c r="AM17" s="86">
        <f t="shared" si="18"/>
        <v>49.1008</v>
      </c>
      <c r="AN17" s="86">
        <f t="shared" si="18"/>
        <v>0</v>
      </c>
      <c r="AO17" s="86">
        <f t="shared" si="18"/>
        <v>0</v>
      </c>
      <c r="AP17" s="86">
        <f t="shared" si="18"/>
        <v>0</v>
      </c>
      <c r="AQ17" s="86">
        <f t="shared" si="18"/>
        <v>0</v>
      </c>
      <c r="AR17" s="86">
        <f t="shared" si="18"/>
        <v>0</v>
      </c>
      <c r="AS17" s="86">
        <f t="shared" si="18"/>
        <v>0</v>
      </c>
      <c r="AT17" s="86">
        <f t="shared" si="18"/>
        <v>0</v>
      </c>
      <c r="AU17" s="86">
        <f t="shared" si="18"/>
        <v>0</v>
      </c>
      <c r="AV17" s="86">
        <f t="shared" si="51"/>
        <v>1167.7888</v>
      </c>
      <c r="AW17" s="91">
        <f t="shared" si="52"/>
        <v>1.0459105791450642</v>
      </c>
      <c r="AX17" s="176">
        <f t="shared" si="19"/>
        <v>-1221.4026601271196</v>
      </c>
      <c r="AY17" s="176">
        <f t="shared" si="53"/>
        <v>0</v>
      </c>
      <c r="AZ17" s="176">
        <f t="shared" si="54"/>
        <v>0</v>
      </c>
      <c r="BA17" s="92">
        <f t="shared" si="55"/>
        <v>0</v>
      </c>
      <c r="BB17" s="181">
        <f t="shared" si="20"/>
        <v>3.2641442213939557E-15</v>
      </c>
      <c r="BC17" s="181">
        <f t="shared" si="21"/>
        <v>98.933615470296687</v>
      </c>
      <c r="BD17" s="93">
        <f t="shared" si="22"/>
        <v>0</v>
      </c>
      <c r="BE17" s="85">
        <f t="shared" si="23"/>
        <v>0</v>
      </c>
      <c r="BF17" s="86">
        <f t="shared" si="56"/>
        <v>0</v>
      </c>
      <c r="BG17" s="94">
        <f t="shared" si="24"/>
        <v>0</v>
      </c>
      <c r="BH17" s="95">
        <f t="shared" si="57"/>
        <v>-511.46666666666664</v>
      </c>
      <c r="BI17" s="95">
        <f t="shared" si="25"/>
        <v>0</v>
      </c>
      <c r="BJ17" s="96">
        <f t="shared" si="26"/>
        <v>0</v>
      </c>
      <c r="BK17" s="155">
        <f t="shared" si="27"/>
        <v>0</v>
      </c>
      <c r="BL17" s="155">
        <f t="shared" si="28"/>
        <v>0</v>
      </c>
      <c r="BM17" s="338">
        <f t="shared" si="58"/>
        <v>-479.58685267438386</v>
      </c>
      <c r="BN17" s="16">
        <f t="shared" si="29"/>
        <v>-479.58685267438386</v>
      </c>
      <c r="BO17" s="97">
        <f t="shared" si="59"/>
        <v>-15848.49869560333</v>
      </c>
      <c r="BP17" s="16">
        <f t="shared" si="30"/>
        <v>-479.58685267438386</v>
      </c>
      <c r="BQ17" s="97">
        <f t="shared" si="60"/>
        <v>-15848.49869560333</v>
      </c>
      <c r="BR17" s="2" t="str">
        <f t="shared" si="31"/>
        <v/>
      </c>
      <c r="BS17" s="16">
        <f t="shared" si="61"/>
        <v>-479.58685267438386</v>
      </c>
      <c r="BT17" s="16">
        <f t="shared" si="32"/>
        <v>-479.58685267438386</v>
      </c>
      <c r="BU17" s="97">
        <f t="shared" si="62"/>
        <v>-15848.49869560333</v>
      </c>
      <c r="BV17" s="16">
        <f t="shared" si="34"/>
        <v>-479.58685267438386</v>
      </c>
      <c r="BW17" s="97">
        <f t="shared" si="63"/>
        <v>-15848.49869560333</v>
      </c>
      <c r="BX17" s="2" t="str">
        <f t="shared" si="35"/>
        <v/>
      </c>
      <c r="BY17" s="16" t="str">
        <f t="shared" si="64"/>
        <v/>
      </c>
      <c r="BZ17" s="16" t="str">
        <f t="shared" si="36"/>
        <v/>
      </c>
      <c r="CA17" s="97" t="str">
        <f t="shared" si="66"/>
        <v/>
      </c>
      <c r="CB17" s="16" t="str">
        <f t="shared" si="37"/>
        <v/>
      </c>
      <c r="CC17" s="97" t="str">
        <f t="shared" si="67"/>
        <v/>
      </c>
      <c r="CD17" s="2" t="str">
        <f t="shared" si="38"/>
        <v/>
      </c>
    </row>
    <row r="18" spans="1:82" x14ac:dyDescent="0.2">
      <c r="A18" s="2"/>
      <c r="B18" s="2">
        <f t="shared" si="65"/>
        <v>11</v>
      </c>
      <c r="C18" s="2" t="b">
        <f t="shared" si="1"/>
        <v>1</v>
      </c>
      <c r="D18" s="2" t="b">
        <f t="shared" si="2"/>
        <v>0</v>
      </c>
      <c r="E18" s="2" t="b">
        <f t="shared" si="3"/>
        <v>0</v>
      </c>
      <c r="F18" s="2" t="b">
        <f t="shared" si="4"/>
        <v>0</v>
      </c>
      <c r="G18" s="2" t="b">
        <f t="shared" si="5"/>
        <v>0</v>
      </c>
      <c r="H18" s="2" t="b">
        <f t="shared" si="6"/>
        <v>0</v>
      </c>
      <c r="I18" s="36" t="b">
        <f t="shared" si="7"/>
        <v>0</v>
      </c>
      <c r="J18" s="135">
        <f t="shared" si="39"/>
        <v>0.96</v>
      </c>
      <c r="K18" s="160">
        <f t="shared" si="8"/>
        <v>4320</v>
      </c>
      <c r="L18" s="138">
        <f t="shared" si="40"/>
        <v>0.86666666666666692</v>
      </c>
      <c r="M18" s="217" t="str">
        <f t="shared" si="9"/>
        <v/>
      </c>
      <c r="N18" s="140" t="str">
        <f t="shared" si="41"/>
        <v/>
      </c>
      <c r="O18" s="139" t="str">
        <f t="shared" si="10"/>
        <v/>
      </c>
      <c r="P18" s="139" t="str">
        <f t="shared" si="11"/>
        <v/>
      </c>
      <c r="Q18" s="142" t="str">
        <f t="shared" si="12"/>
        <v/>
      </c>
      <c r="R18" s="82">
        <f t="shared" si="42"/>
        <v>8.4091210563263172E-2</v>
      </c>
      <c r="S18" s="90">
        <f t="shared" si="43"/>
        <v>-4.0331519194724762E-14</v>
      </c>
      <c r="T18" s="342">
        <f t="shared" si="44"/>
        <v>0.10161021276394298</v>
      </c>
      <c r="U18" s="90">
        <f t="shared" si="13"/>
        <v>292.91355840114659</v>
      </c>
      <c r="V18" s="82">
        <f t="shared" si="45"/>
        <v>0.24386451063346312</v>
      </c>
      <c r="W18" s="90">
        <f t="shared" si="14"/>
        <v>350.50214577380893</v>
      </c>
      <c r="X18" s="132">
        <f t="shared" si="46"/>
        <v>1.5767101980611844</v>
      </c>
      <c r="Y18" s="90">
        <f t="shared" si="47"/>
        <v>0</v>
      </c>
      <c r="Z18" s="219">
        <f t="shared" si="48"/>
        <v>0</v>
      </c>
      <c r="AA18" s="219">
        <f t="shared" si="49"/>
        <v>8.409121056326315</v>
      </c>
      <c r="AB18" s="221">
        <f t="shared" si="50"/>
        <v>0</v>
      </c>
      <c r="AC18" s="148">
        <f t="shared" si="15"/>
        <v>0</v>
      </c>
      <c r="AD18" s="148">
        <f t="shared" si="16"/>
        <v>0</v>
      </c>
      <c r="AE18" s="155">
        <f t="shared" si="17"/>
        <v>0</v>
      </c>
      <c r="AF18" s="86">
        <f t="shared" ref="AF18:AS23" si="68">IF(INT($B18/AF$4)=$B18/AF$4,AF$3,0)</f>
        <v>0</v>
      </c>
      <c r="AG18" s="86">
        <f t="shared" si="68"/>
        <v>0</v>
      </c>
      <c r="AH18" s="86">
        <f t="shared" si="68"/>
        <v>69</v>
      </c>
      <c r="AI18" s="86">
        <f t="shared" si="68"/>
        <v>99</v>
      </c>
      <c r="AJ18" s="86">
        <f t="shared" si="68"/>
        <v>120</v>
      </c>
      <c r="AK18" s="86">
        <f t="shared" si="68"/>
        <v>0</v>
      </c>
      <c r="AL18" s="86">
        <f t="shared" si="68"/>
        <v>0</v>
      </c>
      <c r="AM18" s="86">
        <f t="shared" si="68"/>
        <v>49.1008</v>
      </c>
      <c r="AN18" s="86">
        <f t="shared" si="68"/>
        <v>0</v>
      </c>
      <c r="AO18" s="86">
        <f t="shared" si="68"/>
        <v>0</v>
      </c>
      <c r="AP18" s="86">
        <f t="shared" si="18"/>
        <v>0</v>
      </c>
      <c r="AQ18" s="86">
        <f t="shared" si="68"/>
        <v>0</v>
      </c>
      <c r="AR18" s="86">
        <f t="shared" si="68"/>
        <v>0</v>
      </c>
      <c r="AS18" s="86">
        <f t="shared" si="68"/>
        <v>0</v>
      </c>
      <c r="AT18" s="86">
        <f t="shared" si="18"/>
        <v>0</v>
      </c>
      <c r="AU18" s="86">
        <f t="shared" si="18"/>
        <v>0</v>
      </c>
      <c r="AV18" s="86">
        <f t="shared" si="51"/>
        <v>337.10079999999999</v>
      </c>
      <c r="AW18" s="91">
        <f t="shared" si="52"/>
        <v>1.0511401320407894</v>
      </c>
      <c r="AX18" s="176">
        <f t="shared" si="19"/>
        <v>-354.3401794230557</v>
      </c>
      <c r="AY18" s="176">
        <f t="shared" si="53"/>
        <v>0</v>
      </c>
      <c r="AZ18" s="176">
        <f t="shared" si="54"/>
        <v>0</v>
      </c>
      <c r="BA18" s="92">
        <f t="shared" si="55"/>
        <v>0</v>
      </c>
      <c r="BB18" s="181">
        <f t="shared" si="20"/>
        <v>3.2668530547727056E-15</v>
      </c>
      <c r="BC18" s="181">
        <f t="shared" si="21"/>
        <v>28.701554533267508</v>
      </c>
      <c r="BD18" s="93">
        <f t="shared" si="22"/>
        <v>0</v>
      </c>
      <c r="BE18" s="85">
        <f t="shared" si="23"/>
        <v>0</v>
      </c>
      <c r="BF18" s="86">
        <f t="shared" si="56"/>
        <v>0</v>
      </c>
      <c r="BG18" s="94">
        <f t="shared" si="24"/>
        <v>0</v>
      </c>
      <c r="BH18" s="95">
        <f t="shared" si="57"/>
        <v>-511.46666666666664</v>
      </c>
      <c r="BI18" s="95">
        <f t="shared" si="25"/>
        <v>0</v>
      </c>
      <c r="BJ18" s="96">
        <f t="shared" si="26"/>
        <v>0</v>
      </c>
      <c r="BK18" s="155">
        <f t="shared" si="27"/>
        <v>0</v>
      </c>
      <c r="BL18" s="155">
        <f t="shared" si="28"/>
        <v>0</v>
      </c>
      <c r="BM18" s="338">
        <f t="shared" si="58"/>
        <v>317.77707928516719</v>
      </c>
      <c r="BN18" s="16">
        <f t="shared" si="29"/>
        <v>317.77707928516719</v>
      </c>
      <c r="BO18" s="97">
        <f t="shared" si="59"/>
        <v>-15530.721616318162</v>
      </c>
      <c r="BP18" s="16">
        <f t="shared" si="30"/>
        <v>317.77707928516719</v>
      </c>
      <c r="BQ18" s="97">
        <f t="shared" si="60"/>
        <v>-15530.721616318162</v>
      </c>
      <c r="BR18" s="2" t="str">
        <f t="shared" si="31"/>
        <v/>
      </c>
      <c r="BS18" s="16">
        <f t="shared" si="61"/>
        <v>317.77707928516719</v>
      </c>
      <c r="BT18" s="16">
        <f t="shared" si="32"/>
        <v>317.77707928516719</v>
      </c>
      <c r="BU18" s="97">
        <f t="shared" si="62"/>
        <v>-15530.721616318162</v>
      </c>
      <c r="BV18" s="16">
        <f t="shared" si="34"/>
        <v>317.77707928516719</v>
      </c>
      <c r="BW18" s="97">
        <f t="shared" si="63"/>
        <v>-15530.721616318162</v>
      </c>
      <c r="BX18" s="2" t="str">
        <f t="shared" si="35"/>
        <v/>
      </c>
      <c r="BY18" s="16" t="str">
        <f t="shared" si="64"/>
        <v/>
      </c>
      <c r="BZ18" s="16" t="str">
        <f t="shared" si="36"/>
        <v/>
      </c>
      <c r="CA18" s="97" t="str">
        <f t="shared" si="66"/>
        <v/>
      </c>
      <c r="CB18" s="16" t="str">
        <f t="shared" si="37"/>
        <v/>
      </c>
      <c r="CC18" s="97" t="str">
        <f t="shared" si="67"/>
        <v/>
      </c>
      <c r="CD18" s="2" t="str">
        <f t="shared" si="38"/>
        <v/>
      </c>
    </row>
    <row r="19" spans="1:82" x14ac:dyDescent="0.2">
      <c r="A19" s="2"/>
      <c r="B19" s="2">
        <f t="shared" si="65"/>
        <v>12</v>
      </c>
      <c r="C19" s="2" t="b">
        <f t="shared" si="1"/>
        <v>1</v>
      </c>
      <c r="D19" s="2" t="b">
        <f t="shared" si="2"/>
        <v>0</v>
      </c>
      <c r="E19" s="2" t="b">
        <f t="shared" si="3"/>
        <v>0</v>
      </c>
      <c r="F19" s="2" t="b">
        <f t="shared" si="4"/>
        <v>0</v>
      </c>
      <c r="G19" s="2" t="b">
        <f t="shared" si="5"/>
        <v>0</v>
      </c>
      <c r="H19" s="2" t="b">
        <f t="shared" si="6"/>
        <v>0</v>
      </c>
      <c r="I19" s="36" t="b">
        <f t="shared" si="7"/>
        <v>0</v>
      </c>
      <c r="J19" s="135">
        <f t="shared" si="39"/>
        <v>0.95599999999999996</v>
      </c>
      <c r="K19" s="160">
        <f t="shared" si="8"/>
        <v>4302</v>
      </c>
      <c r="L19" s="138">
        <f t="shared" si="40"/>
        <v>0.85333333333333361</v>
      </c>
      <c r="M19" s="217" t="str">
        <f t="shared" si="9"/>
        <v/>
      </c>
      <c r="N19" s="140" t="str">
        <f t="shared" si="41"/>
        <v/>
      </c>
      <c r="O19" s="139" t="str">
        <f t="shared" si="10"/>
        <v/>
      </c>
      <c r="P19" s="139" t="str">
        <f t="shared" si="11"/>
        <v/>
      </c>
      <c r="Q19" s="142" t="str">
        <f t="shared" si="12"/>
        <v/>
      </c>
      <c r="R19" s="82">
        <f t="shared" si="42"/>
        <v>8.4511666616079478E-2</v>
      </c>
      <c r="S19" s="90">
        <f t="shared" si="43"/>
        <v>-4.0364288554070475E-14</v>
      </c>
      <c r="T19" s="342">
        <f t="shared" si="44"/>
        <v>0.10211826382776269</v>
      </c>
      <c r="U19" s="90">
        <f t="shared" si="13"/>
        <v>293.15155066734752</v>
      </c>
      <c r="V19" s="82">
        <f t="shared" si="45"/>
        <v>0.24508383318663041</v>
      </c>
      <c r="W19" s="90">
        <f t="shared" si="14"/>
        <v>350.78692876725017</v>
      </c>
      <c r="X19" s="132">
        <f t="shared" si="46"/>
        <v>1.5845937490514901</v>
      </c>
      <c r="Y19" s="90">
        <f t="shared" si="47"/>
        <v>0</v>
      </c>
      <c r="Z19" s="219">
        <f t="shared" si="48"/>
        <v>0</v>
      </c>
      <c r="AA19" s="219">
        <f t="shared" si="49"/>
        <v>8.4511666616079459</v>
      </c>
      <c r="AB19" s="221">
        <f t="shared" si="50"/>
        <v>0</v>
      </c>
      <c r="AC19" s="148">
        <f t="shared" si="15"/>
        <v>0</v>
      </c>
      <c r="AD19" s="148">
        <f t="shared" si="16"/>
        <v>0</v>
      </c>
      <c r="AE19" s="155">
        <f t="shared" si="17"/>
        <v>0</v>
      </c>
      <c r="AF19" s="86">
        <f t="shared" si="68"/>
        <v>0</v>
      </c>
      <c r="AG19" s="86">
        <f t="shared" si="68"/>
        <v>0</v>
      </c>
      <c r="AH19" s="86">
        <f t="shared" si="68"/>
        <v>69</v>
      </c>
      <c r="AI19" s="86">
        <f t="shared" si="68"/>
        <v>99</v>
      </c>
      <c r="AJ19" s="86">
        <f t="shared" si="68"/>
        <v>120</v>
      </c>
      <c r="AK19" s="86">
        <f t="shared" si="68"/>
        <v>0</v>
      </c>
      <c r="AL19" s="86">
        <f t="shared" si="68"/>
        <v>0</v>
      </c>
      <c r="AM19" s="86">
        <f t="shared" si="68"/>
        <v>49.1008</v>
      </c>
      <c r="AN19" s="86">
        <f t="shared" si="68"/>
        <v>0</v>
      </c>
      <c r="AO19" s="86">
        <f t="shared" si="68"/>
        <v>0</v>
      </c>
      <c r="AP19" s="86">
        <f t="shared" si="18"/>
        <v>0</v>
      </c>
      <c r="AQ19" s="86">
        <f t="shared" si="68"/>
        <v>0</v>
      </c>
      <c r="AR19" s="86">
        <f t="shared" si="68"/>
        <v>0</v>
      </c>
      <c r="AS19" s="86">
        <f t="shared" si="68"/>
        <v>0</v>
      </c>
      <c r="AT19" s="86">
        <f t="shared" si="18"/>
        <v>0</v>
      </c>
      <c r="AU19" s="86">
        <f t="shared" si="18"/>
        <v>0</v>
      </c>
      <c r="AV19" s="86">
        <f t="shared" si="51"/>
        <v>337.10079999999999</v>
      </c>
      <c r="AW19" s="91">
        <f t="shared" si="52"/>
        <v>1.0563958327009932</v>
      </c>
      <c r="AX19" s="176">
        <f t="shared" si="19"/>
        <v>-356.111880320171</v>
      </c>
      <c r="AY19" s="176">
        <f t="shared" si="53"/>
        <v>0</v>
      </c>
      <c r="AZ19" s="176">
        <f t="shared" si="54"/>
        <v>0</v>
      </c>
      <c r="BA19" s="92">
        <f t="shared" si="55"/>
        <v>0</v>
      </c>
      <c r="BB19" s="181">
        <f t="shared" si="20"/>
        <v>3.2695073728797086E-15</v>
      </c>
      <c r="BC19" s="181">
        <f t="shared" si="21"/>
        <v>28.845062305933848</v>
      </c>
      <c r="BD19" s="93">
        <f t="shared" si="22"/>
        <v>0</v>
      </c>
      <c r="BE19" s="85">
        <f t="shared" si="23"/>
        <v>0</v>
      </c>
      <c r="BF19" s="86">
        <f t="shared" si="56"/>
        <v>0</v>
      </c>
      <c r="BG19" s="94">
        <f t="shared" si="24"/>
        <v>0</v>
      </c>
      <c r="BH19" s="95">
        <f t="shared" si="57"/>
        <v>-511.46666666666664</v>
      </c>
      <c r="BI19" s="95">
        <f t="shared" si="25"/>
        <v>0</v>
      </c>
      <c r="BJ19" s="96">
        <f t="shared" si="26"/>
        <v>0</v>
      </c>
      <c r="BK19" s="155">
        <f t="shared" si="27"/>
        <v>0</v>
      </c>
      <c r="BL19" s="155">
        <f t="shared" si="28"/>
        <v>0</v>
      </c>
      <c r="BM19" s="338">
        <f t="shared" si="58"/>
        <v>316.67166142036046</v>
      </c>
      <c r="BN19" s="16">
        <f t="shared" si="29"/>
        <v>316.67166142036046</v>
      </c>
      <c r="BO19" s="97">
        <f t="shared" si="59"/>
        <v>-15214.049954897802</v>
      </c>
      <c r="BP19" s="16">
        <f t="shared" si="30"/>
        <v>316.67166142036046</v>
      </c>
      <c r="BQ19" s="97">
        <f t="shared" si="60"/>
        <v>-15214.049954897802</v>
      </c>
      <c r="BR19" s="2" t="str">
        <f t="shared" si="31"/>
        <v/>
      </c>
      <c r="BS19" s="16">
        <f t="shared" si="61"/>
        <v>316.67166142036046</v>
      </c>
      <c r="BT19" s="16">
        <f t="shared" si="32"/>
        <v>316.67166142036046</v>
      </c>
      <c r="BU19" s="97">
        <f t="shared" si="62"/>
        <v>-15214.049954897802</v>
      </c>
      <c r="BV19" s="16">
        <f t="shared" si="34"/>
        <v>316.67166142036046</v>
      </c>
      <c r="BW19" s="97">
        <f t="shared" si="63"/>
        <v>-15214.049954897802</v>
      </c>
      <c r="BX19" s="2" t="str">
        <f t="shared" si="35"/>
        <v/>
      </c>
      <c r="BY19" s="16" t="str">
        <f t="shared" si="64"/>
        <v/>
      </c>
      <c r="BZ19" s="16" t="str">
        <f t="shared" si="36"/>
        <v/>
      </c>
      <c r="CA19" s="97" t="str">
        <f t="shared" si="66"/>
        <v/>
      </c>
      <c r="CB19" s="16" t="str">
        <f t="shared" si="37"/>
        <v/>
      </c>
      <c r="CC19" s="97" t="str">
        <f t="shared" si="67"/>
        <v/>
      </c>
      <c r="CD19" s="2" t="str">
        <f t="shared" si="38"/>
        <v/>
      </c>
    </row>
    <row r="20" spans="1:82" x14ac:dyDescent="0.2">
      <c r="A20" s="2"/>
      <c r="B20" s="2">
        <f t="shared" si="65"/>
        <v>13</v>
      </c>
      <c r="C20" s="2" t="b">
        <f t="shared" si="1"/>
        <v>1</v>
      </c>
      <c r="D20" s="2" t="b">
        <f t="shared" si="2"/>
        <v>0</v>
      </c>
      <c r="E20" s="2" t="b">
        <f t="shared" si="3"/>
        <v>0</v>
      </c>
      <c r="F20" s="2" t="b">
        <f t="shared" si="4"/>
        <v>0</v>
      </c>
      <c r="G20" s="2" t="b">
        <f t="shared" si="5"/>
        <v>0</v>
      </c>
      <c r="H20" s="2" t="b">
        <f t="shared" si="6"/>
        <v>0</v>
      </c>
      <c r="I20" s="36" t="b">
        <f t="shared" si="7"/>
        <v>0</v>
      </c>
      <c r="J20" s="135">
        <f t="shared" si="39"/>
        <v>0.95199999999999996</v>
      </c>
      <c r="K20" s="160">
        <f t="shared" si="8"/>
        <v>4284</v>
      </c>
      <c r="L20" s="138">
        <f t="shared" si="40"/>
        <v>0.8400000000000003</v>
      </c>
      <c r="M20" s="217" t="str">
        <f t="shared" si="9"/>
        <v/>
      </c>
      <c r="N20" s="140" t="str">
        <f t="shared" si="41"/>
        <v/>
      </c>
      <c r="O20" s="139" t="str">
        <f t="shared" si="10"/>
        <v/>
      </c>
      <c r="P20" s="139" t="str">
        <f t="shared" si="11"/>
        <v/>
      </c>
      <c r="Q20" s="142" t="str">
        <f t="shared" si="12"/>
        <v/>
      </c>
      <c r="R20" s="82">
        <f t="shared" si="42"/>
        <v>8.4934224949159864E-2</v>
      </c>
      <c r="S20" s="90">
        <f t="shared" si="43"/>
        <v>-4.039637731902977E-14</v>
      </c>
      <c r="T20" s="342">
        <f t="shared" si="44"/>
        <v>0.1026288551469015</v>
      </c>
      <c r="U20" s="90">
        <f t="shared" si="13"/>
        <v>293.38460001725042</v>
      </c>
      <c r="V20" s="82">
        <f t="shared" si="45"/>
        <v>0.24630925235256354</v>
      </c>
      <c r="W20" s="90">
        <f t="shared" si="14"/>
        <v>351.06579703698139</v>
      </c>
      <c r="X20" s="132">
        <f t="shared" si="46"/>
        <v>1.5925167177967474</v>
      </c>
      <c r="Y20" s="90">
        <f t="shared" si="47"/>
        <v>0</v>
      </c>
      <c r="Z20" s="219">
        <f t="shared" si="48"/>
        <v>0</v>
      </c>
      <c r="AA20" s="219">
        <f t="shared" si="49"/>
        <v>8.4934224949159844</v>
      </c>
      <c r="AB20" s="221">
        <f t="shared" si="50"/>
        <v>0</v>
      </c>
      <c r="AC20" s="148">
        <f t="shared" si="15"/>
        <v>0</v>
      </c>
      <c r="AD20" s="148">
        <f t="shared" si="16"/>
        <v>0</v>
      </c>
      <c r="AE20" s="155">
        <f t="shared" si="17"/>
        <v>0</v>
      </c>
      <c r="AF20" s="86">
        <f t="shared" si="68"/>
        <v>0</v>
      </c>
      <c r="AG20" s="86">
        <f t="shared" si="68"/>
        <v>0</v>
      </c>
      <c r="AH20" s="86">
        <f t="shared" si="68"/>
        <v>69</v>
      </c>
      <c r="AI20" s="86">
        <f t="shared" si="68"/>
        <v>99</v>
      </c>
      <c r="AJ20" s="86">
        <f t="shared" si="68"/>
        <v>120</v>
      </c>
      <c r="AK20" s="86">
        <f t="shared" si="68"/>
        <v>0</v>
      </c>
      <c r="AL20" s="86">
        <f t="shared" si="68"/>
        <v>0</v>
      </c>
      <c r="AM20" s="86">
        <f t="shared" si="68"/>
        <v>49.1008</v>
      </c>
      <c r="AN20" s="86">
        <f t="shared" si="68"/>
        <v>0</v>
      </c>
      <c r="AO20" s="86">
        <f t="shared" si="68"/>
        <v>0</v>
      </c>
      <c r="AP20" s="86">
        <f t="shared" si="18"/>
        <v>0</v>
      </c>
      <c r="AQ20" s="86">
        <f t="shared" si="68"/>
        <v>0</v>
      </c>
      <c r="AR20" s="86">
        <f t="shared" si="68"/>
        <v>0</v>
      </c>
      <c r="AS20" s="86">
        <f t="shared" si="68"/>
        <v>0</v>
      </c>
      <c r="AT20" s="86">
        <f t="shared" si="18"/>
        <v>0</v>
      </c>
      <c r="AU20" s="86">
        <f t="shared" si="18"/>
        <v>0</v>
      </c>
      <c r="AV20" s="86">
        <f t="shared" si="51"/>
        <v>337.10079999999999</v>
      </c>
      <c r="AW20" s="91">
        <f t="shared" si="52"/>
        <v>1.0616778118644981</v>
      </c>
      <c r="AX20" s="176">
        <f t="shared" si="19"/>
        <v>-357.89243972177178</v>
      </c>
      <c r="AY20" s="176">
        <f t="shared" si="53"/>
        <v>0</v>
      </c>
      <c r="AZ20" s="176">
        <f t="shared" si="54"/>
        <v>0</v>
      </c>
      <c r="BA20" s="92">
        <f t="shared" si="55"/>
        <v>0</v>
      </c>
      <c r="BB20" s="181">
        <f t="shared" si="20"/>
        <v>3.2721065628414116E-15</v>
      </c>
      <c r="BC20" s="181">
        <f t="shared" si="21"/>
        <v>28.989287617463514</v>
      </c>
      <c r="BD20" s="93">
        <f t="shared" si="22"/>
        <v>0</v>
      </c>
      <c r="BE20" s="85">
        <f t="shared" si="23"/>
        <v>0</v>
      </c>
      <c r="BF20" s="86">
        <f t="shared" si="56"/>
        <v>0</v>
      </c>
      <c r="BG20" s="94">
        <f t="shared" si="24"/>
        <v>0</v>
      </c>
      <c r="BH20" s="95">
        <f t="shared" si="57"/>
        <v>-511.46666666666664</v>
      </c>
      <c r="BI20" s="95">
        <f t="shared" si="25"/>
        <v>0</v>
      </c>
      <c r="BJ20" s="96">
        <f t="shared" si="26"/>
        <v>0</v>
      </c>
      <c r="BK20" s="155">
        <f t="shared" si="27"/>
        <v>0</v>
      </c>
      <c r="BL20" s="155">
        <f t="shared" si="28"/>
        <v>0</v>
      </c>
      <c r="BM20" s="338">
        <f t="shared" si="58"/>
        <v>315.54724494992348</v>
      </c>
      <c r="BN20" s="16">
        <f t="shared" si="29"/>
        <v>315.54724494992348</v>
      </c>
      <c r="BO20" s="97">
        <f t="shared" si="59"/>
        <v>-14898.502709947879</v>
      </c>
      <c r="BP20" s="16">
        <f t="shared" si="30"/>
        <v>315.54724494992348</v>
      </c>
      <c r="BQ20" s="97">
        <f t="shared" si="60"/>
        <v>-14898.502709947879</v>
      </c>
      <c r="BR20" s="2" t="str">
        <f t="shared" si="31"/>
        <v/>
      </c>
      <c r="BS20" s="16">
        <f t="shared" si="61"/>
        <v>315.54724494992348</v>
      </c>
      <c r="BT20" s="16">
        <f t="shared" si="32"/>
        <v>315.54724494992348</v>
      </c>
      <c r="BU20" s="97">
        <f t="shared" si="62"/>
        <v>-14898.502709947879</v>
      </c>
      <c r="BV20" s="16">
        <f t="shared" si="34"/>
        <v>315.54724494992348</v>
      </c>
      <c r="BW20" s="97">
        <f t="shared" si="63"/>
        <v>-14898.502709947879</v>
      </c>
      <c r="BX20" s="2" t="str">
        <f t="shared" si="35"/>
        <v/>
      </c>
      <c r="BY20" s="16" t="str">
        <f t="shared" si="64"/>
        <v/>
      </c>
      <c r="BZ20" s="16" t="str">
        <f t="shared" si="36"/>
        <v/>
      </c>
      <c r="CA20" s="97" t="str">
        <f t="shared" si="66"/>
        <v/>
      </c>
      <c r="CB20" s="16" t="str">
        <f t="shared" si="37"/>
        <v/>
      </c>
      <c r="CC20" s="97" t="str">
        <f t="shared" si="67"/>
        <v/>
      </c>
      <c r="CD20" s="2" t="str">
        <f t="shared" si="38"/>
        <v/>
      </c>
    </row>
    <row r="21" spans="1:82" x14ac:dyDescent="0.2">
      <c r="A21" s="2"/>
      <c r="B21" s="2">
        <f t="shared" si="65"/>
        <v>14</v>
      </c>
      <c r="C21" s="2" t="b">
        <f t="shared" si="1"/>
        <v>1</v>
      </c>
      <c r="D21" s="2" t="b">
        <f t="shared" si="2"/>
        <v>0</v>
      </c>
      <c r="E21" s="2" t="b">
        <f t="shared" si="3"/>
        <v>0</v>
      </c>
      <c r="F21" s="2" t="b">
        <f t="shared" si="4"/>
        <v>0</v>
      </c>
      <c r="G21" s="2" t="b">
        <f t="shared" si="5"/>
        <v>0</v>
      </c>
      <c r="H21" s="2" t="b">
        <f t="shared" si="6"/>
        <v>0</v>
      </c>
      <c r="I21" s="36" t="b">
        <f t="shared" si="7"/>
        <v>0</v>
      </c>
      <c r="J21" s="135">
        <f t="shared" si="39"/>
        <v>0.94799999999999995</v>
      </c>
      <c r="K21" s="160">
        <f t="shared" si="8"/>
        <v>4266</v>
      </c>
      <c r="L21" s="138">
        <f t="shared" si="40"/>
        <v>0.82666666666666699</v>
      </c>
      <c r="M21" s="217" t="str">
        <f t="shared" si="9"/>
        <v/>
      </c>
      <c r="N21" s="140" t="str">
        <f t="shared" si="41"/>
        <v/>
      </c>
      <c r="O21" s="139" t="str">
        <f t="shared" si="10"/>
        <v/>
      </c>
      <c r="P21" s="139" t="str">
        <f t="shared" si="11"/>
        <v/>
      </c>
      <c r="Q21" s="142" t="str">
        <f t="shared" si="12"/>
        <v/>
      </c>
      <c r="R21" s="82">
        <f t="shared" si="42"/>
        <v>8.5358896073905649E-2</v>
      </c>
      <c r="S21" s="90">
        <f t="shared" si="43"/>
        <v>-4.0427777864424806E-14</v>
      </c>
      <c r="T21" s="342">
        <f t="shared" si="44"/>
        <v>0.10314199942263599</v>
      </c>
      <c r="U21" s="90">
        <f t="shared" si="13"/>
        <v>293.61265107188564</v>
      </c>
      <c r="V21" s="82">
        <f t="shared" si="45"/>
        <v>0.24754079861432632</v>
      </c>
      <c r="W21" s="90">
        <f t="shared" si="14"/>
        <v>351.33868431619072</v>
      </c>
      <c r="X21" s="132">
        <f t="shared" si="46"/>
        <v>1.600479301385731</v>
      </c>
      <c r="Y21" s="90">
        <f t="shared" si="47"/>
        <v>0</v>
      </c>
      <c r="Z21" s="219">
        <f t="shared" si="48"/>
        <v>0</v>
      </c>
      <c r="AA21" s="219">
        <f t="shared" si="49"/>
        <v>8.5358896073905637</v>
      </c>
      <c r="AB21" s="221">
        <f t="shared" si="50"/>
        <v>0</v>
      </c>
      <c r="AC21" s="148">
        <f t="shared" si="15"/>
        <v>0</v>
      </c>
      <c r="AD21" s="148">
        <f t="shared" si="16"/>
        <v>0</v>
      </c>
      <c r="AE21" s="155">
        <f t="shared" si="17"/>
        <v>0</v>
      </c>
      <c r="AF21" s="86">
        <f t="shared" si="68"/>
        <v>0</v>
      </c>
      <c r="AG21" s="86">
        <f t="shared" si="68"/>
        <v>0</v>
      </c>
      <c r="AH21" s="86">
        <f t="shared" si="68"/>
        <v>69</v>
      </c>
      <c r="AI21" s="86">
        <f t="shared" si="68"/>
        <v>99</v>
      </c>
      <c r="AJ21" s="86">
        <f t="shared" si="68"/>
        <v>120</v>
      </c>
      <c r="AK21" s="86">
        <f t="shared" si="68"/>
        <v>0</v>
      </c>
      <c r="AL21" s="86">
        <f t="shared" si="68"/>
        <v>0</v>
      </c>
      <c r="AM21" s="86">
        <f t="shared" si="68"/>
        <v>49.1008</v>
      </c>
      <c r="AN21" s="86">
        <f t="shared" si="68"/>
        <v>0</v>
      </c>
      <c r="AO21" s="86">
        <f t="shared" si="68"/>
        <v>0</v>
      </c>
      <c r="AP21" s="86">
        <f t="shared" si="18"/>
        <v>0</v>
      </c>
      <c r="AQ21" s="86">
        <f t="shared" si="68"/>
        <v>0</v>
      </c>
      <c r="AR21" s="86">
        <f t="shared" si="68"/>
        <v>0</v>
      </c>
      <c r="AS21" s="86">
        <f t="shared" si="68"/>
        <v>0</v>
      </c>
      <c r="AT21" s="86">
        <f t="shared" si="18"/>
        <v>0</v>
      </c>
      <c r="AU21" s="86">
        <f t="shared" si="18"/>
        <v>0</v>
      </c>
      <c r="AV21" s="86">
        <f t="shared" si="51"/>
        <v>337.10079999999999</v>
      </c>
      <c r="AW21" s="91">
        <f t="shared" si="52"/>
        <v>1.0669862009238205</v>
      </c>
      <c r="AX21" s="176">
        <f t="shared" si="19"/>
        <v>-359.6819019203806</v>
      </c>
      <c r="AY21" s="176">
        <f t="shared" si="53"/>
        <v>0</v>
      </c>
      <c r="AZ21" s="176">
        <f t="shared" si="54"/>
        <v>0</v>
      </c>
      <c r="BA21" s="92">
        <f t="shared" si="55"/>
        <v>0</v>
      </c>
      <c r="BB21" s="181">
        <f t="shared" si="20"/>
        <v>3.2746500070184092E-15</v>
      </c>
      <c r="BC21" s="181">
        <f t="shared" si="21"/>
        <v>29.134234055550827</v>
      </c>
      <c r="BD21" s="93">
        <f t="shared" si="22"/>
        <v>0</v>
      </c>
      <c r="BE21" s="85">
        <f t="shared" si="23"/>
        <v>0</v>
      </c>
      <c r="BF21" s="86">
        <f t="shared" si="56"/>
        <v>0</v>
      </c>
      <c r="BG21" s="94">
        <f t="shared" si="24"/>
        <v>0</v>
      </c>
      <c r="BH21" s="95">
        <f t="shared" si="57"/>
        <v>-511.46666666666664</v>
      </c>
      <c r="BI21" s="95">
        <f t="shared" si="25"/>
        <v>0</v>
      </c>
      <c r="BJ21" s="96">
        <f t="shared" si="26"/>
        <v>0</v>
      </c>
      <c r="BK21" s="155">
        <f t="shared" si="27"/>
        <v>0</v>
      </c>
      <c r="BL21" s="155">
        <f t="shared" si="28"/>
        <v>0</v>
      </c>
      <c r="BM21" s="338">
        <f t="shared" si="58"/>
        <v>314.40366752324661</v>
      </c>
      <c r="BN21" s="16">
        <f t="shared" si="29"/>
        <v>314.40366752324661</v>
      </c>
      <c r="BO21" s="97">
        <f t="shared" si="59"/>
        <v>-14584.099042424632</v>
      </c>
      <c r="BP21" s="16">
        <f t="shared" si="30"/>
        <v>314.40366752324661</v>
      </c>
      <c r="BQ21" s="97">
        <f t="shared" si="60"/>
        <v>-14584.099042424632</v>
      </c>
      <c r="BR21" s="2" t="str">
        <f t="shared" si="31"/>
        <v/>
      </c>
      <c r="BS21" s="16">
        <f t="shared" si="61"/>
        <v>314.40366752324661</v>
      </c>
      <c r="BT21" s="16">
        <f t="shared" si="32"/>
        <v>314.40366752324661</v>
      </c>
      <c r="BU21" s="97">
        <f t="shared" si="62"/>
        <v>-14584.099042424632</v>
      </c>
      <c r="BV21" s="16">
        <f t="shared" si="34"/>
        <v>314.40366752324661</v>
      </c>
      <c r="BW21" s="97">
        <f t="shared" si="63"/>
        <v>-14584.099042424632</v>
      </c>
      <c r="BX21" s="2" t="str">
        <f t="shared" si="35"/>
        <v/>
      </c>
      <c r="BY21" s="16" t="str">
        <f t="shared" si="64"/>
        <v/>
      </c>
      <c r="BZ21" s="16" t="str">
        <f t="shared" si="36"/>
        <v/>
      </c>
      <c r="CA21" s="97" t="str">
        <f t="shared" si="66"/>
        <v/>
      </c>
      <c r="CB21" s="16" t="str">
        <f t="shared" si="37"/>
        <v/>
      </c>
      <c r="CC21" s="97" t="str">
        <f t="shared" si="67"/>
        <v/>
      </c>
      <c r="CD21" s="2" t="str">
        <f t="shared" si="38"/>
        <v/>
      </c>
    </row>
    <row r="22" spans="1:82" x14ac:dyDescent="0.2">
      <c r="A22" s="2"/>
      <c r="B22" s="2">
        <f t="shared" si="65"/>
        <v>15</v>
      </c>
      <c r="C22" s="2" t="b">
        <f t="shared" si="1"/>
        <v>1</v>
      </c>
      <c r="D22" s="2" t="b">
        <f t="shared" si="2"/>
        <v>0</v>
      </c>
      <c r="E22" s="2" t="b">
        <f t="shared" si="3"/>
        <v>0</v>
      </c>
      <c r="F22" s="2" t="b">
        <f t="shared" si="4"/>
        <v>0</v>
      </c>
      <c r="G22" s="2" t="b">
        <f t="shared" si="5"/>
        <v>0</v>
      </c>
      <c r="H22" s="2" t="b">
        <f t="shared" si="6"/>
        <v>0</v>
      </c>
      <c r="I22" s="36" t="b">
        <f t="shared" si="7"/>
        <v>0</v>
      </c>
      <c r="J22" s="135">
        <f t="shared" si="39"/>
        <v>0.94399999999999995</v>
      </c>
      <c r="K22" s="160">
        <f t="shared" si="8"/>
        <v>4247.9999999999991</v>
      </c>
      <c r="L22" s="138">
        <f t="shared" si="40"/>
        <v>0.81333333333333369</v>
      </c>
      <c r="M22" s="217" t="str">
        <f t="shared" si="9"/>
        <v/>
      </c>
      <c r="N22" s="140" t="str">
        <f t="shared" si="41"/>
        <v/>
      </c>
      <c r="O22" s="139" t="str">
        <f t="shared" si="10"/>
        <v/>
      </c>
      <c r="P22" s="139" t="str">
        <f t="shared" si="11"/>
        <v/>
      </c>
      <c r="Q22" s="142" t="str">
        <f t="shared" si="12"/>
        <v/>
      </c>
      <c r="R22" s="82">
        <f t="shared" si="42"/>
        <v>8.5785690554275165E-2</v>
      </c>
      <c r="S22" s="90">
        <f t="shared" si="43"/>
        <v>-4.0458482505840812E-14</v>
      </c>
      <c r="T22" s="342">
        <f t="shared" si="44"/>
        <v>0.10365770941974917</v>
      </c>
      <c r="U22" s="90">
        <f t="shared" si="13"/>
        <v>293.83564802206678</v>
      </c>
      <c r="V22" s="82">
        <f t="shared" si="45"/>
        <v>0.24877850260739792</v>
      </c>
      <c r="W22" s="90">
        <f t="shared" si="14"/>
        <v>351.60552382326625</v>
      </c>
      <c r="X22" s="132">
        <f t="shared" si="46"/>
        <v>1.6084816978926595</v>
      </c>
      <c r="Y22" s="90">
        <f t="shared" si="47"/>
        <v>0</v>
      </c>
      <c r="Z22" s="219">
        <f t="shared" si="48"/>
        <v>0</v>
      </c>
      <c r="AA22" s="219">
        <f t="shared" si="49"/>
        <v>8.5785690554275149</v>
      </c>
      <c r="AB22" s="221">
        <f t="shared" si="50"/>
        <v>0</v>
      </c>
      <c r="AC22" s="148">
        <f t="shared" si="15"/>
        <v>0</v>
      </c>
      <c r="AD22" s="148">
        <f t="shared" si="16"/>
        <v>0</v>
      </c>
      <c r="AE22" s="155">
        <f t="shared" si="17"/>
        <v>0</v>
      </c>
      <c r="AF22" s="86">
        <f t="shared" si="68"/>
        <v>830.68799999999999</v>
      </c>
      <c r="AG22" s="86">
        <f t="shared" si="68"/>
        <v>0</v>
      </c>
      <c r="AH22" s="86">
        <f t="shared" si="68"/>
        <v>69</v>
      </c>
      <c r="AI22" s="86">
        <f t="shared" si="68"/>
        <v>99</v>
      </c>
      <c r="AJ22" s="86">
        <f t="shared" si="68"/>
        <v>120</v>
      </c>
      <c r="AK22" s="86">
        <f t="shared" si="68"/>
        <v>0</v>
      </c>
      <c r="AL22" s="86">
        <f t="shared" si="68"/>
        <v>0</v>
      </c>
      <c r="AM22" s="86">
        <f t="shared" si="68"/>
        <v>49.1008</v>
      </c>
      <c r="AN22" s="86">
        <f t="shared" si="68"/>
        <v>0</v>
      </c>
      <c r="AO22" s="86">
        <f t="shared" si="68"/>
        <v>0</v>
      </c>
      <c r="AP22" s="86">
        <f t="shared" si="18"/>
        <v>0</v>
      </c>
      <c r="AQ22" s="86">
        <f t="shared" si="68"/>
        <v>0</v>
      </c>
      <c r="AR22" s="86">
        <f t="shared" si="68"/>
        <v>0</v>
      </c>
      <c r="AS22" s="86">
        <f t="shared" si="68"/>
        <v>0</v>
      </c>
      <c r="AT22" s="86">
        <f t="shared" si="18"/>
        <v>0</v>
      </c>
      <c r="AU22" s="86">
        <f t="shared" si="18"/>
        <v>0</v>
      </c>
      <c r="AV22" s="86">
        <f t="shared" si="51"/>
        <v>1167.7888</v>
      </c>
      <c r="AW22" s="91">
        <f t="shared" si="52"/>
        <v>1.0723211319284394</v>
      </c>
      <c r="AX22" s="176">
        <f t="shared" si="19"/>
        <v>-1252.244607869354</v>
      </c>
      <c r="AY22" s="176">
        <f t="shared" si="53"/>
        <v>0</v>
      </c>
      <c r="AZ22" s="176">
        <f t="shared" si="54"/>
        <v>0</v>
      </c>
      <c r="BA22" s="92">
        <f t="shared" si="55"/>
        <v>0</v>
      </c>
      <c r="BB22" s="181">
        <f t="shared" si="20"/>
        <v>3.2771370829731059E-15</v>
      </c>
      <c r="BC22" s="181">
        <f t="shared" si="21"/>
        <v>101.43181323741766</v>
      </c>
      <c r="BD22" s="93">
        <f t="shared" si="22"/>
        <v>0</v>
      </c>
      <c r="BE22" s="85">
        <f t="shared" si="23"/>
        <v>0</v>
      </c>
      <c r="BF22" s="86">
        <f t="shared" si="56"/>
        <v>0</v>
      </c>
      <c r="BG22" s="94">
        <f t="shared" si="24"/>
        <v>0</v>
      </c>
      <c r="BH22" s="95">
        <f t="shared" si="57"/>
        <v>-511.46666666666664</v>
      </c>
      <c r="BI22" s="95">
        <f t="shared" si="25"/>
        <v>0</v>
      </c>
      <c r="BJ22" s="96">
        <f t="shared" si="26"/>
        <v>0</v>
      </c>
      <c r="BK22" s="155">
        <f t="shared" si="27"/>
        <v>0</v>
      </c>
      <c r="BL22" s="155">
        <f t="shared" si="28"/>
        <v>0</v>
      </c>
      <c r="BM22" s="338">
        <f t="shared" si="58"/>
        <v>-505.37162278660338</v>
      </c>
      <c r="BN22" s="16">
        <f t="shared" si="29"/>
        <v>-505.37162278660338</v>
      </c>
      <c r="BO22" s="97">
        <f t="shared" si="59"/>
        <v>-15089.470665211235</v>
      </c>
      <c r="BP22" s="16">
        <f t="shared" si="30"/>
        <v>-505.37162278660338</v>
      </c>
      <c r="BQ22" s="97">
        <f t="shared" si="60"/>
        <v>-15089.470665211235</v>
      </c>
      <c r="BR22" s="2" t="str">
        <f t="shared" si="31"/>
        <v/>
      </c>
      <c r="BS22" s="16">
        <f t="shared" si="61"/>
        <v>-505.37162278660338</v>
      </c>
      <c r="BT22" s="16">
        <f t="shared" si="32"/>
        <v>-505.37162278660338</v>
      </c>
      <c r="BU22" s="97">
        <f t="shared" si="62"/>
        <v>-15089.470665211235</v>
      </c>
      <c r="BV22" s="16">
        <f t="shared" si="34"/>
        <v>-505.37162278660338</v>
      </c>
      <c r="BW22" s="97">
        <f t="shared" si="63"/>
        <v>-15089.470665211235</v>
      </c>
      <c r="BX22" s="2" t="str">
        <f t="shared" si="35"/>
        <v/>
      </c>
      <c r="BY22" s="16" t="str">
        <f t="shared" si="64"/>
        <v/>
      </c>
      <c r="BZ22" s="16" t="str">
        <f t="shared" si="36"/>
        <v/>
      </c>
      <c r="CA22" s="97" t="str">
        <f t="shared" si="66"/>
        <v/>
      </c>
      <c r="CB22" s="16" t="str">
        <f t="shared" si="37"/>
        <v/>
      </c>
      <c r="CC22" s="97" t="str">
        <f t="shared" si="67"/>
        <v/>
      </c>
      <c r="CD22" s="2" t="str">
        <f t="shared" si="38"/>
        <v/>
      </c>
    </row>
    <row r="23" spans="1:82" x14ac:dyDescent="0.2">
      <c r="A23" s="2"/>
      <c r="B23" s="2">
        <f t="shared" si="65"/>
        <v>16</v>
      </c>
      <c r="C23" s="2" t="b">
        <f t="shared" si="1"/>
        <v>1</v>
      </c>
      <c r="D23" s="2" t="b">
        <f t="shared" si="2"/>
        <v>0</v>
      </c>
      <c r="E23" s="2" t="b">
        <f t="shared" si="3"/>
        <v>0</v>
      </c>
      <c r="F23" s="2" t="b">
        <f t="shared" si="4"/>
        <v>0</v>
      </c>
      <c r="G23" s="2" t="b">
        <f t="shared" si="5"/>
        <v>0</v>
      </c>
      <c r="H23" s="2" t="b">
        <f t="shared" si="6"/>
        <v>0</v>
      </c>
      <c r="I23" s="36" t="b">
        <f t="shared" si="7"/>
        <v>0</v>
      </c>
      <c r="J23" s="135">
        <f t="shared" si="39"/>
        <v>0.94</v>
      </c>
      <c r="K23" s="160">
        <f t="shared" si="8"/>
        <v>4229.9999999999991</v>
      </c>
      <c r="L23" s="138">
        <f t="shared" si="40"/>
        <v>1</v>
      </c>
      <c r="M23" s="217" t="str">
        <f t="shared" si="9"/>
        <v/>
      </c>
      <c r="N23" s="140" t="str">
        <f t="shared" si="41"/>
        <v/>
      </c>
      <c r="O23" s="139" t="str">
        <f t="shared" si="10"/>
        <v/>
      </c>
      <c r="P23" s="139" t="str">
        <f t="shared" si="11"/>
        <v/>
      </c>
      <c r="Q23" s="142" t="str">
        <f t="shared" si="12"/>
        <v/>
      </c>
      <c r="R23" s="82">
        <f t="shared" si="42"/>
        <v>8.6214619007046536E-2</v>
      </c>
      <c r="S23" s="90">
        <f t="shared" si="43"/>
        <v>-4.0488483499224377E-14</v>
      </c>
      <c r="T23" s="342">
        <f t="shared" si="44"/>
        <v>0.1041759979668479</v>
      </c>
      <c r="U23" s="90">
        <f t="shared" si="13"/>
        <v>294.05353462547288</v>
      </c>
      <c r="V23" s="82">
        <f t="shared" si="45"/>
        <v>0.25002239512043489</v>
      </c>
      <c r="W23" s="90">
        <f t="shared" si="14"/>
        <v>351.86624825830461</v>
      </c>
      <c r="X23" s="132">
        <f t="shared" si="46"/>
        <v>1.6165241063821225</v>
      </c>
      <c r="Y23" s="90">
        <f t="shared" si="47"/>
        <v>0</v>
      </c>
      <c r="Z23" s="219">
        <f t="shared" si="48"/>
        <v>0</v>
      </c>
      <c r="AA23" s="219">
        <f t="shared" si="49"/>
        <v>8.6214619007046522</v>
      </c>
      <c r="AB23" s="221">
        <f t="shared" si="50"/>
        <v>0</v>
      </c>
      <c r="AC23" s="148">
        <f t="shared" si="15"/>
        <v>0</v>
      </c>
      <c r="AD23" s="148">
        <f t="shared" si="16"/>
        <v>0</v>
      </c>
      <c r="AE23" s="155">
        <f t="shared" si="17"/>
        <v>0</v>
      </c>
      <c r="AF23" s="86">
        <f t="shared" si="68"/>
        <v>0</v>
      </c>
      <c r="AG23" s="86">
        <f t="shared" si="68"/>
        <v>0</v>
      </c>
      <c r="AH23" s="86">
        <f t="shared" si="68"/>
        <v>69</v>
      </c>
      <c r="AI23" s="86">
        <f t="shared" si="68"/>
        <v>99</v>
      </c>
      <c r="AJ23" s="86">
        <f t="shared" si="68"/>
        <v>120</v>
      </c>
      <c r="AK23" s="86">
        <f t="shared" si="68"/>
        <v>0</v>
      </c>
      <c r="AL23" s="86">
        <f t="shared" si="68"/>
        <v>0</v>
      </c>
      <c r="AM23" s="86">
        <f t="shared" si="68"/>
        <v>49.1008</v>
      </c>
      <c r="AN23" s="86">
        <f t="shared" si="68"/>
        <v>1215.3440000000001</v>
      </c>
      <c r="AO23" s="86">
        <f t="shared" si="68"/>
        <v>1056.25</v>
      </c>
      <c r="AP23" s="86">
        <f t="shared" si="18"/>
        <v>0</v>
      </c>
      <c r="AQ23" s="86">
        <f t="shared" si="68"/>
        <v>0</v>
      </c>
      <c r="AR23" s="86">
        <f t="shared" si="68"/>
        <v>0</v>
      </c>
      <c r="AS23" s="86">
        <f t="shared" si="68"/>
        <v>1175</v>
      </c>
      <c r="AT23" s="86">
        <f t="shared" si="18"/>
        <v>0</v>
      </c>
      <c r="AU23" s="86">
        <f t="shared" si="18"/>
        <v>0</v>
      </c>
      <c r="AV23" s="86">
        <f t="shared" si="51"/>
        <v>3783.6948000000002</v>
      </c>
      <c r="AW23" s="91">
        <f t="shared" si="52"/>
        <v>1.0776827375880815</v>
      </c>
      <c r="AX23" s="176">
        <f t="shared" si="19"/>
        <v>-4077.622570261789</v>
      </c>
      <c r="AY23" s="176">
        <f t="shared" si="53"/>
        <v>0</v>
      </c>
      <c r="AZ23" s="176">
        <f t="shared" si="54"/>
        <v>0</v>
      </c>
      <c r="BA23" s="92">
        <f t="shared" si="55"/>
        <v>0</v>
      </c>
      <c r="BB23" s="181">
        <f t="shared" si="20"/>
        <v>3.2795671634371745E-15</v>
      </c>
      <c r="BC23" s="181">
        <f t="shared" si="21"/>
        <v>330.28742819120487</v>
      </c>
      <c r="BD23" s="93">
        <f t="shared" si="22"/>
        <v>0</v>
      </c>
      <c r="BE23" s="85">
        <f t="shared" si="23"/>
        <v>0</v>
      </c>
      <c r="BF23" s="86">
        <f t="shared" si="56"/>
        <v>0</v>
      </c>
      <c r="BG23" s="94">
        <f t="shared" si="24"/>
        <v>0</v>
      </c>
      <c r="BH23" s="95">
        <f t="shared" si="57"/>
        <v>-511.46666666666664</v>
      </c>
      <c r="BI23" s="95">
        <f t="shared" si="25"/>
        <v>0</v>
      </c>
      <c r="BJ23" s="96">
        <f t="shared" si="26"/>
        <v>0</v>
      </c>
      <c r="BK23" s="155">
        <f t="shared" si="27"/>
        <v>0</v>
      </c>
      <c r="BL23" s="155">
        <f t="shared" si="28"/>
        <v>0</v>
      </c>
      <c r="BM23" s="338">
        <f t="shared" si="58"/>
        <v>-3101.4153591868067</v>
      </c>
      <c r="BN23" s="16">
        <f t="shared" si="29"/>
        <v>-3101.4153591868067</v>
      </c>
      <c r="BO23" s="97">
        <f t="shared" si="59"/>
        <v>-18190.886024398042</v>
      </c>
      <c r="BP23" s="16">
        <f t="shared" si="30"/>
        <v>-3101.4153591868067</v>
      </c>
      <c r="BQ23" s="97">
        <f t="shared" si="60"/>
        <v>-18190.886024398042</v>
      </c>
      <c r="BR23" s="2" t="str">
        <f t="shared" si="31"/>
        <v/>
      </c>
      <c r="BS23" s="16">
        <f>IF(C23,BM23+BA23+AC23+AD23+AE23+BD23+BL23,"")</f>
        <v>-3101.4153591868067</v>
      </c>
      <c r="BT23" s="16">
        <f t="shared" si="32"/>
        <v>-3101.4153591868067</v>
      </c>
      <c r="BU23" s="97">
        <f t="shared" si="62"/>
        <v>-18190.886024398042</v>
      </c>
      <c r="BV23" s="16">
        <f t="shared" si="34"/>
        <v>-3101.4153591868067</v>
      </c>
      <c r="BW23" s="97">
        <f t="shared" si="63"/>
        <v>-18190.886024398042</v>
      </c>
      <c r="BX23" s="2" t="str">
        <f t="shared" si="35"/>
        <v/>
      </c>
      <c r="BY23" s="16" t="str">
        <f t="shared" si="64"/>
        <v/>
      </c>
      <c r="BZ23" s="16" t="str">
        <f t="shared" si="36"/>
        <v/>
      </c>
      <c r="CA23" s="97" t="str">
        <f t="shared" si="66"/>
        <v/>
      </c>
      <c r="CB23" s="16" t="str">
        <f t="shared" si="37"/>
        <v/>
      </c>
      <c r="CC23" s="97" t="str">
        <f t="shared" si="67"/>
        <v/>
      </c>
      <c r="CD23" s="2" t="str">
        <f t="shared" si="38"/>
        <v/>
      </c>
    </row>
    <row r="24" spans="1:82" x14ac:dyDescent="0.2">
      <c r="A24" s="2"/>
      <c r="B24" s="2">
        <f t="shared" si="65"/>
        <v>17</v>
      </c>
      <c r="C24" s="2" t="b">
        <f t="shared" si="1"/>
        <v>1</v>
      </c>
      <c r="D24" s="2" t="b">
        <f t="shared" si="2"/>
        <v>0</v>
      </c>
      <c r="E24" s="2" t="b">
        <f t="shared" si="3"/>
        <v>0</v>
      </c>
      <c r="F24" s="2" t="b">
        <f t="shared" si="4"/>
        <v>0</v>
      </c>
      <c r="G24" s="2" t="b">
        <f t="shared" si="5"/>
        <v>0</v>
      </c>
      <c r="H24" s="2" t="b">
        <f t="shared" si="6"/>
        <v>0</v>
      </c>
      <c r="I24" s="36" t="b">
        <f t="shared" si="7"/>
        <v>0</v>
      </c>
      <c r="J24" s="135">
        <f t="shared" si="39"/>
        <v>0.93599999999999994</v>
      </c>
      <c r="K24" s="160">
        <f t="shared" si="8"/>
        <v>4212</v>
      </c>
      <c r="L24" s="138">
        <f t="shared" si="40"/>
        <v>0.98666666666666669</v>
      </c>
      <c r="M24" s="217" t="str">
        <f t="shared" si="9"/>
        <v/>
      </c>
      <c r="N24" s="140" t="str">
        <f t="shared" si="41"/>
        <v/>
      </c>
      <c r="O24" s="139" t="str">
        <f t="shared" si="10"/>
        <v/>
      </c>
      <c r="P24" s="139" t="str">
        <f t="shared" si="11"/>
        <v/>
      </c>
      <c r="Q24" s="142" t="str">
        <f t="shared" si="12"/>
        <v/>
      </c>
      <c r="R24" s="82">
        <f t="shared" si="42"/>
        <v>8.6645692102081756E-2</v>
      </c>
      <c r="S24" s="90">
        <f t="shared" si="43"/>
        <v>-4.0517773040479139E-14</v>
      </c>
      <c r="T24" s="342">
        <f t="shared" si="44"/>
        <v>0.10469687795668213</v>
      </c>
      <c r="U24" s="90">
        <f t="shared" si="13"/>
        <v>294.26625420371266</v>
      </c>
      <c r="V24" s="82">
        <f t="shared" si="45"/>
        <v>0.25127250709603705</v>
      </c>
      <c r="W24" s="90">
        <f t="shared" si="14"/>
        <v>352.12078979959796</v>
      </c>
      <c r="X24" s="132">
        <f t="shared" si="46"/>
        <v>1.624606726914033</v>
      </c>
      <c r="Y24" s="90">
        <f t="shared" si="47"/>
        <v>0</v>
      </c>
      <c r="Z24" s="219">
        <f t="shared" si="48"/>
        <v>0</v>
      </c>
      <c r="AA24" s="219">
        <f t="shared" si="49"/>
        <v>8.6645692102081746</v>
      </c>
      <c r="AB24" s="221">
        <f t="shared" si="50"/>
        <v>0</v>
      </c>
      <c r="AC24" s="148">
        <f t="shared" si="15"/>
        <v>0</v>
      </c>
      <c r="AD24" s="148">
        <f t="shared" si="16"/>
        <v>0</v>
      </c>
      <c r="AE24" s="155">
        <f t="shared" si="17"/>
        <v>0</v>
      </c>
      <c r="AF24" s="86">
        <f t="shared" ref="AF24:AN29" si="69">IF(INT($B24/AF$4)=$B24/AF$4,AF$3,0)</f>
        <v>0</v>
      </c>
      <c r="AG24" s="86">
        <f t="shared" si="69"/>
        <v>0</v>
      </c>
      <c r="AH24" s="86">
        <f t="shared" si="69"/>
        <v>69</v>
      </c>
      <c r="AI24" s="86">
        <f t="shared" si="69"/>
        <v>99</v>
      </c>
      <c r="AJ24" s="86">
        <f t="shared" si="69"/>
        <v>120</v>
      </c>
      <c r="AK24" s="86">
        <f t="shared" si="69"/>
        <v>0</v>
      </c>
      <c r="AL24" s="86">
        <f t="shared" si="69"/>
        <v>0</v>
      </c>
      <c r="AM24" s="86">
        <f t="shared" si="69"/>
        <v>49.1008</v>
      </c>
      <c r="AN24" s="86">
        <f t="shared" si="69"/>
        <v>0</v>
      </c>
      <c r="AO24" s="86">
        <f t="shared" ref="AO24:AP39" si="70">IF(INT($B24/AO$4)=$B24/AO$4,AO$3,0)</f>
        <v>0</v>
      </c>
      <c r="AP24" s="86">
        <f t="shared" si="70"/>
        <v>0</v>
      </c>
      <c r="AQ24" s="86">
        <f t="shared" ref="AQ24:AU39" si="71">IF(INT($B24/AQ$4)=$B24/AQ$4,AQ$3,0)</f>
        <v>0</v>
      </c>
      <c r="AR24" s="86">
        <f t="shared" si="71"/>
        <v>0</v>
      </c>
      <c r="AS24" s="86">
        <f t="shared" si="71"/>
        <v>0</v>
      </c>
      <c r="AT24" s="86">
        <f t="shared" si="71"/>
        <v>0</v>
      </c>
      <c r="AU24" s="86">
        <f t="shared" si="71"/>
        <v>0</v>
      </c>
      <c r="AV24" s="86">
        <f t="shared" si="51"/>
        <v>337.10079999999999</v>
      </c>
      <c r="AW24" s="91">
        <f t="shared" si="52"/>
        <v>1.0830711512760218</v>
      </c>
      <c r="AX24" s="176">
        <f t="shared" si="19"/>
        <v>-365.10415155206795</v>
      </c>
      <c r="AY24" s="176">
        <f t="shared" si="53"/>
        <v>0</v>
      </c>
      <c r="AZ24" s="176">
        <f t="shared" si="54"/>
        <v>0</v>
      </c>
      <c r="BA24" s="92">
        <f t="shared" si="55"/>
        <v>0</v>
      </c>
      <c r="BB24" s="181">
        <f t="shared" si="20"/>
        <v>3.2819396162788101E-15</v>
      </c>
      <c r="BC24" s="181">
        <f t="shared" si="21"/>
        <v>29.573436275717505</v>
      </c>
      <c r="BD24" s="93">
        <f t="shared" si="22"/>
        <v>0</v>
      </c>
      <c r="BE24" s="85">
        <f t="shared" si="23"/>
        <v>0</v>
      </c>
      <c r="BF24" s="86">
        <f t="shared" si="56"/>
        <v>0</v>
      </c>
      <c r="BG24" s="94">
        <f t="shared" si="24"/>
        <v>0</v>
      </c>
      <c r="BH24" s="95">
        <f t="shared" si="57"/>
        <v>-511.46666666666664</v>
      </c>
      <c r="BI24" s="95">
        <f t="shared" si="25"/>
        <v>0</v>
      </c>
      <c r="BJ24" s="96">
        <f t="shared" si="26"/>
        <v>0</v>
      </c>
      <c r="BK24" s="155">
        <f t="shared" si="27"/>
        <v>0</v>
      </c>
      <c r="BL24" s="155">
        <f t="shared" si="28"/>
        <v>0</v>
      </c>
      <c r="BM24" s="338">
        <f t="shared" si="58"/>
        <v>310.85632872696016</v>
      </c>
      <c r="BN24" s="16">
        <f t="shared" si="29"/>
        <v>310.85632872696016</v>
      </c>
      <c r="BO24" s="97">
        <f t="shared" si="59"/>
        <v>-17880.029695671081</v>
      </c>
      <c r="BP24" s="16">
        <f t="shared" si="30"/>
        <v>310.85632872696016</v>
      </c>
      <c r="BQ24" s="97">
        <f t="shared" si="60"/>
        <v>-17880.029695671081</v>
      </c>
      <c r="BR24" s="2" t="str">
        <f t="shared" si="31"/>
        <v/>
      </c>
      <c r="BS24" s="16">
        <f t="shared" si="61"/>
        <v>310.85632872696016</v>
      </c>
      <c r="BT24" s="16">
        <f t="shared" si="32"/>
        <v>310.85632872696016</v>
      </c>
      <c r="BU24" s="97">
        <f t="shared" si="62"/>
        <v>-17880.029695671081</v>
      </c>
      <c r="BV24" s="16">
        <f t="shared" si="34"/>
        <v>310.85632872696016</v>
      </c>
      <c r="BW24" s="97">
        <f t="shared" si="63"/>
        <v>-17880.029695671081</v>
      </c>
      <c r="BX24" s="2" t="str">
        <f t="shared" si="35"/>
        <v/>
      </c>
      <c r="BY24" s="16" t="str">
        <f t="shared" si="64"/>
        <v/>
      </c>
      <c r="BZ24" s="16" t="str">
        <f t="shared" si="36"/>
        <v/>
      </c>
      <c r="CA24" s="97" t="str">
        <f t="shared" si="66"/>
        <v/>
      </c>
      <c r="CB24" s="16" t="str">
        <f t="shared" si="37"/>
        <v/>
      </c>
      <c r="CC24" s="97" t="str">
        <f t="shared" si="67"/>
        <v/>
      </c>
      <c r="CD24" s="2" t="str">
        <f t="shared" si="38"/>
        <v/>
      </c>
    </row>
    <row r="25" spans="1:82" x14ac:dyDescent="0.2">
      <c r="A25" s="2"/>
      <c r="B25" s="2">
        <f t="shared" si="65"/>
        <v>18</v>
      </c>
      <c r="C25" s="2" t="b">
        <f t="shared" si="1"/>
        <v>1</v>
      </c>
      <c r="D25" s="2" t="b">
        <f t="shared" si="2"/>
        <v>0</v>
      </c>
      <c r="E25" s="2" t="b">
        <f t="shared" si="3"/>
        <v>0</v>
      </c>
      <c r="F25" s="2" t="b">
        <f t="shared" si="4"/>
        <v>0</v>
      </c>
      <c r="G25" s="2" t="b">
        <f t="shared" si="5"/>
        <v>0</v>
      </c>
      <c r="H25" s="2" t="b">
        <f t="shared" si="6"/>
        <v>0</v>
      </c>
      <c r="I25" s="36" t="b">
        <f t="shared" si="7"/>
        <v>0</v>
      </c>
      <c r="J25" s="135">
        <f t="shared" si="39"/>
        <v>0.93199999999999994</v>
      </c>
      <c r="K25" s="160">
        <f t="shared" si="8"/>
        <v>4194</v>
      </c>
      <c r="L25" s="138">
        <f t="shared" si="40"/>
        <v>0.97333333333333338</v>
      </c>
      <c r="M25" s="217" t="str">
        <f t="shared" si="9"/>
        <v/>
      </c>
      <c r="N25" s="140" t="str">
        <f t="shared" si="41"/>
        <v/>
      </c>
      <c r="O25" s="139" t="str">
        <f t="shared" si="10"/>
        <v/>
      </c>
      <c r="P25" s="139" t="str">
        <f t="shared" si="11"/>
        <v/>
      </c>
      <c r="Q25" s="142" t="str">
        <f t="shared" si="12"/>
        <v/>
      </c>
      <c r="R25" s="82">
        <f t="shared" si="42"/>
        <v>8.7078920562592158E-2</v>
      </c>
      <c r="S25" s="90">
        <f t="shared" si="43"/>
        <v>-4.0546343265058959E-14</v>
      </c>
      <c r="T25" s="342">
        <f t="shared" si="44"/>
        <v>0.10522036234646553</v>
      </c>
      <c r="U25" s="90">
        <f t="shared" si="13"/>
        <v>294.47374963936915</v>
      </c>
      <c r="V25" s="82">
        <f t="shared" si="45"/>
        <v>0.25252886963151722</v>
      </c>
      <c r="W25" s="90">
        <f t="shared" si="14"/>
        <v>352.36908010009762</v>
      </c>
      <c r="X25" s="132">
        <f t="shared" si="46"/>
        <v>1.6327297605486029</v>
      </c>
      <c r="Y25" s="90">
        <f t="shared" si="47"/>
        <v>0</v>
      </c>
      <c r="Z25" s="219">
        <f t="shared" si="48"/>
        <v>0</v>
      </c>
      <c r="AA25" s="219">
        <f t="shared" si="49"/>
        <v>8.7078920562592153</v>
      </c>
      <c r="AB25" s="221">
        <f t="shared" si="50"/>
        <v>0</v>
      </c>
      <c r="AC25" s="148">
        <f t="shared" si="15"/>
        <v>0</v>
      </c>
      <c r="AD25" s="148">
        <f t="shared" si="16"/>
        <v>0</v>
      </c>
      <c r="AE25" s="155">
        <f t="shared" si="17"/>
        <v>0</v>
      </c>
      <c r="AF25" s="86">
        <f t="shared" si="69"/>
        <v>0</v>
      </c>
      <c r="AG25" s="86">
        <f t="shared" si="69"/>
        <v>0</v>
      </c>
      <c r="AH25" s="86">
        <f t="shared" si="69"/>
        <v>69</v>
      </c>
      <c r="AI25" s="86">
        <f t="shared" si="69"/>
        <v>99</v>
      </c>
      <c r="AJ25" s="86">
        <f t="shared" si="69"/>
        <v>120</v>
      </c>
      <c r="AK25" s="86">
        <f t="shared" si="69"/>
        <v>0</v>
      </c>
      <c r="AL25" s="86">
        <f t="shared" si="69"/>
        <v>0</v>
      </c>
      <c r="AM25" s="86">
        <f t="shared" si="69"/>
        <v>49.1008</v>
      </c>
      <c r="AN25" s="86">
        <f t="shared" si="69"/>
        <v>0</v>
      </c>
      <c r="AO25" s="86">
        <f t="shared" si="70"/>
        <v>0</v>
      </c>
      <c r="AP25" s="86">
        <f t="shared" si="70"/>
        <v>0</v>
      </c>
      <c r="AQ25" s="86">
        <f t="shared" si="71"/>
        <v>0</v>
      </c>
      <c r="AR25" s="86">
        <f t="shared" si="71"/>
        <v>0</v>
      </c>
      <c r="AS25" s="86">
        <f t="shared" si="71"/>
        <v>0</v>
      </c>
      <c r="AT25" s="86">
        <f t="shared" si="71"/>
        <v>0</v>
      </c>
      <c r="AU25" s="86">
        <f t="shared" si="71"/>
        <v>0</v>
      </c>
      <c r="AV25" s="86">
        <f t="shared" si="51"/>
        <v>337.10079999999999</v>
      </c>
      <c r="AW25" s="91">
        <f t="shared" si="52"/>
        <v>1.0884865070324019</v>
      </c>
      <c r="AX25" s="176">
        <f t="shared" si="19"/>
        <v>-366.92967230982828</v>
      </c>
      <c r="AY25" s="176">
        <f t="shared" si="53"/>
        <v>0</v>
      </c>
      <c r="AZ25" s="176">
        <f t="shared" si="54"/>
        <v>0</v>
      </c>
      <c r="BA25" s="92">
        <f t="shared" si="55"/>
        <v>0</v>
      </c>
      <c r="BB25" s="181">
        <f t="shared" si="20"/>
        <v>3.2842538044697756E-15</v>
      </c>
      <c r="BC25" s="181">
        <f t="shared" si="21"/>
        <v>29.721303457096088</v>
      </c>
      <c r="BD25" s="93">
        <f t="shared" si="22"/>
        <v>0</v>
      </c>
      <c r="BE25" s="85">
        <f t="shared" si="23"/>
        <v>0</v>
      </c>
      <c r="BF25" s="86">
        <f t="shared" si="56"/>
        <v>0</v>
      </c>
      <c r="BG25" s="94">
        <f t="shared" si="24"/>
        <v>0</v>
      </c>
      <c r="BH25" s="95">
        <f t="shared" si="57"/>
        <v>-511.46666666666664</v>
      </c>
      <c r="BI25" s="95">
        <f t="shared" si="25"/>
        <v>0</v>
      </c>
      <c r="BJ25" s="96">
        <f t="shared" si="26"/>
        <v>0</v>
      </c>
      <c r="BK25" s="155">
        <f t="shared" si="27"/>
        <v>0</v>
      </c>
      <c r="BL25" s="155">
        <f t="shared" si="28"/>
        <v>0</v>
      </c>
      <c r="BM25" s="338">
        <f t="shared" si="58"/>
        <v>309.63446088673447</v>
      </c>
      <c r="BN25" s="16">
        <f t="shared" si="29"/>
        <v>309.63446088673447</v>
      </c>
      <c r="BO25" s="97">
        <f t="shared" si="59"/>
        <v>-17570.395234784348</v>
      </c>
      <c r="BP25" s="16">
        <f t="shared" si="30"/>
        <v>309.63446088673447</v>
      </c>
      <c r="BQ25" s="97">
        <f t="shared" si="60"/>
        <v>-17570.395234784348</v>
      </c>
      <c r="BR25" s="2" t="str">
        <f t="shared" si="31"/>
        <v/>
      </c>
      <c r="BS25" s="16">
        <f t="shared" si="61"/>
        <v>309.63446088673447</v>
      </c>
      <c r="BT25" s="16">
        <f t="shared" si="32"/>
        <v>309.63446088673447</v>
      </c>
      <c r="BU25" s="97">
        <f t="shared" si="62"/>
        <v>-17570.395234784348</v>
      </c>
      <c r="BV25" s="16">
        <f t="shared" si="34"/>
        <v>309.63446088673447</v>
      </c>
      <c r="BW25" s="97">
        <f t="shared" si="63"/>
        <v>-17570.395234784348</v>
      </c>
      <c r="BX25" s="2" t="str">
        <f t="shared" si="35"/>
        <v/>
      </c>
      <c r="BY25" s="16" t="str">
        <f t="shared" si="64"/>
        <v/>
      </c>
      <c r="BZ25" s="16" t="str">
        <f t="shared" si="36"/>
        <v/>
      </c>
      <c r="CA25" s="97" t="str">
        <f t="shared" si="66"/>
        <v/>
      </c>
      <c r="CB25" s="16" t="str">
        <f t="shared" si="37"/>
        <v/>
      </c>
      <c r="CC25" s="97" t="str">
        <f t="shared" si="67"/>
        <v/>
      </c>
      <c r="CD25" s="2" t="str">
        <f t="shared" si="38"/>
        <v/>
      </c>
    </row>
    <row r="26" spans="1:82" x14ac:dyDescent="0.2">
      <c r="A26" s="2"/>
      <c r="B26" s="2">
        <f t="shared" si="65"/>
        <v>19</v>
      </c>
      <c r="C26" s="2" t="b">
        <f t="shared" si="1"/>
        <v>1</v>
      </c>
      <c r="D26" s="2" t="b">
        <f t="shared" si="2"/>
        <v>0</v>
      </c>
      <c r="E26" s="2" t="b">
        <f t="shared" si="3"/>
        <v>0</v>
      </c>
      <c r="F26" s="2" t="b">
        <f t="shared" si="4"/>
        <v>0</v>
      </c>
      <c r="G26" s="2" t="b">
        <f t="shared" si="5"/>
        <v>0</v>
      </c>
      <c r="H26" s="2" t="b">
        <f t="shared" si="6"/>
        <v>0</v>
      </c>
      <c r="I26" s="36" t="b">
        <f t="shared" si="7"/>
        <v>0</v>
      </c>
      <c r="J26" s="135">
        <f t="shared" si="39"/>
        <v>0.92799999999999994</v>
      </c>
      <c r="K26" s="160">
        <f t="shared" si="8"/>
        <v>4176</v>
      </c>
      <c r="L26" s="138">
        <f t="shared" si="40"/>
        <v>0.96000000000000008</v>
      </c>
      <c r="M26" s="217" t="str">
        <f t="shared" si="9"/>
        <v/>
      </c>
      <c r="N26" s="140" t="str">
        <f t="shared" si="41"/>
        <v/>
      </c>
      <c r="O26" s="139" t="str">
        <f t="shared" si="10"/>
        <v/>
      </c>
      <c r="P26" s="139" t="str">
        <f t="shared" si="11"/>
        <v/>
      </c>
      <c r="Q26" s="142" t="str">
        <f t="shared" si="12"/>
        <v/>
      </c>
      <c r="R26" s="82">
        <f t="shared" si="42"/>
        <v>8.7514315165405115E-2</v>
      </c>
      <c r="S26" s="90">
        <f t="shared" si="43"/>
        <v>-4.057418624755857E-14</v>
      </c>
      <c r="T26" s="342">
        <f t="shared" si="44"/>
        <v>0.10574646415819786</v>
      </c>
      <c r="U26" s="90">
        <f t="shared" si="13"/>
        <v>294.675963373027</v>
      </c>
      <c r="V26" s="82">
        <f t="shared" si="45"/>
        <v>0.25379151397967475</v>
      </c>
      <c r="W26" s="90">
        <f t="shared" si="14"/>
        <v>352.61105028385725</v>
      </c>
      <c r="X26" s="132">
        <f t="shared" si="46"/>
        <v>1.6408934093513456</v>
      </c>
      <c r="Y26" s="90">
        <f t="shared" si="47"/>
        <v>0</v>
      </c>
      <c r="Z26" s="219">
        <f t="shared" si="48"/>
        <v>0</v>
      </c>
      <c r="AA26" s="219">
        <f t="shared" si="49"/>
        <v>8.7514315165405101</v>
      </c>
      <c r="AB26" s="221">
        <f t="shared" si="50"/>
        <v>0</v>
      </c>
      <c r="AC26" s="148">
        <f t="shared" si="15"/>
        <v>0</v>
      </c>
      <c r="AD26" s="148">
        <f t="shared" si="16"/>
        <v>0</v>
      </c>
      <c r="AE26" s="155">
        <f t="shared" si="17"/>
        <v>0</v>
      </c>
      <c r="AF26" s="86">
        <f t="shared" si="69"/>
        <v>0</v>
      </c>
      <c r="AG26" s="86">
        <f t="shared" si="69"/>
        <v>0</v>
      </c>
      <c r="AH26" s="86">
        <f t="shared" si="69"/>
        <v>69</v>
      </c>
      <c r="AI26" s="86">
        <f t="shared" si="69"/>
        <v>99</v>
      </c>
      <c r="AJ26" s="86">
        <f t="shared" si="69"/>
        <v>120</v>
      </c>
      <c r="AK26" s="86">
        <f t="shared" si="69"/>
        <v>0</v>
      </c>
      <c r="AL26" s="86">
        <f t="shared" si="69"/>
        <v>0</v>
      </c>
      <c r="AM26" s="86">
        <f t="shared" si="69"/>
        <v>49.1008</v>
      </c>
      <c r="AN26" s="86">
        <f t="shared" si="69"/>
        <v>0</v>
      </c>
      <c r="AO26" s="86">
        <f t="shared" si="70"/>
        <v>0</v>
      </c>
      <c r="AP26" s="86">
        <f t="shared" si="70"/>
        <v>0</v>
      </c>
      <c r="AQ26" s="86">
        <f t="shared" si="71"/>
        <v>0</v>
      </c>
      <c r="AR26" s="86">
        <f t="shared" si="71"/>
        <v>0</v>
      </c>
      <c r="AS26" s="86">
        <f t="shared" si="71"/>
        <v>0</v>
      </c>
      <c r="AT26" s="86">
        <f t="shared" si="71"/>
        <v>0</v>
      </c>
      <c r="AU26" s="86">
        <f t="shared" si="71"/>
        <v>0</v>
      </c>
      <c r="AV26" s="86">
        <f t="shared" si="51"/>
        <v>337.10079999999999</v>
      </c>
      <c r="AW26" s="91">
        <f t="shared" si="52"/>
        <v>1.0939289395675638</v>
      </c>
      <c r="AX26" s="176">
        <f t="shared" si="19"/>
        <v>-368.76432067137739</v>
      </c>
      <c r="AY26" s="176">
        <f t="shared" si="53"/>
        <v>0</v>
      </c>
      <c r="AZ26" s="176">
        <f t="shared" si="54"/>
        <v>0</v>
      </c>
      <c r="BA26" s="92">
        <f t="shared" si="55"/>
        <v>0</v>
      </c>
      <c r="BB26" s="181">
        <f t="shared" si="20"/>
        <v>3.2865090860522442E-15</v>
      </c>
      <c r="BC26" s="181">
        <f t="shared" si="21"/>
        <v>29.869909974381567</v>
      </c>
      <c r="BD26" s="93">
        <f t="shared" si="22"/>
        <v>0</v>
      </c>
      <c r="BE26" s="85">
        <f t="shared" si="23"/>
        <v>0</v>
      </c>
      <c r="BF26" s="86">
        <f t="shared" si="56"/>
        <v>0</v>
      </c>
      <c r="BG26" s="94">
        <f t="shared" si="24"/>
        <v>0</v>
      </c>
      <c r="BH26" s="95">
        <f t="shared" si="57"/>
        <v>-511.46666666666664</v>
      </c>
      <c r="BI26" s="95">
        <f t="shared" si="25"/>
        <v>0</v>
      </c>
      <c r="BJ26" s="96">
        <f t="shared" si="26"/>
        <v>0</v>
      </c>
      <c r="BK26" s="155">
        <f t="shared" si="27"/>
        <v>0</v>
      </c>
      <c r="BL26" s="155">
        <f t="shared" si="28"/>
        <v>0</v>
      </c>
      <c r="BM26" s="338">
        <f t="shared" si="58"/>
        <v>308.39260295988845</v>
      </c>
      <c r="BN26" s="16">
        <f t="shared" si="29"/>
        <v>308.39260295988845</v>
      </c>
      <c r="BO26" s="97">
        <f t="shared" si="59"/>
        <v>-17262.00263182446</v>
      </c>
      <c r="BP26" s="16">
        <f t="shared" si="30"/>
        <v>308.39260295988845</v>
      </c>
      <c r="BQ26" s="97">
        <f t="shared" si="60"/>
        <v>-17262.00263182446</v>
      </c>
      <c r="BR26" s="2" t="str">
        <f t="shared" si="31"/>
        <v/>
      </c>
      <c r="BS26" s="16">
        <f t="shared" si="61"/>
        <v>308.39260295988845</v>
      </c>
      <c r="BT26" s="16">
        <f t="shared" si="32"/>
        <v>308.39260295988845</v>
      </c>
      <c r="BU26" s="97">
        <f t="shared" si="62"/>
        <v>-17262.00263182446</v>
      </c>
      <c r="BV26" s="16">
        <f t="shared" si="34"/>
        <v>308.39260295988845</v>
      </c>
      <c r="BW26" s="97">
        <f t="shared" si="63"/>
        <v>-17262.00263182446</v>
      </c>
      <c r="BX26" s="2" t="str">
        <f t="shared" si="35"/>
        <v/>
      </c>
      <c r="BY26" s="16" t="str">
        <f t="shared" si="64"/>
        <v/>
      </c>
      <c r="BZ26" s="16" t="str">
        <f t="shared" si="36"/>
        <v/>
      </c>
      <c r="CA26" s="97" t="str">
        <f t="shared" si="66"/>
        <v/>
      </c>
      <c r="CB26" s="16" t="str">
        <f t="shared" si="37"/>
        <v/>
      </c>
      <c r="CC26" s="97" t="str">
        <f t="shared" si="67"/>
        <v/>
      </c>
      <c r="CD26" s="2" t="str">
        <f t="shared" si="38"/>
        <v/>
      </c>
    </row>
    <row r="27" spans="1:82" x14ac:dyDescent="0.2">
      <c r="A27" s="2"/>
      <c r="B27" s="2">
        <f t="shared" si="65"/>
        <v>20</v>
      </c>
      <c r="C27" s="2" t="b">
        <f t="shared" si="1"/>
        <v>1</v>
      </c>
      <c r="D27" s="2" t="b">
        <f t="shared" si="2"/>
        <v>0</v>
      </c>
      <c r="E27" s="2" t="b">
        <f t="shared" si="3"/>
        <v>0</v>
      </c>
      <c r="F27" s="2" t="b">
        <f t="shared" si="4"/>
        <v>0</v>
      </c>
      <c r="G27" s="2" t="b">
        <f t="shared" si="5"/>
        <v>0</v>
      </c>
      <c r="H27" s="2" t="b">
        <f t="shared" si="6"/>
        <v>0</v>
      </c>
      <c r="I27" s="36" t="b">
        <f t="shared" si="7"/>
        <v>0</v>
      </c>
      <c r="J27" s="135">
        <f t="shared" si="39"/>
        <v>0.92399999999999993</v>
      </c>
      <c r="K27" s="160">
        <f t="shared" si="8"/>
        <v>4157.9999999999991</v>
      </c>
      <c r="L27" s="138">
        <f t="shared" si="40"/>
        <v>0.94666666666666677</v>
      </c>
      <c r="M27" s="217" t="str">
        <f t="shared" si="9"/>
        <v/>
      </c>
      <c r="N27" s="140" t="str">
        <f t="shared" si="41"/>
        <v/>
      </c>
      <c r="O27" s="139" t="str">
        <f t="shared" si="10"/>
        <v/>
      </c>
      <c r="P27" s="139" t="str">
        <f t="shared" si="11"/>
        <v/>
      </c>
      <c r="Q27" s="142" t="str">
        <f t="shared" si="12"/>
        <v/>
      </c>
      <c r="R27" s="82">
        <f t="shared" si="42"/>
        <v>8.7951886741232138E-2</v>
      </c>
      <c r="S27" s="90">
        <f t="shared" si="43"/>
        <v>-4.0601294001301544E-14</v>
      </c>
      <c r="T27" s="342">
        <f t="shared" si="44"/>
        <v>0.10627519647898884</v>
      </c>
      <c r="U27" s="90">
        <f t="shared" si="13"/>
        <v>294.87283740028045</v>
      </c>
      <c r="V27" s="82">
        <f t="shared" si="45"/>
        <v>0.25506047154957312</v>
      </c>
      <c r="W27" s="90">
        <f t="shared" si="14"/>
        <v>352.84663094245201</v>
      </c>
      <c r="X27" s="132">
        <f t="shared" si="46"/>
        <v>1.6490978763981021</v>
      </c>
      <c r="Y27" s="90">
        <f t="shared" si="47"/>
        <v>0</v>
      </c>
      <c r="Z27" s="219">
        <f t="shared" si="48"/>
        <v>0</v>
      </c>
      <c r="AA27" s="219">
        <f t="shared" si="49"/>
        <v>8.7951886741232119</v>
      </c>
      <c r="AB27" s="221">
        <f t="shared" si="50"/>
        <v>0</v>
      </c>
      <c r="AC27" s="148">
        <f t="shared" si="15"/>
        <v>0</v>
      </c>
      <c r="AD27" s="148">
        <f t="shared" si="16"/>
        <v>0</v>
      </c>
      <c r="AE27" s="155">
        <f t="shared" si="17"/>
        <v>0</v>
      </c>
      <c r="AF27" s="86">
        <f t="shared" si="69"/>
        <v>830.68799999999999</v>
      </c>
      <c r="AG27" s="86">
        <f t="shared" si="69"/>
        <v>0</v>
      </c>
      <c r="AH27" s="86">
        <f t="shared" si="69"/>
        <v>69</v>
      </c>
      <c r="AI27" s="86">
        <f t="shared" si="69"/>
        <v>99</v>
      </c>
      <c r="AJ27" s="86">
        <f t="shared" si="69"/>
        <v>120</v>
      </c>
      <c r="AK27" s="86">
        <f t="shared" si="69"/>
        <v>0</v>
      </c>
      <c r="AL27" s="86">
        <f t="shared" si="69"/>
        <v>0</v>
      </c>
      <c r="AM27" s="86">
        <f t="shared" si="69"/>
        <v>49.1008</v>
      </c>
      <c r="AN27" s="86">
        <f t="shared" si="69"/>
        <v>0</v>
      </c>
      <c r="AO27" s="86">
        <f t="shared" si="70"/>
        <v>0</v>
      </c>
      <c r="AP27" s="86">
        <f t="shared" si="70"/>
        <v>0</v>
      </c>
      <c r="AQ27" s="86">
        <f t="shared" si="71"/>
        <v>0</v>
      </c>
      <c r="AR27" s="86">
        <f t="shared" si="71"/>
        <v>0</v>
      </c>
      <c r="AS27" s="86">
        <f t="shared" si="71"/>
        <v>0</v>
      </c>
      <c r="AT27" s="86">
        <f t="shared" si="71"/>
        <v>0</v>
      </c>
      <c r="AU27" s="86">
        <f t="shared" si="71"/>
        <v>0</v>
      </c>
      <c r="AV27" s="86">
        <f t="shared" si="51"/>
        <v>1167.7888</v>
      </c>
      <c r="AW27" s="91">
        <f t="shared" si="52"/>
        <v>1.0993985842654015</v>
      </c>
      <c r="AX27" s="176">
        <f t="shared" si="19"/>
        <v>-1283.8653534409921</v>
      </c>
      <c r="AY27" s="176">
        <f t="shared" si="53"/>
        <v>0</v>
      </c>
      <c r="AZ27" s="176">
        <f t="shared" si="54"/>
        <v>0</v>
      </c>
      <c r="BA27" s="92">
        <f t="shared" si="55"/>
        <v>0</v>
      </c>
      <c r="BB27" s="181">
        <f t="shared" si="20"/>
        <v>3.2887048141054249E-15</v>
      </c>
      <c r="BC27" s="181">
        <f t="shared" si="21"/>
        <v>103.99309362872035</v>
      </c>
      <c r="BD27" s="93">
        <f t="shared" si="22"/>
        <v>0</v>
      </c>
      <c r="BE27" s="85">
        <f t="shared" si="23"/>
        <v>0</v>
      </c>
      <c r="BF27" s="86">
        <f t="shared" si="56"/>
        <v>0</v>
      </c>
      <c r="BG27" s="94">
        <f t="shared" si="24"/>
        <v>0</v>
      </c>
      <c r="BH27" s="95">
        <f t="shared" si="57"/>
        <v>-511.46666666666664</v>
      </c>
      <c r="BI27" s="95">
        <f t="shared" si="25"/>
        <v>0</v>
      </c>
      <c r="BJ27" s="96">
        <f t="shared" si="26"/>
        <v>0</v>
      </c>
      <c r="BK27" s="155">
        <f t="shared" si="27"/>
        <v>0</v>
      </c>
      <c r="BL27" s="155">
        <f t="shared" si="28"/>
        <v>0</v>
      </c>
      <c r="BM27" s="338">
        <f t="shared" si="58"/>
        <v>-532.15279146953935</v>
      </c>
      <c r="BN27" s="16">
        <f t="shared" si="29"/>
        <v>-532.15279146953935</v>
      </c>
      <c r="BO27" s="97">
        <f t="shared" si="59"/>
        <v>-17794.155423294</v>
      </c>
      <c r="BP27" s="16">
        <f t="shared" si="30"/>
        <v>-532.15279146953935</v>
      </c>
      <c r="BQ27" s="97">
        <f t="shared" si="60"/>
        <v>-17794.155423294</v>
      </c>
      <c r="BR27" s="2" t="str">
        <f t="shared" si="31"/>
        <v/>
      </c>
      <c r="BS27" s="16">
        <f t="shared" si="61"/>
        <v>-532.15279146953935</v>
      </c>
      <c r="BT27" s="16">
        <f t="shared" si="32"/>
        <v>-532.15279146953935</v>
      </c>
      <c r="BU27" s="97">
        <f t="shared" si="62"/>
        <v>-17794.155423294</v>
      </c>
      <c r="BV27" s="16">
        <f t="shared" si="34"/>
        <v>-532.15279146953935</v>
      </c>
      <c r="BW27" s="97">
        <f t="shared" si="63"/>
        <v>-17794.155423294</v>
      </c>
      <c r="BX27" s="2" t="str">
        <f t="shared" si="35"/>
        <v/>
      </c>
      <c r="BY27" s="16" t="str">
        <f t="shared" si="64"/>
        <v/>
      </c>
      <c r="BZ27" s="16" t="str">
        <f t="shared" si="36"/>
        <v/>
      </c>
      <c r="CA27" s="97" t="str">
        <f t="shared" si="66"/>
        <v/>
      </c>
      <c r="CB27" s="16" t="str">
        <f t="shared" si="37"/>
        <v/>
      </c>
      <c r="CC27" s="97" t="str">
        <f t="shared" si="67"/>
        <v/>
      </c>
      <c r="CD27" s="2" t="str">
        <f t="shared" si="38"/>
        <v/>
      </c>
    </row>
    <row r="28" spans="1:82" x14ac:dyDescent="0.2">
      <c r="A28" s="2"/>
      <c r="B28" s="2">
        <f t="shared" si="65"/>
        <v>21</v>
      </c>
      <c r="C28" s="2" t="b">
        <f t="shared" si="1"/>
        <v>1</v>
      </c>
      <c r="D28" s="2" t="b">
        <f t="shared" si="2"/>
        <v>0</v>
      </c>
      <c r="E28" s="2" t="b">
        <f t="shared" si="3"/>
        <v>0</v>
      </c>
      <c r="F28" s="2" t="b">
        <f t="shared" si="4"/>
        <v>0</v>
      </c>
      <c r="G28" s="2" t="b">
        <f t="shared" si="5"/>
        <v>0</v>
      </c>
      <c r="H28" s="2" t="b">
        <f t="shared" si="6"/>
        <v>0</v>
      </c>
      <c r="I28" s="36" t="b">
        <f t="shared" si="7"/>
        <v>0</v>
      </c>
      <c r="J28" s="135">
        <f t="shared" si="39"/>
        <v>0.92</v>
      </c>
      <c r="K28" s="160">
        <f t="shared" si="8"/>
        <v>4140.0000000000009</v>
      </c>
      <c r="L28" s="138">
        <f t="shared" si="40"/>
        <v>0.93333333333333346</v>
      </c>
      <c r="M28" s="217" t="str">
        <f t="shared" si="9"/>
        <v/>
      </c>
      <c r="N28" s="140" t="str">
        <f t="shared" si="41"/>
        <v/>
      </c>
      <c r="O28" s="139" t="str">
        <f t="shared" si="10"/>
        <v/>
      </c>
      <c r="P28" s="139" t="str">
        <f t="shared" si="11"/>
        <v/>
      </c>
      <c r="Q28" s="142" t="str">
        <f t="shared" si="12"/>
        <v/>
      </c>
      <c r="R28" s="82">
        <f t="shared" si="42"/>
        <v>8.839164617493829E-2</v>
      </c>
      <c r="S28" s="90">
        <f t="shared" si="43"/>
        <v>-4.0627658477925774E-14</v>
      </c>
      <c r="T28" s="342">
        <f t="shared" si="44"/>
        <v>0.10680657246138377</v>
      </c>
      <c r="U28" s="90">
        <f t="shared" si="13"/>
        <v>295.06431326872229</v>
      </c>
      <c r="V28" s="82">
        <f t="shared" si="45"/>
        <v>0.25633577390732099</v>
      </c>
      <c r="W28" s="90">
        <f t="shared" si="14"/>
        <v>353.07575213137585</v>
      </c>
      <c r="X28" s="132">
        <f t="shared" si="46"/>
        <v>1.6573433657800924</v>
      </c>
      <c r="Y28" s="90">
        <f t="shared" si="47"/>
        <v>0</v>
      </c>
      <c r="Z28" s="219">
        <f t="shared" si="48"/>
        <v>0</v>
      </c>
      <c r="AA28" s="219">
        <f t="shared" si="49"/>
        <v>8.839164617493827</v>
      </c>
      <c r="AB28" s="221">
        <f t="shared" si="50"/>
        <v>0</v>
      </c>
      <c r="AC28" s="148">
        <f t="shared" si="15"/>
        <v>0</v>
      </c>
      <c r="AD28" s="148">
        <f t="shared" si="16"/>
        <v>0</v>
      </c>
      <c r="AE28" s="155">
        <f t="shared" si="17"/>
        <v>0</v>
      </c>
      <c r="AF28" s="86">
        <f t="shared" si="69"/>
        <v>0</v>
      </c>
      <c r="AG28" s="86">
        <f t="shared" si="69"/>
        <v>0</v>
      </c>
      <c r="AH28" s="86">
        <f t="shared" si="69"/>
        <v>69</v>
      </c>
      <c r="AI28" s="86">
        <f t="shared" si="69"/>
        <v>99</v>
      </c>
      <c r="AJ28" s="86">
        <f t="shared" si="69"/>
        <v>120</v>
      </c>
      <c r="AK28" s="86">
        <f t="shared" si="69"/>
        <v>0</v>
      </c>
      <c r="AL28" s="86">
        <f t="shared" si="69"/>
        <v>0</v>
      </c>
      <c r="AM28" s="86">
        <f t="shared" si="69"/>
        <v>49.1008</v>
      </c>
      <c r="AN28" s="86">
        <f t="shared" si="69"/>
        <v>0</v>
      </c>
      <c r="AO28" s="86">
        <f t="shared" si="70"/>
        <v>0</v>
      </c>
      <c r="AP28" s="86">
        <f t="shared" si="70"/>
        <v>0</v>
      </c>
      <c r="AQ28" s="86">
        <f t="shared" si="71"/>
        <v>0</v>
      </c>
      <c r="AR28" s="86">
        <f t="shared" si="71"/>
        <v>0</v>
      </c>
      <c r="AS28" s="86">
        <f t="shared" si="71"/>
        <v>0</v>
      </c>
      <c r="AT28" s="86">
        <f t="shared" si="71"/>
        <v>0</v>
      </c>
      <c r="AU28" s="86">
        <f t="shared" si="71"/>
        <v>0</v>
      </c>
      <c r="AV28" s="86">
        <f t="shared" si="51"/>
        <v>337.10079999999999</v>
      </c>
      <c r="AW28" s="91">
        <f t="shared" si="52"/>
        <v>1.1048955771867284</v>
      </c>
      <c r="AX28" s="176">
        <f t="shared" si="19"/>
        <v>-372.46118298610787</v>
      </c>
      <c r="AY28" s="176">
        <f t="shared" si="53"/>
        <v>0</v>
      </c>
      <c r="AZ28" s="176">
        <f t="shared" si="54"/>
        <v>0</v>
      </c>
      <c r="BA28" s="92">
        <f t="shared" si="55"/>
        <v>0</v>
      </c>
      <c r="BB28" s="181">
        <f t="shared" si="20"/>
        <v>3.2908403367119875E-15</v>
      </c>
      <c r="BC28" s="181">
        <f t="shared" si="21"/>
        <v>30.169355821874738</v>
      </c>
      <c r="BD28" s="93">
        <f t="shared" si="22"/>
        <v>0</v>
      </c>
      <c r="BE28" s="85">
        <f t="shared" si="23"/>
        <v>0</v>
      </c>
      <c r="BF28" s="86">
        <f t="shared" si="56"/>
        <v>0</v>
      </c>
      <c r="BG28" s="94">
        <f t="shared" si="24"/>
        <v>0</v>
      </c>
      <c r="BH28" s="95">
        <f t="shared" si="57"/>
        <v>-511.46666666666664</v>
      </c>
      <c r="BI28" s="95">
        <f t="shared" si="25"/>
        <v>0</v>
      </c>
      <c r="BJ28" s="96">
        <f t="shared" si="26"/>
        <v>0</v>
      </c>
      <c r="BK28" s="155">
        <f t="shared" si="27"/>
        <v>0</v>
      </c>
      <c r="BL28" s="155">
        <f t="shared" si="28"/>
        <v>0</v>
      </c>
      <c r="BM28" s="338">
        <f t="shared" si="58"/>
        <v>305.84823823586498</v>
      </c>
      <c r="BN28" s="16">
        <f t="shared" si="29"/>
        <v>305.84823823586498</v>
      </c>
      <c r="BO28" s="97">
        <f t="shared" si="59"/>
        <v>-17488.307185058136</v>
      </c>
      <c r="BP28" s="16">
        <f t="shared" si="30"/>
        <v>305.84823823586498</v>
      </c>
      <c r="BQ28" s="97">
        <f t="shared" si="60"/>
        <v>-17488.307185058136</v>
      </c>
      <c r="BR28" s="2" t="str">
        <f t="shared" si="31"/>
        <v/>
      </c>
      <c r="BS28" s="16">
        <f t="shared" si="61"/>
        <v>305.84823823586498</v>
      </c>
      <c r="BT28" s="16">
        <f t="shared" si="32"/>
        <v>305.84823823586498</v>
      </c>
      <c r="BU28" s="97">
        <f t="shared" si="62"/>
        <v>-17488.307185058136</v>
      </c>
      <c r="BV28" s="16">
        <f t="shared" si="34"/>
        <v>305.84823823586498</v>
      </c>
      <c r="BW28" s="97">
        <f t="shared" si="63"/>
        <v>-17488.307185058136</v>
      </c>
      <c r="BX28" s="2" t="str">
        <f t="shared" si="35"/>
        <v/>
      </c>
      <c r="BY28" s="16" t="str">
        <f t="shared" si="64"/>
        <v/>
      </c>
      <c r="BZ28" s="16" t="str">
        <f t="shared" si="36"/>
        <v/>
      </c>
      <c r="CA28" s="97" t="str">
        <f t="shared" si="66"/>
        <v/>
      </c>
      <c r="CB28" s="16" t="str">
        <f t="shared" si="37"/>
        <v/>
      </c>
      <c r="CC28" s="97" t="str">
        <f t="shared" si="67"/>
        <v/>
      </c>
      <c r="CD28" s="2" t="str">
        <f t="shared" si="38"/>
        <v/>
      </c>
    </row>
    <row r="29" spans="1:82" x14ac:dyDescent="0.2">
      <c r="A29" s="2"/>
      <c r="B29" s="2">
        <f t="shared" si="65"/>
        <v>22</v>
      </c>
      <c r="C29" s="2" t="b">
        <f t="shared" si="1"/>
        <v>1</v>
      </c>
      <c r="D29" s="2" t="b">
        <f t="shared" si="2"/>
        <v>0</v>
      </c>
      <c r="E29" s="2" t="b">
        <f t="shared" si="3"/>
        <v>0</v>
      </c>
      <c r="F29" s="2" t="b">
        <f t="shared" si="4"/>
        <v>0</v>
      </c>
      <c r="G29" s="2" t="b">
        <f t="shared" si="5"/>
        <v>0</v>
      </c>
      <c r="H29" s="2" t="b">
        <f t="shared" si="6"/>
        <v>0</v>
      </c>
      <c r="I29" s="36" t="b">
        <f t="shared" si="7"/>
        <v>0</v>
      </c>
      <c r="J29" s="135">
        <f t="shared" si="39"/>
        <v>0.91600000000000004</v>
      </c>
      <c r="K29" s="160">
        <f t="shared" si="8"/>
        <v>4122</v>
      </c>
      <c r="L29" s="138">
        <f t="shared" si="40"/>
        <v>0.92000000000000015</v>
      </c>
      <c r="M29" s="217" t="str">
        <f t="shared" si="9"/>
        <v/>
      </c>
      <c r="N29" s="140" t="str">
        <f t="shared" si="41"/>
        <v/>
      </c>
      <c r="O29" s="139" t="str">
        <f t="shared" si="10"/>
        <v/>
      </c>
      <c r="P29" s="139" t="str">
        <f t="shared" si="11"/>
        <v/>
      </c>
      <c r="Q29" s="142" t="str">
        <f t="shared" si="12"/>
        <v/>
      </c>
      <c r="R29" s="82">
        <f t="shared" si="42"/>
        <v>8.8833604405812977E-2</v>
      </c>
      <c r="S29" s="90">
        <f t="shared" si="43"/>
        <v>-4.0653271566966197E-14</v>
      </c>
      <c r="T29" s="342">
        <f t="shared" si="44"/>
        <v>0.10734060532369068</v>
      </c>
      <c r="U29" s="90">
        <f t="shared" si="13"/>
        <v>295.25033207491333</v>
      </c>
      <c r="V29" s="82">
        <f t="shared" si="45"/>
        <v>0.25761745277685755</v>
      </c>
      <c r="W29" s="90">
        <f t="shared" si="14"/>
        <v>353.29834336641505</v>
      </c>
      <c r="X29" s="132">
        <f t="shared" si="46"/>
        <v>1.6656300826089927</v>
      </c>
      <c r="Y29" s="90">
        <f t="shared" si="47"/>
        <v>0</v>
      </c>
      <c r="Z29" s="219">
        <f t="shared" si="48"/>
        <v>0</v>
      </c>
      <c r="AA29" s="219">
        <f t="shared" si="49"/>
        <v>8.8833604405812956</v>
      </c>
      <c r="AB29" s="221">
        <f t="shared" si="50"/>
        <v>0</v>
      </c>
      <c r="AC29" s="148">
        <f t="shared" si="15"/>
        <v>0</v>
      </c>
      <c r="AD29" s="148">
        <f t="shared" si="16"/>
        <v>0</v>
      </c>
      <c r="AE29" s="155">
        <f t="shared" si="17"/>
        <v>0</v>
      </c>
      <c r="AF29" s="86">
        <f t="shared" si="69"/>
        <v>0</v>
      </c>
      <c r="AG29" s="86">
        <f t="shared" si="69"/>
        <v>0</v>
      </c>
      <c r="AH29" s="86">
        <f t="shared" si="69"/>
        <v>69</v>
      </c>
      <c r="AI29" s="86">
        <f t="shared" si="69"/>
        <v>99</v>
      </c>
      <c r="AJ29" s="86">
        <f t="shared" si="69"/>
        <v>120</v>
      </c>
      <c r="AK29" s="86">
        <f t="shared" si="69"/>
        <v>0</v>
      </c>
      <c r="AL29" s="86">
        <f t="shared" si="69"/>
        <v>0</v>
      </c>
      <c r="AM29" s="86">
        <f t="shared" si="69"/>
        <v>49.1008</v>
      </c>
      <c r="AN29" s="86">
        <f t="shared" si="69"/>
        <v>0</v>
      </c>
      <c r="AO29" s="86">
        <f t="shared" si="70"/>
        <v>0</v>
      </c>
      <c r="AP29" s="86">
        <f t="shared" si="70"/>
        <v>0</v>
      </c>
      <c r="AQ29" s="86">
        <f t="shared" si="71"/>
        <v>0</v>
      </c>
      <c r="AR29" s="86">
        <f t="shared" si="71"/>
        <v>0</v>
      </c>
      <c r="AS29" s="86">
        <f t="shared" si="71"/>
        <v>0</v>
      </c>
      <c r="AT29" s="86">
        <f t="shared" si="71"/>
        <v>0</v>
      </c>
      <c r="AU29" s="86">
        <f t="shared" si="71"/>
        <v>0</v>
      </c>
      <c r="AV29" s="86">
        <f t="shared" si="51"/>
        <v>337.10079999999999</v>
      </c>
      <c r="AW29" s="91">
        <f t="shared" si="52"/>
        <v>1.1104200550726619</v>
      </c>
      <c r="AX29" s="176">
        <f t="shared" si="19"/>
        <v>-374.32348890103839</v>
      </c>
      <c r="AY29" s="176">
        <f t="shared" si="53"/>
        <v>0</v>
      </c>
      <c r="AZ29" s="176">
        <f t="shared" si="54"/>
        <v>0</v>
      </c>
      <c r="BA29" s="92">
        <f t="shared" si="55"/>
        <v>0</v>
      </c>
      <c r="BB29" s="181">
        <f t="shared" si="20"/>
        <v>3.2929149969242621E-15</v>
      </c>
      <c r="BC29" s="181">
        <f t="shared" si="21"/>
        <v>30.320202600984107</v>
      </c>
      <c r="BD29" s="93">
        <f t="shared" si="22"/>
        <v>0</v>
      </c>
      <c r="BE29" s="85">
        <f t="shared" si="23"/>
        <v>0</v>
      </c>
      <c r="BF29" s="86">
        <f t="shared" si="56"/>
        <v>0</v>
      </c>
      <c r="BG29" s="94">
        <f t="shared" si="24"/>
        <v>0</v>
      </c>
      <c r="BH29" s="95">
        <f t="shared" si="57"/>
        <v>-511.46666666666664</v>
      </c>
      <c r="BI29" s="95">
        <f t="shared" si="25"/>
        <v>0</v>
      </c>
      <c r="BJ29" s="96">
        <f t="shared" si="26"/>
        <v>0</v>
      </c>
      <c r="BK29" s="155">
        <f t="shared" si="27"/>
        <v>0</v>
      </c>
      <c r="BL29" s="155">
        <f t="shared" si="28"/>
        <v>0</v>
      </c>
      <c r="BM29" s="338">
        <f t="shared" si="58"/>
        <v>304.54538914127403</v>
      </c>
      <c r="BN29" s="16">
        <f t="shared" si="29"/>
        <v>304.54538914127403</v>
      </c>
      <c r="BO29" s="97">
        <f t="shared" si="59"/>
        <v>-17183.761795916864</v>
      </c>
      <c r="BP29" s="16">
        <f t="shared" si="30"/>
        <v>304.54538914127403</v>
      </c>
      <c r="BQ29" s="97">
        <f t="shared" si="60"/>
        <v>-17183.761795916864</v>
      </c>
      <c r="BR29" s="2" t="str">
        <f t="shared" si="31"/>
        <v/>
      </c>
      <c r="BS29" s="16">
        <f t="shared" si="61"/>
        <v>304.54538914127403</v>
      </c>
      <c r="BT29" s="16">
        <f t="shared" si="32"/>
        <v>304.54538914127403</v>
      </c>
      <c r="BU29" s="97">
        <f t="shared" si="62"/>
        <v>-17183.761795916864</v>
      </c>
      <c r="BV29" s="16">
        <f t="shared" si="34"/>
        <v>304.54538914127403</v>
      </c>
      <c r="BW29" s="97">
        <f t="shared" si="63"/>
        <v>-17183.761795916864</v>
      </c>
      <c r="BX29" s="2" t="str">
        <f t="shared" si="35"/>
        <v/>
      </c>
      <c r="BY29" s="16" t="str">
        <f t="shared" si="64"/>
        <v/>
      </c>
      <c r="BZ29" s="16" t="str">
        <f t="shared" si="36"/>
        <v/>
      </c>
      <c r="CA29" s="97" t="str">
        <f t="shared" si="66"/>
        <v/>
      </c>
      <c r="CB29" s="16" t="str">
        <f t="shared" si="37"/>
        <v/>
      </c>
      <c r="CC29" s="97" t="str">
        <f t="shared" si="67"/>
        <v/>
      </c>
      <c r="CD29" s="2" t="str">
        <f t="shared" si="38"/>
        <v/>
      </c>
    </row>
    <row r="30" spans="1:82" x14ac:dyDescent="0.2">
      <c r="A30" s="2"/>
      <c r="B30" s="2">
        <f t="shared" si="65"/>
        <v>23</v>
      </c>
      <c r="C30" s="2" t="b">
        <f t="shared" si="1"/>
        <v>1</v>
      </c>
      <c r="D30" s="2" t="b">
        <f t="shared" si="2"/>
        <v>0</v>
      </c>
      <c r="E30" s="2" t="b">
        <f t="shared" si="3"/>
        <v>0</v>
      </c>
      <c r="F30" s="2" t="b">
        <f t="shared" si="4"/>
        <v>0</v>
      </c>
      <c r="G30" s="2" t="b">
        <f t="shared" si="5"/>
        <v>0</v>
      </c>
      <c r="H30" s="2" t="b">
        <f t="shared" si="6"/>
        <v>0</v>
      </c>
      <c r="I30" s="36" t="b">
        <f t="shared" si="7"/>
        <v>0</v>
      </c>
      <c r="J30" s="135">
        <f t="shared" si="39"/>
        <v>0.91200000000000003</v>
      </c>
      <c r="K30" s="160">
        <f t="shared" si="8"/>
        <v>4104</v>
      </c>
      <c r="L30" s="138">
        <f t="shared" si="40"/>
        <v>0.90666666666666684</v>
      </c>
      <c r="M30" s="217" t="str">
        <f t="shared" si="9"/>
        <v/>
      </c>
      <c r="N30" s="140" t="str">
        <f t="shared" si="41"/>
        <v/>
      </c>
      <c r="O30" s="139" t="str">
        <f t="shared" si="10"/>
        <v/>
      </c>
      <c r="P30" s="139" t="str">
        <f t="shared" si="11"/>
        <v/>
      </c>
      <c r="Q30" s="142" t="str">
        <f t="shared" si="12"/>
        <v/>
      </c>
      <c r="R30" s="82">
        <f t="shared" si="42"/>
        <v>8.9277772427842031E-2</v>
      </c>
      <c r="S30" s="90">
        <f t="shared" si="43"/>
        <v>-4.067812509543508E-14</v>
      </c>
      <c r="T30" s="342">
        <f t="shared" si="44"/>
        <v>0.10787730835030912</v>
      </c>
      <c r="U30" s="90">
        <f t="shared" si="13"/>
        <v>295.43083446133465</v>
      </c>
      <c r="V30" s="82">
        <f t="shared" si="45"/>
        <v>0.25890554004074179</v>
      </c>
      <c r="W30" s="90">
        <f t="shared" si="14"/>
        <v>353.51433362000142</v>
      </c>
      <c r="X30" s="132">
        <f t="shared" si="46"/>
        <v>1.6739582330220375</v>
      </c>
      <c r="Y30" s="90">
        <f t="shared" si="47"/>
        <v>0</v>
      </c>
      <c r="Z30" s="219">
        <f t="shared" si="48"/>
        <v>0</v>
      </c>
      <c r="AA30" s="219">
        <f t="shared" si="49"/>
        <v>8.9277772427842006</v>
      </c>
      <c r="AB30" s="221">
        <f t="shared" si="50"/>
        <v>0</v>
      </c>
      <c r="AC30" s="148">
        <f t="shared" si="15"/>
        <v>0</v>
      </c>
      <c r="AD30" s="148">
        <f t="shared" si="16"/>
        <v>0</v>
      </c>
      <c r="AE30" s="155">
        <f t="shared" si="17"/>
        <v>0</v>
      </c>
      <c r="AF30" s="86">
        <f>IF(INT($B30/AF$4)=$B30/AF$4,AF$3,0)</f>
        <v>0</v>
      </c>
      <c r="AG30" s="86">
        <f>IF(INT($B30/AG$4)=$B30/AG$4,AG$3,0)</f>
        <v>0</v>
      </c>
      <c r="AH30" s="86">
        <f t="shared" ref="AG30:AU45" si="72">IF(INT($B30/AH$4)=$B30/AH$4,AH$3,0)</f>
        <v>69</v>
      </c>
      <c r="AI30" s="86">
        <f t="shared" si="72"/>
        <v>99</v>
      </c>
      <c r="AJ30" s="86">
        <f t="shared" si="72"/>
        <v>120</v>
      </c>
      <c r="AK30" s="86">
        <f t="shared" si="72"/>
        <v>0</v>
      </c>
      <c r="AL30" s="86">
        <f t="shared" si="72"/>
        <v>0</v>
      </c>
      <c r="AM30" s="86">
        <f t="shared" si="72"/>
        <v>49.1008</v>
      </c>
      <c r="AN30" s="86">
        <f t="shared" si="72"/>
        <v>0</v>
      </c>
      <c r="AO30" s="86">
        <f t="shared" si="72"/>
        <v>0</v>
      </c>
      <c r="AP30" s="86">
        <f t="shared" si="70"/>
        <v>0</v>
      </c>
      <c r="AQ30" s="86">
        <f t="shared" si="72"/>
        <v>0</v>
      </c>
      <c r="AR30" s="86">
        <f t="shared" si="72"/>
        <v>0</v>
      </c>
      <c r="AS30" s="86">
        <f t="shared" si="72"/>
        <v>0</v>
      </c>
      <c r="AT30" s="86">
        <f t="shared" si="71"/>
        <v>0</v>
      </c>
      <c r="AU30" s="86">
        <f t="shared" si="71"/>
        <v>0</v>
      </c>
      <c r="AV30" s="86">
        <f t="shared" si="51"/>
        <v>337.10079999999999</v>
      </c>
      <c r="AW30" s="91">
        <f t="shared" si="52"/>
        <v>1.1159721553480251</v>
      </c>
      <c r="AX30" s="176">
        <f t="shared" si="19"/>
        <v>-376.19510634554354</v>
      </c>
      <c r="AY30" s="176">
        <f t="shared" si="53"/>
        <v>0</v>
      </c>
      <c r="AZ30" s="176">
        <f t="shared" si="54"/>
        <v>0</v>
      </c>
      <c r="BA30" s="92">
        <f t="shared" si="55"/>
        <v>0</v>
      </c>
      <c r="BB30" s="181">
        <f t="shared" si="20"/>
        <v>3.2949281327302413E-15</v>
      </c>
      <c r="BC30" s="181">
        <f t="shared" si="21"/>
        <v>30.471803613989028</v>
      </c>
      <c r="BD30" s="93">
        <f t="shared" si="22"/>
        <v>0</v>
      </c>
      <c r="BE30" s="85">
        <f t="shared" si="23"/>
        <v>0</v>
      </c>
      <c r="BF30" s="86">
        <f t="shared" si="56"/>
        <v>0</v>
      </c>
      <c r="BG30" s="94">
        <f t="shared" si="24"/>
        <v>0</v>
      </c>
      <c r="BH30" s="95">
        <f t="shared" si="57"/>
        <v>-511.46666666666664</v>
      </c>
      <c r="BI30" s="95">
        <f t="shared" si="25"/>
        <v>0</v>
      </c>
      <c r="BJ30" s="96">
        <f t="shared" si="26"/>
        <v>0</v>
      </c>
      <c r="BK30" s="155">
        <f t="shared" si="27"/>
        <v>0</v>
      </c>
      <c r="BL30" s="155">
        <f t="shared" si="28"/>
        <v>0</v>
      </c>
      <c r="BM30" s="338">
        <f t="shared" si="58"/>
        <v>303.22186534978158</v>
      </c>
      <c r="BN30" s="16">
        <f t="shared" si="29"/>
        <v>303.22186534978158</v>
      </c>
      <c r="BO30" s="97">
        <f t="shared" si="59"/>
        <v>-16880.539930567084</v>
      </c>
      <c r="BP30" s="16">
        <f t="shared" si="30"/>
        <v>303.22186534978158</v>
      </c>
      <c r="BQ30" s="97">
        <f t="shared" si="60"/>
        <v>-16880.539930567084</v>
      </c>
      <c r="BR30" s="2" t="str">
        <f t="shared" si="31"/>
        <v/>
      </c>
      <c r="BS30" s="16">
        <f t="shared" si="61"/>
        <v>303.22186534978158</v>
      </c>
      <c r="BT30" s="16">
        <f t="shared" si="32"/>
        <v>303.22186534978158</v>
      </c>
      <c r="BU30" s="97">
        <f t="shared" si="62"/>
        <v>-16880.539930567084</v>
      </c>
      <c r="BV30" s="16">
        <f t="shared" si="34"/>
        <v>303.22186534978158</v>
      </c>
      <c r="BW30" s="97">
        <f t="shared" si="63"/>
        <v>-16880.539930567084</v>
      </c>
      <c r="BX30" s="2" t="str">
        <f t="shared" si="35"/>
        <v/>
      </c>
      <c r="BY30" s="16" t="str">
        <f t="shared" si="64"/>
        <v/>
      </c>
      <c r="BZ30" s="16" t="str">
        <f t="shared" si="36"/>
        <v/>
      </c>
      <c r="CA30" s="97" t="str">
        <f t="shared" si="66"/>
        <v/>
      </c>
      <c r="CB30" s="16" t="str">
        <f t="shared" si="37"/>
        <v/>
      </c>
      <c r="CC30" s="97" t="str">
        <f t="shared" si="67"/>
        <v/>
      </c>
      <c r="CD30" s="2" t="str">
        <f t="shared" si="38"/>
        <v/>
      </c>
    </row>
    <row r="31" spans="1:82" x14ac:dyDescent="0.2">
      <c r="A31" s="2"/>
      <c r="B31" s="2">
        <f t="shared" si="65"/>
        <v>24</v>
      </c>
      <c r="C31" s="2" t="b">
        <f t="shared" si="1"/>
        <v>1</v>
      </c>
      <c r="D31" s="2" t="b">
        <f t="shared" si="2"/>
        <v>0</v>
      </c>
      <c r="E31" s="2" t="b">
        <f t="shared" si="3"/>
        <v>0</v>
      </c>
      <c r="F31" s="2" t="b">
        <f t="shared" si="4"/>
        <v>0</v>
      </c>
      <c r="G31" s="2" t="b">
        <f t="shared" si="5"/>
        <v>0</v>
      </c>
      <c r="H31" s="2" t="b">
        <f t="shared" si="6"/>
        <v>0</v>
      </c>
      <c r="I31" s="36" t="b">
        <f t="shared" si="7"/>
        <v>0</v>
      </c>
      <c r="J31" s="135">
        <f t="shared" si="39"/>
        <v>0.90800000000000003</v>
      </c>
      <c r="K31" s="160">
        <f t="shared" si="8"/>
        <v>4086.0000000000005</v>
      </c>
      <c r="L31" s="138">
        <f t="shared" si="40"/>
        <v>0.89333333333333353</v>
      </c>
      <c r="M31" s="217" t="str">
        <f t="shared" si="9"/>
        <v/>
      </c>
      <c r="N31" s="140" t="str">
        <f t="shared" si="41"/>
        <v/>
      </c>
      <c r="O31" s="139" t="str">
        <f t="shared" si="10"/>
        <v/>
      </c>
      <c r="P31" s="139" t="str">
        <f t="shared" si="11"/>
        <v/>
      </c>
      <c r="Q31" s="142" t="str">
        <f t="shared" si="12"/>
        <v/>
      </c>
      <c r="R31" s="82">
        <f t="shared" si="42"/>
        <v>8.972416128998123E-2</v>
      </c>
      <c r="S31" s="90">
        <f t="shared" si="43"/>
        <v>-4.070221082739948E-14</v>
      </c>
      <c r="T31" s="342">
        <f t="shared" si="44"/>
        <v>0.10841669489206066</v>
      </c>
      <c r="U31" s="90">
        <f t="shared" si="13"/>
        <v>295.60576061331835</v>
      </c>
      <c r="V31" s="82">
        <f t="shared" si="45"/>
        <v>0.26020006774094545</v>
      </c>
      <c r="W31" s="90">
        <f t="shared" si="14"/>
        <v>353.72365131753958</v>
      </c>
      <c r="X31" s="132">
        <f t="shared" si="46"/>
        <v>1.6823280241871474</v>
      </c>
      <c r="Y31" s="90">
        <f t="shared" si="47"/>
        <v>0</v>
      </c>
      <c r="Z31" s="219">
        <f t="shared" si="48"/>
        <v>0</v>
      </c>
      <c r="AA31" s="219">
        <f t="shared" si="49"/>
        <v>8.9724161289981215</v>
      </c>
      <c r="AB31" s="221">
        <f t="shared" si="50"/>
        <v>0</v>
      </c>
      <c r="AC31" s="148">
        <f t="shared" si="15"/>
        <v>0</v>
      </c>
      <c r="AD31" s="148">
        <f t="shared" si="16"/>
        <v>0</v>
      </c>
      <c r="AE31" s="155">
        <f t="shared" si="17"/>
        <v>0</v>
      </c>
      <c r="AF31" s="86">
        <f t="shared" ref="AF31:AF52" si="73">IF(INT($B31/AF$4)=$B31/AF$4,AF$3,0)</f>
        <v>0</v>
      </c>
      <c r="AG31" s="86">
        <f t="shared" si="72"/>
        <v>0</v>
      </c>
      <c r="AH31" s="86">
        <f t="shared" si="72"/>
        <v>69</v>
      </c>
      <c r="AI31" s="86">
        <f t="shared" si="72"/>
        <v>99</v>
      </c>
      <c r="AJ31" s="86">
        <f t="shared" si="72"/>
        <v>120</v>
      </c>
      <c r="AK31" s="86">
        <f t="shared" si="72"/>
        <v>0</v>
      </c>
      <c r="AL31" s="86">
        <f t="shared" si="72"/>
        <v>0</v>
      </c>
      <c r="AM31" s="86">
        <f t="shared" si="72"/>
        <v>49.1008</v>
      </c>
      <c r="AN31" s="86">
        <f t="shared" si="72"/>
        <v>1215.3440000000001</v>
      </c>
      <c r="AO31" s="86">
        <f t="shared" si="72"/>
        <v>1056.25</v>
      </c>
      <c r="AP31" s="86">
        <f t="shared" si="70"/>
        <v>0</v>
      </c>
      <c r="AQ31" s="86">
        <f t="shared" si="72"/>
        <v>0</v>
      </c>
      <c r="AR31" s="86">
        <f t="shared" si="72"/>
        <v>0</v>
      </c>
      <c r="AS31" s="86">
        <f t="shared" si="72"/>
        <v>0</v>
      </c>
      <c r="AT31" s="86">
        <f t="shared" si="71"/>
        <v>0</v>
      </c>
      <c r="AU31" s="86">
        <f t="shared" si="71"/>
        <v>0</v>
      </c>
      <c r="AV31" s="86">
        <f t="shared" si="51"/>
        <v>2608.6948000000002</v>
      </c>
      <c r="AW31" s="91">
        <f t="shared" si="52"/>
        <v>1.1215520161247652</v>
      </c>
      <c r="AX31" s="176">
        <f t="shared" si="19"/>
        <v>-2925.7869123941914</v>
      </c>
      <c r="AY31" s="176">
        <f t="shared" si="53"/>
        <v>0</v>
      </c>
      <c r="AZ31" s="176">
        <f t="shared" si="54"/>
        <v>0</v>
      </c>
      <c r="BA31" s="92">
        <f t="shared" si="55"/>
        <v>0</v>
      </c>
      <c r="BB31" s="181">
        <f t="shared" si="20"/>
        <v>3.2968790770193575E-15</v>
      </c>
      <c r="BC31" s="181">
        <f t="shared" si="21"/>
        <v>236.98873990392948</v>
      </c>
      <c r="BD31" s="93">
        <f t="shared" si="22"/>
        <v>0</v>
      </c>
      <c r="BE31" s="85">
        <f t="shared" si="23"/>
        <v>0</v>
      </c>
      <c r="BF31" s="86">
        <f t="shared" si="56"/>
        <v>0</v>
      </c>
      <c r="BG31" s="94">
        <f t="shared" si="24"/>
        <v>0</v>
      </c>
      <c r="BH31" s="95">
        <f t="shared" si="57"/>
        <v>-511.46666666666664</v>
      </c>
      <c r="BI31" s="95">
        <f t="shared" si="25"/>
        <v>0</v>
      </c>
      <c r="BJ31" s="96">
        <f t="shared" si="26"/>
        <v>0</v>
      </c>
      <c r="BK31" s="155">
        <f t="shared" si="27"/>
        <v>0</v>
      </c>
      <c r="BL31" s="155">
        <f t="shared" si="28"/>
        <v>0</v>
      </c>
      <c r="BM31" s="338">
        <f t="shared" si="58"/>
        <v>-2039.468760559404</v>
      </c>
      <c r="BN31" s="16">
        <f t="shared" si="29"/>
        <v>-2039.468760559404</v>
      </c>
      <c r="BO31" s="97">
        <f t="shared" si="59"/>
        <v>-18920.008691126488</v>
      </c>
      <c r="BP31" s="16">
        <f t="shared" si="30"/>
        <v>-2039.468760559404</v>
      </c>
      <c r="BQ31" s="97">
        <f t="shared" si="60"/>
        <v>-18920.008691126488</v>
      </c>
      <c r="BR31" s="2" t="str">
        <f t="shared" si="31"/>
        <v/>
      </c>
      <c r="BS31" s="16">
        <f t="shared" si="61"/>
        <v>-2039.468760559404</v>
      </c>
      <c r="BT31" s="16">
        <f t="shared" si="32"/>
        <v>-2039.468760559404</v>
      </c>
      <c r="BU31" s="97">
        <f t="shared" si="62"/>
        <v>-18920.008691126488</v>
      </c>
      <c r="BV31" s="16">
        <f t="shared" si="34"/>
        <v>-2039.468760559404</v>
      </c>
      <c r="BW31" s="97">
        <f t="shared" si="63"/>
        <v>-18920.008691126488</v>
      </c>
      <c r="BX31" s="2" t="str">
        <f t="shared" si="35"/>
        <v/>
      </c>
      <c r="BY31" s="16" t="str">
        <f t="shared" si="64"/>
        <v/>
      </c>
      <c r="BZ31" s="16" t="str">
        <f t="shared" si="36"/>
        <v/>
      </c>
      <c r="CA31" s="97" t="str">
        <f t="shared" si="66"/>
        <v/>
      </c>
      <c r="CB31" s="16" t="str">
        <f t="shared" si="37"/>
        <v/>
      </c>
      <c r="CC31" s="97" t="str">
        <f t="shared" si="67"/>
        <v/>
      </c>
      <c r="CD31" s="2" t="str">
        <f t="shared" si="38"/>
        <v/>
      </c>
    </row>
    <row r="32" spans="1:82" x14ac:dyDescent="0.2">
      <c r="A32" s="2"/>
      <c r="B32" s="2">
        <f>B31+1</f>
        <v>25</v>
      </c>
      <c r="C32" s="2" t="b">
        <f t="shared" si="1"/>
        <v>1</v>
      </c>
      <c r="D32" s="2" t="b">
        <f t="shared" si="2"/>
        <v>0</v>
      </c>
      <c r="E32" s="2" t="b">
        <f t="shared" si="3"/>
        <v>0</v>
      </c>
      <c r="F32" s="2" t="b">
        <f t="shared" si="4"/>
        <v>0</v>
      </c>
      <c r="G32" s="2" t="b">
        <f t="shared" si="5"/>
        <v>0</v>
      </c>
      <c r="H32" s="2" t="b">
        <f t="shared" si="6"/>
        <v>0</v>
      </c>
      <c r="I32" s="36" t="b">
        <f t="shared" si="7"/>
        <v>0</v>
      </c>
      <c r="J32" s="135">
        <f t="shared" si="39"/>
        <v>0.90400000000000003</v>
      </c>
      <c r="K32" s="160">
        <f t="shared" si="8"/>
        <v>4068.0000000000005</v>
      </c>
      <c r="L32" s="138">
        <f t="shared" si="40"/>
        <v>0.88000000000000023</v>
      </c>
      <c r="M32" s="217" t="str">
        <f t="shared" si="9"/>
        <v/>
      </c>
      <c r="N32" s="140" t="str">
        <f t="shared" si="41"/>
        <v/>
      </c>
      <c r="O32" s="139" t="str">
        <f t="shared" si="10"/>
        <v/>
      </c>
      <c r="P32" s="139" t="str">
        <f t="shared" si="11"/>
        <v/>
      </c>
      <c r="Q32" s="142" t="str">
        <f t="shared" si="12"/>
        <v/>
      </c>
      <c r="R32" s="82">
        <f t="shared" si="42"/>
        <v>9.017278209643112E-2</v>
      </c>
      <c r="S32" s="90">
        <f t="shared" si="43"/>
        <v>-4.0725520463556137E-14</v>
      </c>
      <c r="T32" s="342">
        <f t="shared" si="44"/>
        <v>0.10895877836652094</v>
      </c>
      <c r="U32" s="90">
        <f t="shared" si="13"/>
        <v>295.77505025596031</v>
      </c>
      <c r="V32" s="82">
        <f t="shared" si="45"/>
        <v>0.26150106807965012</v>
      </c>
      <c r="W32" s="90">
        <f t="shared" si="14"/>
        <v>353.92622433371253</v>
      </c>
      <c r="X32" s="132">
        <f t="shared" si="46"/>
        <v>1.690739664308083</v>
      </c>
      <c r="Y32" s="90">
        <f t="shared" si="47"/>
        <v>0</v>
      </c>
      <c r="Z32" s="219">
        <f t="shared" si="48"/>
        <v>0</v>
      </c>
      <c r="AA32" s="219">
        <f t="shared" si="49"/>
        <v>9.017278209643111</v>
      </c>
      <c r="AB32" s="221">
        <f t="shared" si="50"/>
        <v>0</v>
      </c>
      <c r="AC32" s="148">
        <f t="shared" si="15"/>
        <v>0</v>
      </c>
      <c r="AD32" s="148">
        <f t="shared" si="16"/>
        <v>0</v>
      </c>
      <c r="AE32" s="155">
        <f t="shared" si="17"/>
        <v>0</v>
      </c>
      <c r="AF32" s="86">
        <f t="shared" si="73"/>
        <v>830.68799999999999</v>
      </c>
      <c r="AG32" s="86">
        <f t="shared" si="72"/>
        <v>0</v>
      </c>
      <c r="AH32" s="86">
        <f t="shared" si="72"/>
        <v>69</v>
      </c>
      <c r="AI32" s="86">
        <f t="shared" si="72"/>
        <v>99</v>
      </c>
      <c r="AJ32" s="86">
        <f t="shared" si="72"/>
        <v>120</v>
      </c>
      <c r="AK32" s="86">
        <f t="shared" si="72"/>
        <v>0</v>
      </c>
      <c r="AL32" s="86">
        <f t="shared" si="72"/>
        <v>0</v>
      </c>
      <c r="AM32" s="86">
        <f t="shared" si="72"/>
        <v>49.1008</v>
      </c>
      <c r="AN32" s="86">
        <f t="shared" si="72"/>
        <v>0</v>
      </c>
      <c r="AO32" s="86">
        <f t="shared" si="72"/>
        <v>0</v>
      </c>
      <c r="AP32" s="86">
        <f t="shared" si="70"/>
        <v>0</v>
      </c>
      <c r="AQ32" s="86">
        <f t="shared" si="72"/>
        <v>0</v>
      </c>
      <c r="AR32" s="86">
        <f t="shared" si="72"/>
        <v>0</v>
      </c>
      <c r="AS32" s="86">
        <f t="shared" si="72"/>
        <v>0</v>
      </c>
      <c r="AT32" s="86">
        <f t="shared" si="71"/>
        <v>0</v>
      </c>
      <c r="AU32" s="86">
        <f t="shared" si="71"/>
        <v>0</v>
      </c>
      <c r="AV32" s="86">
        <f t="shared" si="51"/>
        <v>1167.7888</v>
      </c>
      <c r="AW32" s="91">
        <f t="shared" si="52"/>
        <v>1.1271597762053889</v>
      </c>
      <c r="AX32" s="176">
        <f t="shared" si="19"/>
        <v>-1316.2845624631598</v>
      </c>
      <c r="AY32" s="176">
        <f t="shared" si="53"/>
        <v>0</v>
      </c>
      <c r="AZ32" s="176">
        <f t="shared" si="54"/>
        <v>0</v>
      </c>
      <c r="BA32" s="92">
        <f t="shared" si="55"/>
        <v>0</v>
      </c>
      <c r="BB32" s="181">
        <f t="shared" si="20"/>
        <v>3.2987671575480466E-15</v>
      </c>
      <c r="BC32" s="181">
        <f t="shared" si="21"/>
        <v>106.61904955951593</v>
      </c>
      <c r="BD32" s="93">
        <f t="shared" si="22"/>
        <v>0</v>
      </c>
      <c r="BE32" s="85">
        <f t="shared" si="23"/>
        <v>0</v>
      </c>
      <c r="BF32" s="86">
        <f t="shared" si="56"/>
        <v>0</v>
      </c>
      <c r="BG32" s="94">
        <f t="shared" si="24"/>
        <v>0</v>
      </c>
      <c r="BH32" s="95">
        <f t="shared" si="57"/>
        <v>-511.46666666666664</v>
      </c>
      <c r="BI32" s="95">
        <f t="shared" si="25"/>
        <v>0</v>
      </c>
      <c r="BJ32" s="96">
        <f t="shared" si="26"/>
        <v>0</v>
      </c>
      <c r="BK32" s="155">
        <f t="shared" si="27"/>
        <v>0</v>
      </c>
      <c r="BL32" s="155">
        <f t="shared" si="28"/>
        <v>0</v>
      </c>
      <c r="BM32" s="338">
        <f t="shared" si="58"/>
        <v>-559.96423831397112</v>
      </c>
      <c r="BN32" s="16">
        <f t="shared" si="29"/>
        <v>-559.96423831397112</v>
      </c>
      <c r="BO32" s="97">
        <f t="shared" si="59"/>
        <v>-19479.972929440461</v>
      </c>
      <c r="BP32" s="16">
        <f t="shared" si="30"/>
        <v>-559.96423831397112</v>
      </c>
      <c r="BQ32" s="97">
        <f t="shared" si="60"/>
        <v>-19479.972929440461</v>
      </c>
      <c r="BR32" s="2" t="str">
        <f t="shared" si="31"/>
        <v/>
      </c>
      <c r="BS32" s="16">
        <f t="shared" si="61"/>
        <v>-559.96423831397112</v>
      </c>
      <c r="BT32" s="16">
        <f t="shared" si="32"/>
        <v>-559.96423831397112</v>
      </c>
      <c r="BU32" s="97">
        <f t="shared" si="62"/>
        <v>-19479.972929440461</v>
      </c>
      <c r="BV32" s="16">
        <f t="shared" si="34"/>
        <v>-559.96423831397112</v>
      </c>
      <c r="BW32" s="97">
        <f t="shared" si="63"/>
        <v>-19479.972929440461</v>
      </c>
      <c r="BX32" s="2" t="str">
        <f t="shared" si="35"/>
        <v/>
      </c>
      <c r="BY32" s="16" t="str">
        <f t="shared" si="64"/>
        <v/>
      </c>
      <c r="BZ32" s="16" t="str">
        <f t="shared" si="36"/>
        <v/>
      </c>
      <c r="CA32" s="97" t="str">
        <f t="shared" si="66"/>
        <v/>
      </c>
      <c r="CB32" s="16" t="str">
        <f t="shared" si="37"/>
        <v/>
      </c>
      <c r="CC32" s="97" t="str">
        <f t="shared" si="67"/>
        <v/>
      </c>
      <c r="CD32" s="2" t="str">
        <f t="shared" si="38"/>
        <v/>
      </c>
    </row>
    <row r="33" spans="1:82" x14ac:dyDescent="0.2">
      <c r="A33" s="2"/>
      <c r="B33" s="2">
        <f t="shared" si="65"/>
        <v>26</v>
      </c>
      <c r="C33" s="2" t="b">
        <f t="shared" si="1"/>
        <v>1</v>
      </c>
      <c r="D33" s="2" t="b">
        <f t="shared" si="2"/>
        <v>0</v>
      </c>
      <c r="E33" s="2" t="b">
        <f t="shared" si="3"/>
        <v>0</v>
      </c>
      <c r="F33" s="2" t="b">
        <f t="shared" si="4"/>
        <v>0</v>
      </c>
      <c r="G33" s="2" t="b">
        <f t="shared" si="5"/>
        <v>0</v>
      </c>
      <c r="H33" s="2" t="b">
        <f t="shared" si="6"/>
        <v>0</v>
      </c>
      <c r="I33" s="36" t="b">
        <f t="shared" si="7"/>
        <v>0</v>
      </c>
      <c r="J33" s="135">
        <f t="shared" si="39"/>
        <v>0.9</v>
      </c>
      <c r="K33" s="160">
        <f t="shared" si="8"/>
        <v>4050</v>
      </c>
      <c r="L33" s="138">
        <f t="shared" si="40"/>
        <v>0.86666666666666692</v>
      </c>
      <c r="M33" s="217" t="str">
        <f t="shared" si="9"/>
        <v/>
      </c>
      <c r="N33" s="140" t="str">
        <f t="shared" si="41"/>
        <v/>
      </c>
      <c r="O33" s="139" t="str">
        <f t="shared" si="10"/>
        <v/>
      </c>
      <c r="P33" s="139" t="str">
        <f t="shared" si="11"/>
        <v/>
      </c>
      <c r="Q33" s="142" t="str">
        <f t="shared" si="12"/>
        <v/>
      </c>
      <c r="R33" s="82">
        <f t="shared" si="42"/>
        <v>9.0623646006913264E-2</v>
      </c>
      <c r="S33" s="90">
        <f t="shared" si="43"/>
        <v>-4.0748045640803668E-14</v>
      </c>
      <c r="T33" s="342">
        <f t="shared" si="44"/>
        <v>0.10950357225835354</v>
      </c>
      <c r="U33" s="90">
        <f t="shared" si="13"/>
        <v>295.93864265101337</v>
      </c>
      <c r="V33" s="82">
        <f t="shared" si="45"/>
        <v>0.26280857342004832</v>
      </c>
      <c r="W33" s="90">
        <f t="shared" si="14"/>
        <v>354.12197998876428</v>
      </c>
      <c r="X33" s="132">
        <f t="shared" si="46"/>
        <v>1.6991933626296232</v>
      </c>
      <c r="Y33" s="90">
        <f t="shared" si="47"/>
        <v>0</v>
      </c>
      <c r="Z33" s="219">
        <f t="shared" si="48"/>
        <v>0</v>
      </c>
      <c r="AA33" s="219">
        <f t="shared" si="49"/>
        <v>9.0623646006913248</v>
      </c>
      <c r="AB33" s="221">
        <f t="shared" si="50"/>
        <v>0</v>
      </c>
      <c r="AC33" s="148">
        <f t="shared" si="15"/>
        <v>0</v>
      </c>
      <c r="AD33" s="148">
        <f t="shared" si="16"/>
        <v>0</v>
      </c>
      <c r="AE33" s="155">
        <f t="shared" si="17"/>
        <v>0</v>
      </c>
      <c r="AF33" s="86">
        <f t="shared" si="73"/>
        <v>0</v>
      </c>
      <c r="AG33" s="86">
        <f t="shared" si="72"/>
        <v>0</v>
      </c>
      <c r="AH33" s="86">
        <f t="shared" si="72"/>
        <v>69</v>
      </c>
      <c r="AI33" s="86">
        <f t="shared" si="72"/>
        <v>99</v>
      </c>
      <c r="AJ33" s="86">
        <f t="shared" si="72"/>
        <v>120</v>
      </c>
      <c r="AK33" s="86">
        <f t="shared" si="72"/>
        <v>0</v>
      </c>
      <c r="AL33" s="86">
        <f t="shared" si="72"/>
        <v>0</v>
      </c>
      <c r="AM33" s="86">
        <f t="shared" si="72"/>
        <v>49.1008</v>
      </c>
      <c r="AN33" s="86">
        <f t="shared" si="72"/>
        <v>0</v>
      </c>
      <c r="AO33" s="86">
        <f t="shared" si="72"/>
        <v>0</v>
      </c>
      <c r="AP33" s="86">
        <f t="shared" si="70"/>
        <v>0</v>
      </c>
      <c r="AQ33" s="86">
        <f t="shared" si="72"/>
        <v>0</v>
      </c>
      <c r="AR33" s="86">
        <f t="shared" si="72"/>
        <v>0</v>
      </c>
      <c r="AS33" s="86">
        <f t="shared" si="72"/>
        <v>0</v>
      </c>
      <c r="AT33" s="86">
        <f t="shared" si="71"/>
        <v>0</v>
      </c>
      <c r="AU33" s="86">
        <f t="shared" si="71"/>
        <v>0</v>
      </c>
      <c r="AV33" s="86">
        <f t="shared" si="51"/>
        <v>337.10079999999999</v>
      </c>
      <c r="AW33" s="91">
        <f t="shared" si="52"/>
        <v>1.1327955750864156</v>
      </c>
      <c r="AX33" s="176">
        <f t="shared" si="19"/>
        <v>-381.86629459809075</v>
      </c>
      <c r="AY33" s="176">
        <f t="shared" si="53"/>
        <v>0</v>
      </c>
      <c r="AZ33" s="176">
        <f t="shared" si="54"/>
        <v>0</v>
      </c>
      <c r="BA33" s="92">
        <f t="shared" si="55"/>
        <v>0</v>
      </c>
      <c r="BB33" s="181">
        <f t="shared" si="20"/>
        <v>3.3005916969050971E-15</v>
      </c>
      <c r="BC33" s="181">
        <f t="shared" si="21"/>
        <v>30.931169862445348</v>
      </c>
      <c r="BD33" s="93">
        <f t="shared" si="22"/>
        <v>0</v>
      </c>
      <c r="BE33" s="85">
        <f t="shared" si="23"/>
        <v>0</v>
      </c>
      <c r="BF33" s="86">
        <f t="shared" si="56"/>
        <v>0</v>
      </c>
      <c r="BG33" s="94">
        <f t="shared" si="24"/>
        <v>0</v>
      </c>
      <c r="BH33" s="95">
        <f t="shared" si="57"/>
        <v>-511.46666666666664</v>
      </c>
      <c r="BI33" s="95">
        <f t="shared" si="25"/>
        <v>0</v>
      </c>
      <c r="BJ33" s="96">
        <f t="shared" si="26"/>
        <v>0</v>
      </c>
      <c r="BK33" s="155">
        <f t="shared" si="27"/>
        <v>0</v>
      </c>
      <c r="BL33" s="155">
        <f t="shared" si="28"/>
        <v>0</v>
      </c>
      <c r="BM33" s="338">
        <f t="shared" si="58"/>
        <v>299.12549790413226</v>
      </c>
      <c r="BN33" s="16">
        <f t="shared" si="29"/>
        <v>299.12549790413226</v>
      </c>
      <c r="BO33" s="97">
        <f t="shared" si="59"/>
        <v>-19180.847431536327</v>
      </c>
      <c r="BP33" s="16">
        <f t="shared" si="30"/>
        <v>299.12549790413226</v>
      </c>
      <c r="BQ33" s="97">
        <f t="shared" si="60"/>
        <v>-19180.847431536327</v>
      </c>
      <c r="BR33" s="2" t="str">
        <f t="shared" si="31"/>
        <v/>
      </c>
      <c r="BS33" s="16">
        <f t="shared" si="61"/>
        <v>299.12549790413226</v>
      </c>
      <c r="BT33" s="16">
        <f t="shared" si="32"/>
        <v>299.12549790413226</v>
      </c>
      <c r="BU33" s="97">
        <f t="shared" si="62"/>
        <v>-19180.847431536327</v>
      </c>
      <c r="BV33" s="16">
        <f t="shared" si="34"/>
        <v>299.12549790413226</v>
      </c>
      <c r="BW33" s="97">
        <f t="shared" si="63"/>
        <v>-19180.847431536327</v>
      </c>
      <c r="BX33" s="2" t="str">
        <f t="shared" si="35"/>
        <v/>
      </c>
      <c r="BY33" s="16" t="str">
        <f t="shared" si="64"/>
        <v/>
      </c>
      <c r="BZ33" s="16" t="str">
        <f t="shared" si="36"/>
        <v/>
      </c>
      <c r="CA33" s="97" t="str">
        <f t="shared" si="66"/>
        <v/>
      </c>
      <c r="CB33" s="16" t="str">
        <f t="shared" si="37"/>
        <v/>
      </c>
      <c r="CC33" s="97" t="str">
        <f t="shared" si="67"/>
        <v/>
      </c>
      <c r="CD33" s="2" t="str">
        <f t="shared" si="38"/>
        <v/>
      </c>
    </row>
    <row r="34" spans="1:82" x14ac:dyDescent="0.2">
      <c r="A34" s="2"/>
      <c r="B34" s="2">
        <f t="shared" si="65"/>
        <v>27</v>
      </c>
      <c r="C34" s="2" t="b">
        <f t="shared" si="1"/>
        <v>1</v>
      </c>
      <c r="D34" s="2" t="b">
        <f t="shared" si="2"/>
        <v>0</v>
      </c>
      <c r="E34" s="2" t="b">
        <f t="shared" si="3"/>
        <v>0</v>
      </c>
      <c r="F34" s="2" t="b">
        <f t="shared" si="4"/>
        <v>0</v>
      </c>
      <c r="G34" s="2" t="b">
        <f t="shared" si="5"/>
        <v>0</v>
      </c>
      <c r="H34" s="2" t="b">
        <f t="shared" si="6"/>
        <v>0</v>
      </c>
      <c r="I34" s="36" t="b">
        <f t="shared" si="7"/>
        <v>0</v>
      </c>
      <c r="J34" s="135">
        <f t="shared" si="39"/>
        <v>0.89600000000000002</v>
      </c>
      <c r="K34" s="160">
        <f t="shared" si="8"/>
        <v>4032</v>
      </c>
      <c r="L34" s="138">
        <f t="shared" si="40"/>
        <v>0.85333333333333361</v>
      </c>
      <c r="M34" s="217" t="str">
        <f t="shared" si="9"/>
        <v/>
      </c>
      <c r="N34" s="140" t="str">
        <f t="shared" si="41"/>
        <v/>
      </c>
      <c r="O34" s="139" t="str">
        <f t="shared" si="10"/>
        <v/>
      </c>
      <c r="P34" s="139" t="str">
        <f t="shared" si="11"/>
        <v/>
      </c>
      <c r="Q34" s="142" t="str">
        <f t="shared" si="12"/>
        <v/>
      </c>
      <c r="R34" s="82">
        <f t="shared" si="42"/>
        <v>9.1076764236947827E-2</v>
      </c>
      <c r="S34" s="90">
        <f t="shared" si="43"/>
        <v>-4.0769777931812096E-14</v>
      </c>
      <c r="T34" s="342">
        <f t="shared" si="44"/>
        <v>0.1100510901196453</v>
      </c>
      <c r="U34" s="90">
        <f t="shared" si="13"/>
        <v>296.09647659376049</v>
      </c>
      <c r="V34" s="82">
        <f t="shared" si="45"/>
        <v>0.26412261628714856</v>
      </c>
      <c r="W34" s="90">
        <f t="shared" si="14"/>
        <v>354.31084504475825</v>
      </c>
      <c r="X34" s="132">
        <f t="shared" si="46"/>
        <v>1.7076893294427711</v>
      </c>
      <c r="Y34" s="90">
        <f t="shared" si="47"/>
        <v>0</v>
      </c>
      <c r="Z34" s="219">
        <f t="shared" si="48"/>
        <v>0</v>
      </c>
      <c r="AA34" s="219">
        <f t="shared" si="49"/>
        <v>9.1076764236947803</v>
      </c>
      <c r="AB34" s="221">
        <f t="shared" si="50"/>
        <v>0</v>
      </c>
      <c r="AC34" s="148">
        <f t="shared" si="15"/>
        <v>0</v>
      </c>
      <c r="AD34" s="148">
        <f t="shared" si="16"/>
        <v>0</v>
      </c>
      <c r="AE34" s="155">
        <f t="shared" si="17"/>
        <v>0</v>
      </c>
      <c r="AF34" s="86">
        <f t="shared" si="73"/>
        <v>0</v>
      </c>
      <c r="AG34" s="86">
        <f t="shared" si="72"/>
        <v>0</v>
      </c>
      <c r="AH34" s="86">
        <f t="shared" si="72"/>
        <v>69</v>
      </c>
      <c r="AI34" s="86">
        <f t="shared" si="72"/>
        <v>99</v>
      </c>
      <c r="AJ34" s="86">
        <f t="shared" si="72"/>
        <v>120</v>
      </c>
      <c r="AK34" s="86">
        <f t="shared" si="72"/>
        <v>0</v>
      </c>
      <c r="AL34" s="86">
        <f t="shared" si="72"/>
        <v>0</v>
      </c>
      <c r="AM34" s="86">
        <f t="shared" si="72"/>
        <v>49.1008</v>
      </c>
      <c r="AN34" s="86">
        <f t="shared" si="72"/>
        <v>0</v>
      </c>
      <c r="AO34" s="86">
        <f t="shared" si="72"/>
        <v>0</v>
      </c>
      <c r="AP34" s="86">
        <f t="shared" si="70"/>
        <v>0</v>
      </c>
      <c r="AQ34" s="86">
        <f t="shared" si="72"/>
        <v>0</v>
      </c>
      <c r="AR34" s="86">
        <f t="shared" si="72"/>
        <v>0</v>
      </c>
      <c r="AS34" s="86">
        <f t="shared" si="72"/>
        <v>0</v>
      </c>
      <c r="AT34" s="86">
        <f t="shared" si="71"/>
        <v>0</v>
      </c>
      <c r="AU34" s="86">
        <f t="shared" si="71"/>
        <v>0</v>
      </c>
      <c r="AV34" s="86">
        <f t="shared" si="51"/>
        <v>337.10079999999999</v>
      </c>
      <c r="AW34" s="91">
        <f t="shared" si="52"/>
        <v>1.1384595529618475</v>
      </c>
      <c r="AX34" s="176">
        <f t="shared" si="19"/>
        <v>-383.77562607108115</v>
      </c>
      <c r="AY34" s="176">
        <f t="shared" si="53"/>
        <v>0</v>
      </c>
      <c r="AZ34" s="176">
        <f t="shared" si="54"/>
        <v>0</v>
      </c>
      <c r="BA34" s="92">
        <f t="shared" si="55"/>
        <v>0</v>
      </c>
      <c r="BB34" s="181">
        <f t="shared" si="20"/>
        <v>3.3023520124767796E-15</v>
      </c>
      <c r="BC34" s="181">
        <f t="shared" si="21"/>
        <v>31.085825711757572</v>
      </c>
      <c r="BD34" s="93">
        <f t="shared" si="22"/>
        <v>0</v>
      </c>
      <c r="BE34" s="85">
        <f t="shared" si="23"/>
        <v>0</v>
      </c>
      <c r="BF34" s="86">
        <f t="shared" si="56"/>
        <v>0</v>
      </c>
      <c r="BG34" s="94">
        <f t="shared" si="24"/>
        <v>0</v>
      </c>
      <c r="BH34" s="95">
        <f t="shared" si="57"/>
        <v>-511.46666666666664</v>
      </c>
      <c r="BI34" s="95">
        <f t="shared" si="25"/>
        <v>0</v>
      </c>
      <c r="BJ34" s="96">
        <f t="shared" si="26"/>
        <v>0</v>
      </c>
      <c r="BK34" s="155">
        <f t="shared" si="27"/>
        <v>0</v>
      </c>
      <c r="BL34" s="155">
        <f t="shared" si="28"/>
        <v>0</v>
      </c>
      <c r="BM34" s="338">
        <f t="shared" si="58"/>
        <v>297.71752127919507</v>
      </c>
      <c r="BN34" s="16">
        <f t="shared" si="29"/>
        <v>297.71752127919507</v>
      </c>
      <c r="BO34" s="97">
        <f t="shared" si="59"/>
        <v>-18883.129910257132</v>
      </c>
      <c r="BP34" s="16">
        <f t="shared" si="30"/>
        <v>297.71752127919507</v>
      </c>
      <c r="BQ34" s="97">
        <f t="shared" si="60"/>
        <v>-18883.129910257132</v>
      </c>
      <c r="BR34" s="2" t="str">
        <f t="shared" si="31"/>
        <v/>
      </c>
      <c r="BS34" s="16">
        <f t="shared" si="61"/>
        <v>297.71752127919507</v>
      </c>
      <c r="BT34" s="16">
        <f t="shared" si="32"/>
        <v>297.71752127919507</v>
      </c>
      <c r="BU34" s="97">
        <f t="shared" si="62"/>
        <v>-18883.129910257132</v>
      </c>
      <c r="BV34" s="16">
        <f t="shared" si="34"/>
        <v>297.71752127919507</v>
      </c>
      <c r="BW34" s="97">
        <f t="shared" si="63"/>
        <v>-18883.129910257132</v>
      </c>
      <c r="BX34" s="2" t="str">
        <f t="shared" si="35"/>
        <v/>
      </c>
      <c r="BY34" s="16" t="str">
        <f t="shared" si="64"/>
        <v/>
      </c>
      <c r="BZ34" s="16" t="str">
        <f t="shared" si="36"/>
        <v/>
      </c>
      <c r="CA34" s="97" t="str">
        <f t="shared" si="66"/>
        <v/>
      </c>
      <c r="CB34" s="16" t="str">
        <f t="shared" si="37"/>
        <v/>
      </c>
      <c r="CC34" s="97" t="str">
        <f t="shared" si="67"/>
        <v/>
      </c>
      <c r="CD34" s="2" t="str">
        <f t="shared" si="38"/>
        <v/>
      </c>
    </row>
    <row r="35" spans="1:82" x14ac:dyDescent="0.2">
      <c r="A35" s="2"/>
      <c r="B35" s="2">
        <f t="shared" si="65"/>
        <v>28</v>
      </c>
      <c r="C35" s="2" t="b">
        <f t="shared" si="1"/>
        <v>1</v>
      </c>
      <c r="D35" s="2" t="b">
        <f t="shared" si="2"/>
        <v>0</v>
      </c>
      <c r="E35" s="2" t="b">
        <f t="shared" si="3"/>
        <v>0</v>
      </c>
      <c r="F35" s="2" t="b">
        <f t="shared" si="4"/>
        <v>0</v>
      </c>
      <c r="G35" s="2" t="b">
        <f t="shared" si="5"/>
        <v>0</v>
      </c>
      <c r="H35" s="2" t="b">
        <f t="shared" si="6"/>
        <v>0</v>
      </c>
      <c r="I35" s="36" t="b">
        <f t="shared" si="7"/>
        <v>0</v>
      </c>
      <c r="J35" s="135">
        <f t="shared" si="39"/>
        <v>0.89200000000000002</v>
      </c>
      <c r="K35" s="160">
        <f t="shared" si="8"/>
        <v>4014.0000000000005</v>
      </c>
      <c r="L35" s="138">
        <f t="shared" si="40"/>
        <v>0.8400000000000003</v>
      </c>
      <c r="M35" s="217" t="str">
        <f t="shared" si="9"/>
        <v/>
      </c>
      <c r="N35" s="140" t="str">
        <f t="shared" si="41"/>
        <v/>
      </c>
      <c r="O35" s="139" t="str">
        <f t="shared" si="10"/>
        <v/>
      </c>
      <c r="P35" s="139" t="str">
        <f t="shared" si="11"/>
        <v/>
      </c>
      <c r="Q35" s="142" t="str">
        <f t="shared" si="12"/>
        <v/>
      </c>
      <c r="R35" s="82">
        <f t="shared" si="42"/>
        <v>9.1532148058132562E-2</v>
      </c>
      <c r="S35" s="90">
        <f t="shared" si="43"/>
        <v>-4.0790708844589587E-14</v>
      </c>
      <c r="T35" s="342">
        <f t="shared" si="44"/>
        <v>0.11060134557024351</v>
      </c>
      <c r="U35" s="90">
        <f t="shared" si="13"/>
        <v>296.24849040986891</v>
      </c>
      <c r="V35" s="82">
        <f t="shared" si="45"/>
        <v>0.26544322936858428</v>
      </c>
      <c r="W35" s="90">
        <f t="shared" si="14"/>
        <v>354.49274570181251</v>
      </c>
      <c r="X35" s="132">
        <f t="shared" si="46"/>
        <v>1.7162277760899847</v>
      </c>
      <c r="Y35" s="90">
        <f t="shared" si="47"/>
        <v>0</v>
      </c>
      <c r="Z35" s="219">
        <f t="shared" si="48"/>
        <v>0</v>
      </c>
      <c r="AA35" s="219">
        <f t="shared" si="49"/>
        <v>9.1532148058132528</v>
      </c>
      <c r="AB35" s="221">
        <f t="shared" si="50"/>
        <v>0</v>
      </c>
      <c r="AC35" s="148">
        <f t="shared" si="15"/>
        <v>0</v>
      </c>
      <c r="AD35" s="148">
        <f t="shared" si="16"/>
        <v>0</v>
      </c>
      <c r="AE35" s="155">
        <f t="shared" si="17"/>
        <v>0</v>
      </c>
      <c r="AF35" s="86">
        <f t="shared" si="73"/>
        <v>0</v>
      </c>
      <c r="AG35" s="86">
        <f t="shared" si="72"/>
        <v>0</v>
      </c>
      <c r="AH35" s="86">
        <f t="shared" si="72"/>
        <v>69</v>
      </c>
      <c r="AI35" s="86">
        <f t="shared" si="72"/>
        <v>99</v>
      </c>
      <c r="AJ35" s="86">
        <f t="shared" si="72"/>
        <v>120</v>
      </c>
      <c r="AK35" s="86">
        <f t="shared" si="72"/>
        <v>0</v>
      </c>
      <c r="AL35" s="86">
        <f t="shared" si="72"/>
        <v>0</v>
      </c>
      <c r="AM35" s="86">
        <f t="shared" si="72"/>
        <v>49.1008</v>
      </c>
      <c r="AN35" s="86">
        <f t="shared" si="72"/>
        <v>0</v>
      </c>
      <c r="AO35" s="86">
        <f t="shared" si="72"/>
        <v>0</v>
      </c>
      <c r="AP35" s="86">
        <f t="shared" si="70"/>
        <v>0</v>
      </c>
      <c r="AQ35" s="86">
        <f t="shared" si="72"/>
        <v>0</v>
      </c>
      <c r="AR35" s="86">
        <f t="shared" si="72"/>
        <v>0</v>
      </c>
      <c r="AS35" s="86">
        <f t="shared" si="72"/>
        <v>0</v>
      </c>
      <c r="AT35" s="86">
        <f t="shared" si="71"/>
        <v>0</v>
      </c>
      <c r="AU35" s="86">
        <f t="shared" si="71"/>
        <v>0</v>
      </c>
      <c r="AV35" s="86">
        <f t="shared" si="51"/>
        <v>337.10079999999999</v>
      </c>
      <c r="AW35" s="91">
        <f t="shared" si="52"/>
        <v>1.1441518507266566</v>
      </c>
      <c r="AX35" s="176">
        <f t="shared" si="19"/>
        <v>-385.69450420143653</v>
      </c>
      <c r="AY35" s="176">
        <f t="shared" si="53"/>
        <v>0</v>
      </c>
      <c r="AZ35" s="176">
        <f t="shared" si="54"/>
        <v>0</v>
      </c>
      <c r="BA35" s="92">
        <f t="shared" si="55"/>
        <v>0</v>
      </c>
      <c r="BB35" s="181">
        <f t="shared" si="20"/>
        <v>3.3040474164117563E-15</v>
      </c>
      <c r="BC35" s="181">
        <f t="shared" si="21"/>
        <v>31.241254840316355</v>
      </c>
      <c r="BD35" s="93">
        <f t="shared" si="22"/>
        <v>0</v>
      </c>
      <c r="BE35" s="85">
        <f t="shared" si="23"/>
        <v>0</v>
      </c>
      <c r="BF35" s="86">
        <f t="shared" si="56"/>
        <v>0</v>
      </c>
      <c r="BG35" s="94">
        <f t="shared" si="24"/>
        <v>0</v>
      </c>
      <c r="BH35" s="95">
        <f t="shared" si="57"/>
        <v>-511.46666666666664</v>
      </c>
      <c r="BI35" s="95">
        <f t="shared" si="25"/>
        <v>0</v>
      </c>
      <c r="BJ35" s="96">
        <f t="shared" si="26"/>
        <v>0</v>
      </c>
      <c r="BK35" s="155">
        <f t="shared" si="27"/>
        <v>0</v>
      </c>
      <c r="BL35" s="155">
        <f t="shared" si="28"/>
        <v>0</v>
      </c>
      <c r="BM35" s="338">
        <f t="shared" si="58"/>
        <v>296.28798675056117</v>
      </c>
      <c r="BN35" s="16">
        <f t="shared" si="29"/>
        <v>296.28798675056117</v>
      </c>
      <c r="BO35" s="97">
        <f t="shared" si="59"/>
        <v>-18586.84192350657</v>
      </c>
      <c r="BP35" s="16">
        <f t="shared" si="30"/>
        <v>296.28798675056117</v>
      </c>
      <c r="BQ35" s="97">
        <f t="shared" si="60"/>
        <v>-18586.84192350657</v>
      </c>
      <c r="BR35" s="2" t="str">
        <f t="shared" si="31"/>
        <v/>
      </c>
      <c r="BS35" s="16">
        <f t="shared" si="61"/>
        <v>296.28798675056117</v>
      </c>
      <c r="BT35" s="16">
        <f t="shared" si="32"/>
        <v>296.28798675056117</v>
      </c>
      <c r="BU35" s="97">
        <f t="shared" si="62"/>
        <v>-18586.84192350657</v>
      </c>
      <c r="BV35" s="16">
        <f t="shared" si="34"/>
        <v>296.28798675056117</v>
      </c>
      <c r="BW35" s="97">
        <f t="shared" si="63"/>
        <v>-18586.84192350657</v>
      </c>
      <c r="BX35" s="2" t="str">
        <f t="shared" si="35"/>
        <v/>
      </c>
      <c r="BY35" s="16" t="str">
        <f t="shared" si="64"/>
        <v/>
      </c>
      <c r="BZ35" s="16" t="str">
        <f t="shared" si="36"/>
        <v/>
      </c>
      <c r="CA35" s="97" t="str">
        <f t="shared" si="66"/>
        <v/>
      </c>
      <c r="CB35" s="16" t="str">
        <f t="shared" si="37"/>
        <v/>
      </c>
      <c r="CC35" s="97" t="str">
        <f t="shared" si="67"/>
        <v/>
      </c>
      <c r="CD35" s="2" t="str">
        <f t="shared" si="38"/>
        <v/>
      </c>
    </row>
    <row r="36" spans="1:82" x14ac:dyDescent="0.2">
      <c r="A36" s="2"/>
      <c r="B36" s="2">
        <f t="shared" si="65"/>
        <v>29</v>
      </c>
      <c r="C36" s="2" t="b">
        <f t="shared" si="1"/>
        <v>1</v>
      </c>
      <c r="D36" s="2" t="b">
        <f t="shared" si="2"/>
        <v>0</v>
      </c>
      <c r="E36" s="2" t="b">
        <f t="shared" si="3"/>
        <v>0</v>
      </c>
      <c r="F36" s="2" t="b">
        <f t="shared" si="4"/>
        <v>0</v>
      </c>
      <c r="G36" s="2" t="b">
        <f t="shared" si="5"/>
        <v>0</v>
      </c>
      <c r="H36" s="2" t="b">
        <f t="shared" si="6"/>
        <v>0</v>
      </c>
      <c r="I36" s="36" t="b">
        <f t="shared" si="7"/>
        <v>0</v>
      </c>
      <c r="J36" s="135">
        <f t="shared" si="39"/>
        <v>0.88800000000000001</v>
      </c>
      <c r="K36" s="160">
        <f t="shared" si="8"/>
        <v>3996</v>
      </c>
      <c r="L36" s="138">
        <f t="shared" si="40"/>
        <v>0.82666666666666699</v>
      </c>
      <c r="M36" s="217" t="str">
        <f t="shared" si="9"/>
        <v/>
      </c>
      <c r="N36" s="140" t="str">
        <f t="shared" si="41"/>
        <v/>
      </c>
      <c r="O36" s="139" t="str">
        <f t="shared" si="10"/>
        <v/>
      </c>
      <c r="P36" s="139" t="str">
        <f t="shared" si="11"/>
        <v/>
      </c>
      <c r="Q36" s="142" t="str">
        <f t="shared" si="12"/>
        <v/>
      </c>
      <c r="R36" s="82">
        <f t="shared" si="42"/>
        <v>9.1989808798423209E-2</v>
      </c>
      <c r="S36" s="90">
        <f t="shared" si="43"/>
        <v>-4.0810829822046549E-14</v>
      </c>
      <c r="T36" s="342">
        <f t="shared" si="44"/>
        <v>0.11115435229809471</v>
      </c>
      <c r="U36" s="90">
        <f t="shared" si="13"/>
        <v>296.39462195222347</v>
      </c>
      <c r="V36" s="82">
        <f t="shared" si="45"/>
        <v>0.26677044551542717</v>
      </c>
      <c r="W36" s="90">
        <f t="shared" si="14"/>
        <v>354.66760759431105</v>
      </c>
      <c r="X36" s="132">
        <f t="shared" si="46"/>
        <v>1.7248089149704344</v>
      </c>
      <c r="Y36" s="90">
        <f t="shared" si="47"/>
        <v>0</v>
      </c>
      <c r="Z36" s="219">
        <f t="shared" si="48"/>
        <v>0</v>
      </c>
      <c r="AA36" s="219">
        <f t="shared" si="49"/>
        <v>9.1989808798423187</v>
      </c>
      <c r="AB36" s="221">
        <f t="shared" si="50"/>
        <v>0</v>
      </c>
      <c r="AC36" s="148">
        <f t="shared" si="15"/>
        <v>0</v>
      </c>
      <c r="AD36" s="148">
        <f t="shared" si="16"/>
        <v>0</v>
      </c>
      <c r="AE36" s="155">
        <f t="shared" si="17"/>
        <v>0</v>
      </c>
      <c r="AF36" s="86">
        <f t="shared" si="73"/>
        <v>0</v>
      </c>
      <c r="AG36" s="86">
        <f t="shared" si="72"/>
        <v>0</v>
      </c>
      <c r="AH36" s="86">
        <f t="shared" si="72"/>
        <v>69</v>
      </c>
      <c r="AI36" s="86">
        <f t="shared" si="72"/>
        <v>99</v>
      </c>
      <c r="AJ36" s="86">
        <f t="shared" si="72"/>
        <v>120</v>
      </c>
      <c r="AK36" s="86">
        <f t="shared" si="72"/>
        <v>0</v>
      </c>
      <c r="AL36" s="86">
        <f t="shared" si="72"/>
        <v>0</v>
      </c>
      <c r="AM36" s="86">
        <f t="shared" si="72"/>
        <v>49.1008</v>
      </c>
      <c r="AN36" s="86">
        <f t="shared" si="72"/>
        <v>0</v>
      </c>
      <c r="AO36" s="86">
        <f t="shared" si="72"/>
        <v>0</v>
      </c>
      <c r="AP36" s="86">
        <f t="shared" si="70"/>
        <v>0</v>
      </c>
      <c r="AQ36" s="86">
        <f t="shared" si="72"/>
        <v>0</v>
      </c>
      <c r="AR36" s="86">
        <f t="shared" si="72"/>
        <v>0</v>
      </c>
      <c r="AS36" s="86">
        <f t="shared" si="72"/>
        <v>0</v>
      </c>
      <c r="AT36" s="86">
        <f t="shared" si="71"/>
        <v>0</v>
      </c>
      <c r="AU36" s="86">
        <f t="shared" si="71"/>
        <v>0</v>
      </c>
      <c r="AV36" s="86">
        <f t="shared" si="51"/>
        <v>337.10079999999999</v>
      </c>
      <c r="AW36" s="91">
        <f t="shared" si="52"/>
        <v>1.1498726099802898</v>
      </c>
      <c r="AX36" s="176">
        <f t="shared" si="19"/>
        <v>-387.6229767224437</v>
      </c>
      <c r="AY36" s="176">
        <f t="shared" si="53"/>
        <v>0</v>
      </c>
      <c r="AZ36" s="176">
        <f t="shared" si="54"/>
        <v>0</v>
      </c>
      <c r="BA36" s="92">
        <f t="shared" si="55"/>
        <v>0</v>
      </c>
      <c r="BB36" s="181">
        <f t="shared" si="20"/>
        <v>3.3056772155857705E-15</v>
      </c>
      <c r="BC36" s="181">
        <f t="shared" si="21"/>
        <v>31.397461114517938</v>
      </c>
      <c r="BD36" s="93">
        <f t="shared" si="22"/>
        <v>0</v>
      </c>
      <c r="BE36" s="85">
        <f t="shared" si="23"/>
        <v>0</v>
      </c>
      <c r="BF36" s="86">
        <f t="shared" si="56"/>
        <v>0</v>
      </c>
      <c r="BG36" s="94">
        <f t="shared" si="24"/>
        <v>0</v>
      </c>
      <c r="BH36" s="95">
        <f t="shared" si="57"/>
        <v>-511.46666666666664</v>
      </c>
      <c r="BI36" s="95">
        <f t="shared" si="25"/>
        <v>0</v>
      </c>
      <c r="BJ36" s="96">
        <f t="shared" si="26"/>
        <v>0</v>
      </c>
      <c r="BK36" s="155">
        <f t="shared" si="27"/>
        <v>0</v>
      </c>
      <c r="BL36" s="155">
        <f t="shared" si="28"/>
        <v>0</v>
      </c>
      <c r="BM36" s="338">
        <f t="shared" si="58"/>
        <v>294.83671393860868</v>
      </c>
      <c r="BN36" s="16">
        <f t="shared" si="29"/>
        <v>294.83671393860868</v>
      </c>
      <c r="BO36" s="97">
        <f t="shared" si="59"/>
        <v>-18292.00520956796</v>
      </c>
      <c r="BP36" s="16">
        <f t="shared" si="30"/>
        <v>294.83671393860868</v>
      </c>
      <c r="BQ36" s="97">
        <f t="shared" si="60"/>
        <v>-18292.00520956796</v>
      </c>
      <c r="BR36" s="2" t="str">
        <f t="shared" si="31"/>
        <v/>
      </c>
      <c r="BS36" s="16">
        <f t="shared" si="61"/>
        <v>294.83671393860868</v>
      </c>
      <c r="BT36" s="16">
        <f t="shared" si="32"/>
        <v>294.83671393860868</v>
      </c>
      <c r="BU36" s="97">
        <f t="shared" si="62"/>
        <v>-18292.00520956796</v>
      </c>
      <c r="BV36" s="16">
        <f t="shared" si="34"/>
        <v>294.83671393860868</v>
      </c>
      <c r="BW36" s="97">
        <f t="shared" si="63"/>
        <v>-18292.00520956796</v>
      </c>
      <c r="BX36" s="2" t="str">
        <f t="shared" si="35"/>
        <v/>
      </c>
      <c r="BY36" s="16" t="str">
        <f t="shared" si="64"/>
        <v/>
      </c>
      <c r="BZ36" s="16" t="str">
        <f t="shared" si="36"/>
        <v/>
      </c>
      <c r="CA36" s="97" t="str">
        <f t="shared" si="66"/>
        <v/>
      </c>
      <c r="CB36" s="16" t="str">
        <f t="shared" si="37"/>
        <v/>
      </c>
      <c r="CC36" s="97" t="str">
        <f t="shared" si="67"/>
        <v/>
      </c>
      <c r="CD36" s="2" t="str">
        <f t="shared" si="38"/>
        <v/>
      </c>
    </row>
    <row r="37" spans="1:82" x14ac:dyDescent="0.2">
      <c r="A37" s="2"/>
      <c r="B37" s="2">
        <f t="shared" si="65"/>
        <v>30</v>
      </c>
      <c r="C37" s="2" t="b">
        <f t="shared" si="1"/>
        <v>1</v>
      </c>
      <c r="D37" s="2" t="b">
        <f t="shared" si="2"/>
        <v>0</v>
      </c>
      <c r="E37" s="2" t="b">
        <f t="shared" si="3"/>
        <v>0</v>
      </c>
      <c r="F37" s="2" t="b">
        <f t="shared" si="4"/>
        <v>0</v>
      </c>
      <c r="G37" s="2" t="b">
        <f t="shared" si="5"/>
        <v>0</v>
      </c>
      <c r="H37" s="2" t="b">
        <f t="shared" si="6"/>
        <v>0</v>
      </c>
      <c r="I37" s="36" t="b">
        <f t="shared" si="7"/>
        <v>0</v>
      </c>
      <c r="J37" s="135">
        <f t="shared" si="39"/>
        <v>0.88400000000000001</v>
      </c>
      <c r="K37" s="160">
        <f t="shared" si="8"/>
        <v>3978</v>
      </c>
      <c r="L37" s="138">
        <f t="shared" si="40"/>
        <v>0.81333333333333369</v>
      </c>
      <c r="M37" s="217" t="str">
        <f t="shared" si="9"/>
        <v/>
      </c>
      <c r="N37" s="140" t="str">
        <f t="shared" si="41"/>
        <v/>
      </c>
      <c r="O37" s="139" t="str">
        <f t="shared" si="10"/>
        <v/>
      </c>
      <c r="P37" s="139" t="str">
        <f t="shared" si="11"/>
        <v/>
      </c>
      <c r="Q37" s="142" t="str">
        <f t="shared" si="12"/>
        <v/>
      </c>
      <c r="R37" s="82">
        <f t="shared" si="42"/>
        <v>9.2449757842415312E-2</v>
      </c>
      <c r="S37" s="90">
        <f t="shared" si="43"/>
        <v>-4.0830132241556974E-14</v>
      </c>
      <c r="T37" s="342">
        <f t="shared" si="44"/>
        <v>0.11171012405958518</v>
      </c>
      <c r="U37" s="90">
        <f t="shared" si="13"/>
        <v>296.5348085977414</v>
      </c>
      <c r="V37" s="82">
        <f t="shared" si="45"/>
        <v>0.26810429774300426</v>
      </c>
      <c r="W37" s="90">
        <f t="shared" si="14"/>
        <v>354.83535578709211</v>
      </c>
      <c r="X37" s="132">
        <f t="shared" si="46"/>
        <v>1.7334329595452864</v>
      </c>
      <c r="Y37" s="90">
        <f t="shared" si="47"/>
        <v>0</v>
      </c>
      <c r="Z37" s="219">
        <f t="shared" si="48"/>
        <v>0</v>
      </c>
      <c r="AA37" s="219">
        <f t="shared" si="49"/>
        <v>9.2449757842415288</v>
      </c>
      <c r="AB37" s="221">
        <f t="shared" si="50"/>
        <v>0</v>
      </c>
      <c r="AC37" s="148">
        <f t="shared" si="15"/>
        <v>0</v>
      </c>
      <c r="AD37" s="148">
        <f t="shared" si="16"/>
        <v>0</v>
      </c>
      <c r="AE37" s="155">
        <f t="shared" si="17"/>
        <v>0</v>
      </c>
      <c r="AF37" s="86">
        <f t="shared" si="73"/>
        <v>830.68799999999999</v>
      </c>
      <c r="AG37" s="86">
        <f t="shared" si="72"/>
        <v>0</v>
      </c>
      <c r="AH37" s="86">
        <f t="shared" si="72"/>
        <v>69</v>
      </c>
      <c r="AI37" s="86">
        <f t="shared" si="72"/>
        <v>99</v>
      </c>
      <c r="AJ37" s="86">
        <f t="shared" si="72"/>
        <v>120</v>
      </c>
      <c r="AK37" s="86">
        <f t="shared" si="72"/>
        <v>0</v>
      </c>
      <c r="AL37" s="86">
        <f t="shared" si="72"/>
        <v>0</v>
      </c>
      <c r="AM37" s="86">
        <f t="shared" si="72"/>
        <v>49.1008</v>
      </c>
      <c r="AN37" s="86">
        <f t="shared" si="72"/>
        <v>0</v>
      </c>
      <c r="AO37" s="86">
        <f t="shared" si="72"/>
        <v>0</v>
      </c>
      <c r="AP37" s="86">
        <f t="shared" si="70"/>
        <v>0</v>
      </c>
      <c r="AQ37" s="86">
        <f t="shared" si="72"/>
        <v>0</v>
      </c>
      <c r="AR37" s="86">
        <f t="shared" si="72"/>
        <v>0</v>
      </c>
      <c r="AS37" s="86">
        <f t="shared" si="72"/>
        <v>0</v>
      </c>
      <c r="AT37" s="86">
        <f t="shared" si="71"/>
        <v>0</v>
      </c>
      <c r="AU37" s="86">
        <f t="shared" si="71"/>
        <v>0</v>
      </c>
      <c r="AV37" s="86">
        <f t="shared" si="51"/>
        <v>1167.7888</v>
      </c>
      <c r="AW37" s="91">
        <f t="shared" si="52"/>
        <v>1.1556219730301911</v>
      </c>
      <c r="AX37" s="176">
        <f t="shared" si="19"/>
        <v>-1349.5223971385592</v>
      </c>
      <c r="AY37" s="176">
        <f t="shared" si="53"/>
        <v>0</v>
      </c>
      <c r="AZ37" s="176">
        <f t="shared" si="54"/>
        <v>0</v>
      </c>
      <c r="BA37" s="92">
        <f t="shared" si="55"/>
        <v>0</v>
      </c>
      <c r="BB37" s="181">
        <f t="shared" si="20"/>
        <v>3.3072407115661149E-15</v>
      </c>
      <c r="BC37" s="181">
        <f t="shared" si="21"/>
        <v>109.31131416822329</v>
      </c>
      <c r="BD37" s="93">
        <f t="shared" si="22"/>
        <v>0</v>
      </c>
      <c r="BE37" s="85">
        <f t="shared" si="23"/>
        <v>0</v>
      </c>
      <c r="BF37" s="86">
        <f t="shared" si="56"/>
        <v>0</v>
      </c>
      <c r="BG37" s="94">
        <f t="shared" si="24"/>
        <v>0</v>
      </c>
      <c r="BH37" s="95">
        <f t="shared" si="57"/>
        <v>-511.46666666666664</v>
      </c>
      <c r="BI37" s="95">
        <f t="shared" si="25"/>
        <v>0</v>
      </c>
      <c r="BJ37" s="96">
        <f t="shared" si="26"/>
        <v>0</v>
      </c>
      <c r="BK37" s="155">
        <f t="shared" si="27"/>
        <v>0</v>
      </c>
      <c r="BL37" s="155">
        <f t="shared" si="28"/>
        <v>0</v>
      </c>
      <c r="BM37" s="338">
        <f t="shared" si="58"/>
        <v>-588.84091858550244</v>
      </c>
      <c r="BN37" s="16">
        <f t="shared" si="29"/>
        <v>-588.84091858550244</v>
      </c>
      <c r="BO37" s="97">
        <f t="shared" si="59"/>
        <v>-18880.846128153462</v>
      </c>
      <c r="BP37" s="16">
        <f t="shared" si="30"/>
        <v>-588.84091858550244</v>
      </c>
      <c r="BQ37" s="97">
        <f t="shared" si="60"/>
        <v>-18880.846128153462</v>
      </c>
      <c r="BR37" s="2" t="str">
        <f t="shared" si="31"/>
        <v/>
      </c>
      <c r="BS37" s="16">
        <f t="shared" si="61"/>
        <v>-588.84091858550244</v>
      </c>
      <c r="BT37" s="16">
        <f t="shared" si="32"/>
        <v>-588.84091858550244</v>
      </c>
      <c r="BU37" s="97">
        <f t="shared" si="62"/>
        <v>-18880.846128153462</v>
      </c>
      <c r="BV37" s="16">
        <f t="shared" si="34"/>
        <v>-588.84091858550244</v>
      </c>
      <c r="BW37" s="97">
        <f t="shared" si="63"/>
        <v>-18880.846128153462</v>
      </c>
      <c r="BX37" s="2" t="str">
        <f t="shared" si="35"/>
        <v/>
      </c>
      <c r="BY37" s="16" t="str">
        <f t="shared" si="64"/>
        <v/>
      </c>
      <c r="BZ37" s="16" t="str">
        <f t="shared" si="36"/>
        <v/>
      </c>
      <c r="CA37" s="97" t="str">
        <f t="shared" si="66"/>
        <v/>
      </c>
      <c r="CB37" s="16" t="str">
        <f t="shared" si="37"/>
        <v/>
      </c>
      <c r="CC37" s="97" t="str">
        <f t="shared" si="67"/>
        <v/>
      </c>
      <c r="CD37" s="2" t="str">
        <f t="shared" si="38"/>
        <v/>
      </c>
    </row>
    <row r="38" spans="1:82" ht="16" hidden="1" x14ac:dyDescent="0.2">
      <c r="A38" s="2"/>
      <c r="B38" s="2">
        <f t="shared" si="65"/>
        <v>31</v>
      </c>
      <c r="C38" s="2" t="b">
        <f t="shared" si="1"/>
        <v>0</v>
      </c>
      <c r="D38" s="2" t="b">
        <f t="shared" si="2"/>
        <v>0</v>
      </c>
      <c r="E38" s="2" t="b">
        <f t="shared" si="3"/>
        <v>0</v>
      </c>
      <c r="F38" s="2" t="b">
        <f t="shared" si="4"/>
        <v>0</v>
      </c>
      <c r="G38" s="2" t="b">
        <f t="shared" si="5"/>
        <v>0</v>
      </c>
      <c r="H38" s="2" t="b">
        <f t="shared" si="6"/>
        <v>0</v>
      </c>
      <c r="I38" s="36" t="b">
        <f t="shared" si="7"/>
        <v>0</v>
      </c>
      <c r="J38" s="135">
        <f t="shared" si="39"/>
        <v>0.88</v>
      </c>
      <c r="K38" s="160" t="str">
        <f t="shared" si="8"/>
        <v/>
      </c>
      <c r="L38" s="138">
        <f t="shared" si="40"/>
        <v>0.80000000000000038</v>
      </c>
      <c r="M38" s="217" t="str">
        <f t="shared" si="9"/>
        <v/>
      </c>
      <c r="N38" s="140" t="str">
        <f t="shared" si="41"/>
        <v/>
      </c>
      <c r="O38" s="139" t="str">
        <f t="shared" si="10"/>
        <v/>
      </c>
      <c r="P38" s="139" t="str">
        <f t="shared" si="11"/>
        <v/>
      </c>
      <c r="Q38" s="142" t="str">
        <f t="shared" si="12"/>
        <v/>
      </c>
      <c r="R38" s="82" t="str">
        <f t="shared" si="42"/>
        <v/>
      </c>
      <c r="S38" s="90" t="str">
        <f t="shared" si="43"/>
        <v/>
      </c>
      <c r="T38" s="82" t="str">
        <f t="shared" si="44"/>
        <v/>
      </c>
      <c r="U38" s="90" t="str">
        <f t="shared" si="13"/>
        <v/>
      </c>
      <c r="V38" s="82" t="str">
        <f t="shared" si="45"/>
        <v/>
      </c>
      <c r="W38" s="90" t="str">
        <f t="shared" si="14"/>
        <v/>
      </c>
      <c r="X38" s="132" t="str">
        <f t="shared" si="46"/>
        <v/>
      </c>
      <c r="Y38" s="90" t="str">
        <f t="shared" si="47"/>
        <v/>
      </c>
      <c r="Z38" s="219" t="str">
        <f t="shared" si="48"/>
        <v/>
      </c>
      <c r="AA38" s="219" t="str">
        <f t="shared" si="49"/>
        <v/>
      </c>
      <c r="AB38" s="221" t="str">
        <f t="shared" si="50"/>
        <v/>
      </c>
      <c r="AC38" s="148" t="str">
        <f t="shared" si="15"/>
        <v/>
      </c>
      <c r="AD38" s="148" t="str">
        <f t="shared" si="16"/>
        <v/>
      </c>
      <c r="AE38" s="155" t="str">
        <f t="shared" si="17"/>
        <v/>
      </c>
      <c r="AF38" s="86">
        <f t="shared" si="73"/>
        <v>0</v>
      </c>
      <c r="AG38" s="86">
        <f t="shared" si="72"/>
        <v>0</v>
      </c>
      <c r="AH38" s="86">
        <f t="shared" si="72"/>
        <v>69</v>
      </c>
      <c r="AI38" s="86">
        <f t="shared" si="72"/>
        <v>99</v>
      </c>
      <c r="AJ38" s="86">
        <f t="shared" si="72"/>
        <v>120</v>
      </c>
      <c r="AK38" s="86">
        <f t="shared" si="72"/>
        <v>0</v>
      </c>
      <c r="AL38" s="86">
        <f t="shared" si="72"/>
        <v>0</v>
      </c>
      <c r="AM38" s="86">
        <f t="shared" si="72"/>
        <v>49.1008</v>
      </c>
      <c r="AN38" s="86">
        <f t="shared" si="72"/>
        <v>0</v>
      </c>
      <c r="AO38" s="86">
        <f t="shared" si="72"/>
        <v>0</v>
      </c>
      <c r="AP38" s="86">
        <f t="shared" si="70"/>
        <v>0</v>
      </c>
      <c r="AQ38" s="86">
        <f t="shared" si="72"/>
        <v>0</v>
      </c>
      <c r="AR38" s="86">
        <f t="shared" si="72"/>
        <v>0</v>
      </c>
      <c r="AS38" s="86">
        <f t="shared" si="72"/>
        <v>0</v>
      </c>
      <c r="AT38" s="86">
        <f t="shared" si="71"/>
        <v>0</v>
      </c>
      <c r="AU38" s="86">
        <f t="shared" si="71"/>
        <v>0</v>
      </c>
      <c r="AV38" s="86">
        <f t="shared" si="51"/>
        <v>337.10079999999999</v>
      </c>
      <c r="AW38" s="91" t="str">
        <f t="shared" si="52"/>
        <v/>
      </c>
      <c r="AX38" s="176" t="str">
        <f t="shared" si="19"/>
        <v/>
      </c>
      <c r="AY38" s="176" t="str">
        <f t="shared" si="53"/>
        <v/>
      </c>
      <c r="AZ38" s="176" t="str">
        <f t="shared" si="54"/>
        <v/>
      </c>
      <c r="BA38" s="92" t="str">
        <f t="shared" si="55"/>
        <v/>
      </c>
      <c r="BB38" s="181" t="str">
        <f t="shared" si="20"/>
        <v/>
      </c>
      <c r="BC38" s="181" t="str">
        <f t="shared" si="21"/>
        <v/>
      </c>
      <c r="BD38" s="93" t="str">
        <f t="shared" si="22"/>
        <v/>
      </c>
      <c r="BE38" s="85" t="str">
        <f t="shared" si="23"/>
        <v/>
      </c>
      <c r="BF38" s="86">
        <f t="shared" si="56"/>
        <v>0</v>
      </c>
      <c r="BG38" s="94" t="str">
        <f t="shared" si="24"/>
        <v/>
      </c>
      <c r="BH38" s="95" t="str">
        <f t="shared" si="57"/>
        <v/>
      </c>
      <c r="BI38" s="95" t="str">
        <f t="shared" si="25"/>
        <v/>
      </c>
      <c r="BJ38" s="96" t="str">
        <f t="shared" si="26"/>
        <v/>
      </c>
      <c r="BK38" s="155" t="str">
        <f t="shared" si="27"/>
        <v/>
      </c>
      <c r="BL38" s="155" t="str">
        <f t="shared" si="28"/>
        <v/>
      </c>
      <c r="BM38" s="338" t="str">
        <f t="shared" si="58"/>
        <v/>
      </c>
      <c r="BN38" s="6" t="str">
        <f t="shared" si="29"/>
        <v/>
      </c>
      <c r="BO38" s="97" t="str">
        <f t="shared" si="59"/>
        <v/>
      </c>
      <c r="BP38" s="16" t="str">
        <f t="shared" si="30"/>
        <v/>
      </c>
      <c r="BQ38" s="97" t="str">
        <f t="shared" si="60"/>
        <v/>
      </c>
      <c r="BR38" s="2" t="str">
        <f t="shared" si="31"/>
        <v/>
      </c>
      <c r="BS38" s="16" t="str">
        <f t="shared" si="61"/>
        <v/>
      </c>
      <c r="BT38" s="16" t="str">
        <f t="shared" ref="BT38:BT52" si="74">IF($C38,BM38-BI38-BJ38-BL38,"")</f>
        <v/>
      </c>
      <c r="BU38" s="97" t="str">
        <f t="shared" si="33"/>
        <v/>
      </c>
      <c r="BV38" s="16" t="str">
        <f t="shared" si="34"/>
        <v/>
      </c>
      <c r="BW38" s="97" t="str">
        <f t="shared" si="63"/>
        <v/>
      </c>
      <c r="BX38" s="2" t="str">
        <f t="shared" si="35"/>
        <v/>
      </c>
      <c r="BY38" s="16" t="str">
        <f t="shared" si="64"/>
        <v/>
      </c>
      <c r="BZ38" s="16" t="str">
        <f t="shared" si="36"/>
        <v/>
      </c>
      <c r="CA38" s="97" t="str">
        <f t="shared" si="66"/>
        <v/>
      </c>
      <c r="CB38" s="16" t="str">
        <f t="shared" si="37"/>
        <v/>
      </c>
      <c r="CC38" s="97" t="str">
        <f t="shared" si="67"/>
        <v/>
      </c>
      <c r="CD38" s="2" t="str">
        <f t="shared" si="38"/>
        <v/>
      </c>
    </row>
    <row r="39" spans="1:82" ht="16" hidden="1" x14ac:dyDescent="0.2">
      <c r="A39" s="2"/>
      <c r="B39" s="2">
        <f t="shared" si="65"/>
        <v>32</v>
      </c>
      <c r="C39" s="2" t="b">
        <f t="shared" si="1"/>
        <v>0</v>
      </c>
      <c r="D39" s="2" t="b">
        <f t="shared" si="2"/>
        <v>0</v>
      </c>
      <c r="E39" s="2" t="b">
        <f t="shared" si="3"/>
        <v>0</v>
      </c>
      <c r="F39" s="2" t="b">
        <f t="shared" si="4"/>
        <v>0</v>
      </c>
      <c r="G39" s="2" t="b">
        <f t="shared" si="5"/>
        <v>0</v>
      </c>
      <c r="H39" s="2" t="b">
        <f t="shared" si="6"/>
        <v>0</v>
      </c>
      <c r="I39" s="36" t="b">
        <f t="shared" si="7"/>
        <v>0</v>
      </c>
      <c r="J39" s="135">
        <f t="shared" si="39"/>
        <v>0.876</v>
      </c>
      <c r="K39" s="160" t="str">
        <f t="shared" si="8"/>
        <v/>
      </c>
      <c r="L39" s="138">
        <f t="shared" si="40"/>
        <v>0.78666666666666707</v>
      </c>
      <c r="M39" s="217" t="str">
        <f t="shared" si="9"/>
        <v/>
      </c>
      <c r="N39" s="140" t="str">
        <f t="shared" si="41"/>
        <v/>
      </c>
      <c r="O39" s="139" t="str">
        <f t="shared" si="10"/>
        <v/>
      </c>
      <c r="P39" s="139" t="str">
        <f t="shared" si="11"/>
        <v/>
      </c>
      <c r="Q39" s="142" t="str">
        <f t="shared" si="12"/>
        <v/>
      </c>
      <c r="R39" s="82" t="str">
        <f t="shared" si="42"/>
        <v/>
      </c>
      <c r="S39" s="90" t="str">
        <f t="shared" si="43"/>
        <v/>
      </c>
      <c r="T39" s="82" t="str">
        <f t="shared" si="44"/>
        <v/>
      </c>
      <c r="U39" s="90" t="str">
        <f t="shared" si="13"/>
        <v/>
      </c>
      <c r="V39" s="82" t="str">
        <f t="shared" si="45"/>
        <v/>
      </c>
      <c r="W39" s="90" t="str">
        <f t="shared" si="14"/>
        <v/>
      </c>
      <c r="X39" s="132" t="str">
        <f t="shared" si="46"/>
        <v/>
      </c>
      <c r="Y39" s="90" t="str">
        <f t="shared" si="47"/>
        <v/>
      </c>
      <c r="Z39" s="219" t="str">
        <f t="shared" si="48"/>
        <v/>
      </c>
      <c r="AA39" s="219" t="str">
        <f t="shared" si="49"/>
        <v/>
      </c>
      <c r="AB39" s="221" t="str">
        <f t="shared" si="50"/>
        <v/>
      </c>
      <c r="AC39" s="148" t="str">
        <f t="shared" si="15"/>
        <v/>
      </c>
      <c r="AD39" s="148" t="str">
        <f t="shared" si="16"/>
        <v/>
      </c>
      <c r="AE39" s="155" t="str">
        <f t="shared" si="17"/>
        <v/>
      </c>
      <c r="AF39" s="86">
        <f t="shared" si="73"/>
        <v>0</v>
      </c>
      <c r="AG39" s="86">
        <f t="shared" si="72"/>
        <v>0</v>
      </c>
      <c r="AH39" s="86">
        <f t="shared" si="72"/>
        <v>69</v>
      </c>
      <c r="AI39" s="86">
        <f t="shared" si="72"/>
        <v>99</v>
      </c>
      <c r="AJ39" s="86">
        <f t="shared" si="72"/>
        <v>120</v>
      </c>
      <c r="AK39" s="86">
        <f t="shared" si="72"/>
        <v>0</v>
      </c>
      <c r="AL39" s="86">
        <f t="shared" si="72"/>
        <v>0</v>
      </c>
      <c r="AM39" s="86">
        <f t="shared" si="72"/>
        <v>49.1008</v>
      </c>
      <c r="AN39" s="86">
        <f t="shared" si="72"/>
        <v>1215.3440000000001</v>
      </c>
      <c r="AO39" s="86">
        <f t="shared" si="72"/>
        <v>1056.25</v>
      </c>
      <c r="AP39" s="86">
        <f t="shared" si="70"/>
        <v>0</v>
      </c>
      <c r="AQ39" s="86">
        <f t="shared" si="72"/>
        <v>0</v>
      </c>
      <c r="AR39" s="86">
        <f t="shared" si="72"/>
        <v>0</v>
      </c>
      <c r="AS39" s="86">
        <f t="shared" si="72"/>
        <v>1175</v>
      </c>
      <c r="AT39" s="86">
        <f t="shared" si="71"/>
        <v>0</v>
      </c>
      <c r="AU39" s="86">
        <f t="shared" si="71"/>
        <v>0</v>
      </c>
      <c r="AV39" s="86">
        <f t="shared" si="51"/>
        <v>3783.6948000000002</v>
      </c>
      <c r="AW39" s="91" t="str">
        <f t="shared" si="52"/>
        <v/>
      </c>
      <c r="AX39" s="176" t="str">
        <f t="shared" si="19"/>
        <v/>
      </c>
      <c r="AY39" s="176" t="str">
        <f t="shared" si="53"/>
        <v/>
      </c>
      <c r="AZ39" s="176" t="str">
        <f t="shared" si="54"/>
        <v/>
      </c>
      <c r="BA39" s="92" t="str">
        <f t="shared" si="55"/>
        <v/>
      </c>
      <c r="BB39" s="181" t="str">
        <f t="shared" si="20"/>
        <v/>
      </c>
      <c r="BC39" s="181" t="str">
        <f t="shared" si="21"/>
        <v/>
      </c>
      <c r="BD39" s="93" t="str">
        <f t="shared" si="22"/>
        <v/>
      </c>
      <c r="BE39" s="85" t="str">
        <f t="shared" si="23"/>
        <v/>
      </c>
      <c r="BF39" s="86" t="str">
        <f t="shared" si="56"/>
        <v/>
      </c>
      <c r="BG39" s="94" t="str">
        <f t="shared" si="24"/>
        <v/>
      </c>
      <c r="BH39" s="95" t="str">
        <f t="shared" si="57"/>
        <v/>
      </c>
      <c r="BI39" s="95" t="str">
        <f t="shared" si="25"/>
        <v/>
      </c>
      <c r="BJ39" s="96" t="str">
        <f t="shared" si="26"/>
        <v/>
      </c>
      <c r="BK39" s="155" t="str">
        <f t="shared" si="27"/>
        <v/>
      </c>
      <c r="BL39" s="155" t="str">
        <f t="shared" si="28"/>
        <v/>
      </c>
      <c r="BM39" s="338" t="str">
        <f t="shared" si="58"/>
        <v/>
      </c>
      <c r="BN39" s="16" t="str">
        <f t="shared" si="29"/>
        <v/>
      </c>
      <c r="BO39" s="97" t="str">
        <f t="shared" si="59"/>
        <v/>
      </c>
      <c r="BP39" s="16" t="str">
        <f t="shared" si="30"/>
        <v/>
      </c>
      <c r="BQ39" s="97" t="str">
        <f t="shared" si="60"/>
        <v/>
      </c>
      <c r="BR39" s="2" t="str">
        <f t="shared" si="31"/>
        <v/>
      </c>
      <c r="BS39" s="16" t="str">
        <f t="shared" si="61"/>
        <v/>
      </c>
      <c r="BT39" s="16" t="str">
        <f t="shared" si="74"/>
        <v/>
      </c>
      <c r="BU39" s="97" t="str">
        <f t="shared" si="33"/>
        <v/>
      </c>
      <c r="BV39" s="16" t="str">
        <f t="shared" si="34"/>
        <v/>
      </c>
      <c r="BW39" s="97" t="str">
        <f t="shared" si="63"/>
        <v/>
      </c>
      <c r="BX39" s="2" t="str">
        <f t="shared" si="35"/>
        <v/>
      </c>
      <c r="BY39" s="16" t="str">
        <f t="shared" si="64"/>
        <v/>
      </c>
      <c r="BZ39" s="16" t="str">
        <f t="shared" si="36"/>
        <v/>
      </c>
      <c r="CA39" s="97" t="str">
        <f t="shared" si="66"/>
        <v/>
      </c>
      <c r="CB39" s="16" t="str">
        <f t="shared" si="37"/>
        <v/>
      </c>
      <c r="CC39" s="97" t="str">
        <f t="shared" si="67"/>
        <v/>
      </c>
      <c r="CD39" s="2" t="str">
        <f t="shared" si="38"/>
        <v/>
      </c>
    </row>
    <row r="40" spans="1:82" ht="16" hidden="1" x14ac:dyDescent="0.2">
      <c r="A40" s="2"/>
      <c r="B40" s="2">
        <f t="shared" si="65"/>
        <v>33</v>
      </c>
      <c r="C40" s="2" t="b">
        <f t="shared" si="1"/>
        <v>0</v>
      </c>
      <c r="D40" s="2" t="b">
        <f t="shared" si="2"/>
        <v>0</v>
      </c>
      <c r="E40" s="2" t="b">
        <f t="shared" si="3"/>
        <v>0</v>
      </c>
      <c r="F40" s="2" t="b">
        <f t="shared" si="4"/>
        <v>0</v>
      </c>
      <c r="G40" s="2" t="b">
        <f t="shared" si="5"/>
        <v>0</v>
      </c>
      <c r="H40" s="2" t="b">
        <f t="shared" si="6"/>
        <v>0</v>
      </c>
      <c r="I40" s="36" t="b">
        <f t="shared" si="7"/>
        <v>0</v>
      </c>
      <c r="J40" s="135">
        <f t="shared" si="39"/>
        <v>0.872</v>
      </c>
      <c r="K40" s="160" t="str">
        <f t="shared" si="8"/>
        <v/>
      </c>
      <c r="L40" s="138">
        <f t="shared" si="40"/>
        <v>0.77333333333333376</v>
      </c>
      <c r="M40" s="217" t="str">
        <f t="shared" si="9"/>
        <v/>
      </c>
      <c r="N40" s="140" t="str">
        <f t="shared" si="41"/>
        <v/>
      </c>
      <c r="O40" s="139" t="str">
        <f t="shared" si="10"/>
        <v/>
      </c>
      <c r="P40" s="139" t="str">
        <f t="shared" si="11"/>
        <v/>
      </c>
      <c r="Q40" s="142" t="str">
        <f t="shared" si="12"/>
        <v/>
      </c>
      <c r="R40" s="82" t="str">
        <f t="shared" si="42"/>
        <v/>
      </c>
      <c r="S40" s="90" t="str">
        <f t="shared" si="43"/>
        <v/>
      </c>
      <c r="T40" s="82" t="str">
        <f t="shared" si="44"/>
        <v/>
      </c>
      <c r="U40" s="90" t="str">
        <f t="shared" si="13"/>
        <v/>
      </c>
      <c r="V40" s="82" t="str">
        <f t="shared" si="45"/>
        <v/>
      </c>
      <c r="W40" s="90" t="str">
        <f t="shared" si="14"/>
        <v/>
      </c>
      <c r="X40" s="132" t="str">
        <f t="shared" si="46"/>
        <v/>
      </c>
      <c r="Y40" s="90" t="str">
        <f t="shared" si="47"/>
        <v/>
      </c>
      <c r="Z40" s="219" t="str">
        <f t="shared" si="48"/>
        <v/>
      </c>
      <c r="AA40" s="219" t="str">
        <f t="shared" si="49"/>
        <v/>
      </c>
      <c r="AB40" s="221" t="str">
        <f t="shared" si="50"/>
        <v/>
      </c>
      <c r="AC40" s="148" t="str">
        <f t="shared" si="15"/>
        <v/>
      </c>
      <c r="AD40" s="148" t="str">
        <f t="shared" si="16"/>
        <v/>
      </c>
      <c r="AE40" s="155" t="str">
        <f t="shared" si="17"/>
        <v/>
      </c>
      <c r="AF40" s="86">
        <f t="shared" si="73"/>
        <v>0</v>
      </c>
      <c r="AG40" s="86">
        <f t="shared" si="72"/>
        <v>0</v>
      </c>
      <c r="AH40" s="86">
        <f t="shared" si="72"/>
        <v>69</v>
      </c>
      <c r="AI40" s="86">
        <f t="shared" si="72"/>
        <v>99</v>
      </c>
      <c r="AJ40" s="86">
        <f t="shared" si="72"/>
        <v>120</v>
      </c>
      <c r="AK40" s="86">
        <f t="shared" si="72"/>
        <v>0</v>
      </c>
      <c r="AL40" s="86">
        <f t="shared" si="72"/>
        <v>0</v>
      </c>
      <c r="AM40" s="86">
        <f t="shared" si="72"/>
        <v>49.1008</v>
      </c>
      <c r="AN40" s="86">
        <f t="shared" si="72"/>
        <v>0</v>
      </c>
      <c r="AO40" s="86">
        <f t="shared" si="72"/>
        <v>0</v>
      </c>
      <c r="AP40" s="86">
        <f t="shared" si="72"/>
        <v>0</v>
      </c>
      <c r="AQ40" s="86">
        <f t="shared" si="72"/>
        <v>0</v>
      </c>
      <c r="AR40" s="86">
        <f t="shared" si="72"/>
        <v>0</v>
      </c>
      <c r="AS40" s="86">
        <f t="shared" si="72"/>
        <v>0</v>
      </c>
      <c r="AT40" s="86">
        <f t="shared" si="72"/>
        <v>0</v>
      </c>
      <c r="AU40" s="86">
        <f t="shared" si="72"/>
        <v>0</v>
      </c>
      <c r="AV40" s="86">
        <f t="shared" si="51"/>
        <v>337.10079999999999</v>
      </c>
      <c r="AW40" s="91" t="str">
        <f t="shared" si="52"/>
        <v/>
      </c>
      <c r="AX40" s="176" t="str">
        <f t="shared" si="19"/>
        <v/>
      </c>
      <c r="AY40" s="176" t="str">
        <f t="shared" si="53"/>
        <v/>
      </c>
      <c r="AZ40" s="176" t="str">
        <f t="shared" si="54"/>
        <v/>
      </c>
      <c r="BA40" s="92" t="str">
        <f t="shared" si="55"/>
        <v/>
      </c>
      <c r="BB40" s="181" t="str">
        <f t="shared" si="20"/>
        <v/>
      </c>
      <c r="BC40" s="181" t="str">
        <f t="shared" si="21"/>
        <v/>
      </c>
      <c r="BD40" s="93" t="str">
        <f t="shared" si="22"/>
        <v/>
      </c>
      <c r="BE40" s="85" t="str">
        <f t="shared" si="23"/>
        <v/>
      </c>
      <c r="BF40" s="86" t="str">
        <f t="shared" si="56"/>
        <v/>
      </c>
      <c r="BG40" s="94" t="str">
        <f t="shared" si="24"/>
        <v/>
      </c>
      <c r="BH40" s="95" t="str">
        <f t="shared" si="57"/>
        <v/>
      </c>
      <c r="BI40" s="95" t="str">
        <f t="shared" si="25"/>
        <v/>
      </c>
      <c r="BJ40" s="96" t="str">
        <f t="shared" si="26"/>
        <v/>
      </c>
      <c r="BK40" s="155" t="str">
        <f t="shared" si="27"/>
        <v/>
      </c>
      <c r="BL40" s="155" t="str">
        <f t="shared" si="28"/>
        <v/>
      </c>
      <c r="BM40" s="338" t="str">
        <f t="shared" si="58"/>
        <v/>
      </c>
      <c r="BN40" s="16" t="str">
        <f t="shared" si="29"/>
        <v/>
      </c>
      <c r="BO40" s="97" t="str">
        <f t="shared" si="59"/>
        <v/>
      </c>
      <c r="BP40" s="16" t="str">
        <f t="shared" si="30"/>
        <v/>
      </c>
      <c r="BQ40" s="97" t="str">
        <f t="shared" si="60"/>
        <v/>
      </c>
      <c r="BR40" s="2" t="str">
        <f t="shared" si="31"/>
        <v/>
      </c>
      <c r="BS40" s="16" t="str">
        <f t="shared" si="61"/>
        <v/>
      </c>
      <c r="BT40" s="16" t="str">
        <f t="shared" si="74"/>
        <v/>
      </c>
      <c r="BU40" s="97" t="str">
        <f t="shared" si="33"/>
        <v/>
      </c>
      <c r="BV40" s="16" t="str">
        <f t="shared" si="34"/>
        <v/>
      </c>
      <c r="BW40" s="97" t="str">
        <f t="shared" si="63"/>
        <v/>
      </c>
      <c r="BX40" s="2" t="str">
        <f t="shared" si="35"/>
        <v/>
      </c>
      <c r="BY40" s="16" t="str">
        <f t="shared" si="64"/>
        <v/>
      </c>
      <c r="BZ40" s="16" t="str">
        <f t="shared" si="36"/>
        <v/>
      </c>
      <c r="CA40" s="97" t="str">
        <f t="shared" si="66"/>
        <v/>
      </c>
      <c r="CB40" s="16" t="str">
        <f t="shared" si="37"/>
        <v/>
      </c>
      <c r="CC40" s="97" t="str">
        <f t="shared" si="67"/>
        <v/>
      </c>
      <c r="CD40" s="2" t="str">
        <f t="shared" si="38"/>
        <v/>
      </c>
    </row>
    <row r="41" spans="1:82" ht="16" hidden="1" x14ac:dyDescent="0.2">
      <c r="A41" s="2"/>
      <c r="B41" s="2">
        <f t="shared" si="65"/>
        <v>34</v>
      </c>
      <c r="C41" s="2" t="b">
        <f t="shared" si="1"/>
        <v>0</v>
      </c>
      <c r="D41" s="2" t="b">
        <f t="shared" si="2"/>
        <v>0</v>
      </c>
      <c r="E41" s="2" t="b">
        <f t="shared" si="3"/>
        <v>0</v>
      </c>
      <c r="F41" s="2" t="b">
        <f t="shared" si="4"/>
        <v>0</v>
      </c>
      <c r="G41" s="2" t="b">
        <f t="shared" si="5"/>
        <v>0</v>
      </c>
      <c r="H41" s="2" t="b">
        <f t="shared" si="6"/>
        <v>0</v>
      </c>
      <c r="I41" s="36" t="b">
        <f t="shared" si="7"/>
        <v>0</v>
      </c>
      <c r="J41" s="135">
        <f t="shared" si="39"/>
        <v>0.86799999999999999</v>
      </c>
      <c r="K41" s="160" t="str">
        <f t="shared" si="8"/>
        <v/>
      </c>
      <c r="L41" s="138">
        <f t="shared" si="40"/>
        <v>0.76000000000000045</v>
      </c>
      <c r="M41" s="217" t="str">
        <f t="shared" si="9"/>
        <v/>
      </c>
      <c r="N41" s="140" t="str">
        <f t="shared" si="41"/>
        <v/>
      </c>
      <c r="O41" s="139" t="str">
        <f t="shared" si="10"/>
        <v/>
      </c>
      <c r="P41" s="139" t="str">
        <f t="shared" si="11"/>
        <v/>
      </c>
      <c r="Q41" s="142" t="str">
        <f t="shared" si="12"/>
        <v/>
      </c>
      <c r="R41" s="82" t="str">
        <f t="shared" si="42"/>
        <v/>
      </c>
      <c r="S41" s="90" t="str">
        <f t="shared" si="43"/>
        <v/>
      </c>
      <c r="T41" s="82" t="str">
        <f t="shared" si="44"/>
        <v/>
      </c>
      <c r="U41" s="90" t="str">
        <f t="shared" si="13"/>
        <v/>
      </c>
      <c r="V41" s="82" t="str">
        <f t="shared" si="45"/>
        <v/>
      </c>
      <c r="W41" s="90" t="str">
        <f t="shared" si="14"/>
        <v/>
      </c>
      <c r="X41" s="132" t="str">
        <f t="shared" si="46"/>
        <v/>
      </c>
      <c r="Y41" s="90" t="str">
        <f t="shared" si="47"/>
        <v/>
      </c>
      <c r="Z41" s="219" t="str">
        <f t="shared" si="48"/>
        <v/>
      </c>
      <c r="AA41" s="219" t="str">
        <f t="shared" si="49"/>
        <v/>
      </c>
      <c r="AB41" s="221" t="str">
        <f t="shared" si="50"/>
        <v/>
      </c>
      <c r="AC41" s="148" t="str">
        <f t="shared" si="15"/>
        <v/>
      </c>
      <c r="AD41" s="148" t="str">
        <f t="shared" si="16"/>
        <v/>
      </c>
      <c r="AE41" s="155" t="str">
        <f t="shared" si="17"/>
        <v/>
      </c>
      <c r="AF41" s="86">
        <f t="shared" si="73"/>
        <v>0</v>
      </c>
      <c r="AG41" s="86">
        <f t="shared" si="72"/>
        <v>0</v>
      </c>
      <c r="AH41" s="86">
        <f t="shared" si="72"/>
        <v>69</v>
      </c>
      <c r="AI41" s="86">
        <f t="shared" si="72"/>
        <v>99</v>
      </c>
      <c r="AJ41" s="86">
        <f t="shared" si="72"/>
        <v>120</v>
      </c>
      <c r="AK41" s="86">
        <f t="shared" si="72"/>
        <v>0</v>
      </c>
      <c r="AL41" s="86">
        <f t="shared" si="72"/>
        <v>0</v>
      </c>
      <c r="AM41" s="86">
        <f t="shared" si="72"/>
        <v>49.1008</v>
      </c>
      <c r="AN41" s="86">
        <f t="shared" si="72"/>
        <v>0</v>
      </c>
      <c r="AO41" s="86">
        <f t="shared" si="72"/>
        <v>0</v>
      </c>
      <c r="AP41" s="86">
        <f t="shared" si="72"/>
        <v>0</v>
      </c>
      <c r="AQ41" s="86">
        <f t="shared" si="72"/>
        <v>0</v>
      </c>
      <c r="AR41" s="86">
        <f t="shared" si="72"/>
        <v>0</v>
      </c>
      <c r="AS41" s="86">
        <f t="shared" si="72"/>
        <v>0</v>
      </c>
      <c r="AT41" s="86">
        <f t="shared" si="72"/>
        <v>0</v>
      </c>
      <c r="AU41" s="86">
        <f t="shared" si="72"/>
        <v>0</v>
      </c>
      <c r="AV41" s="86">
        <f t="shared" si="51"/>
        <v>337.10079999999999</v>
      </c>
      <c r="AW41" s="91" t="str">
        <f t="shared" si="52"/>
        <v/>
      </c>
      <c r="AX41" s="176" t="str">
        <f t="shared" si="19"/>
        <v/>
      </c>
      <c r="AY41" s="176" t="str">
        <f t="shared" si="53"/>
        <v/>
      </c>
      <c r="AZ41" s="176" t="str">
        <f t="shared" si="54"/>
        <v/>
      </c>
      <c r="BA41" s="92" t="str">
        <f t="shared" si="55"/>
        <v/>
      </c>
      <c r="BB41" s="181" t="str">
        <f t="shared" si="20"/>
        <v/>
      </c>
      <c r="BC41" s="181" t="str">
        <f t="shared" si="21"/>
        <v/>
      </c>
      <c r="BD41" s="93" t="str">
        <f t="shared" si="22"/>
        <v/>
      </c>
      <c r="BE41" s="85" t="str">
        <f t="shared" si="23"/>
        <v/>
      </c>
      <c r="BF41" s="86" t="str">
        <f t="shared" si="56"/>
        <v/>
      </c>
      <c r="BG41" s="94" t="str">
        <f t="shared" si="24"/>
        <v/>
      </c>
      <c r="BH41" s="95" t="str">
        <f t="shared" si="57"/>
        <v/>
      </c>
      <c r="BI41" s="95" t="str">
        <f t="shared" si="25"/>
        <v/>
      </c>
      <c r="BJ41" s="96" t="str">
        <f t="shared" si="26"/>
        <v/>
      </c>
      <c r="BK41" s="155" t="str">
        <f t="shared" si="27"/>
        <v/>
      </c>
      <c r="BL41" s="155" t="str">
        <f t="shared" si="28"/>
        <v/>
      </c>
      <c r="BM41" s="338" t="str">
        <f t="shared" si="58"/>
        <v/>
      </c>
      <c r="BN41" s="16" t="str">
        <f t="shared" si="29"/>
        <v/>
      </c>
      <c r="BO41" s="97" t="str">
        <f t="shared" si="59"/>
        <v/>
      </c>
      <c r="BP41" s="16" t="str">
        <f t="shared" si="30"/>
        <v/>
      </c>
      <c r="BQ41" s="97" t="str">
        <f t="shared" si="60"/>
        <v/>
      </c>
      <c r="BR41" s="2" t="str">
        <f t="shared" si="31"/>
        <v/>
      </c>
      <c r="BS41" s="16" t="str">
        <f t="shared" si="61"/>
        <v/>
      </c>
      <c r="BT41" s="16" t="str">
        <f t="shared" si="74"/>
        <v/>
      </c>
      <c r="BU41" s="97" t="str">
        <f t="shared" si="33"/>
        <v/>
      </c>
      <c r="BV41" s="16" t="str">
        <f t="shared" si="34"/>
        <v/>
      </c>
      <c r="BW41" s="97" t="str">
        <f t="shared" si="63"/>
        <v/>
      </c>
      <c r="BX41" s="2" t="str">
        <f t="shared" si="35"/>
        <v/>
      </c>
      <c r="BY41" s="16" t="str">
        <f t="shared" si="64"/>
        <v/>
      </c>
      <c r="BZ41" s="16" t="str">
        <f t="shared" si="36"/>
        <v/>
      </c>
      <c r="CA41" s="97" t="str">
        <f t="shared" si="66"/>
        <v/>
      </c>
      <c r="CB41" s="16" t="str">
        <f t="shared" si="37"/>
        <v/>
      </c>
      <c r="CC41" s="97" t="str">
        <f t="shared" si="67"/>
        <v/>
      </c>
      <c r="CD41" s="2" t="str">
        <f t="shared" si="38"/>
        <v/>
      </c>
    </row>
    <row r="42" spans="1:82" ht="16" hidden="1" x14ac:dyDescent="0.2">
      <c r="A42" s="2"/>
      <c r="B42" s="2">
        <f t="shared" si="65"/>
        <v>35</v>
      </c>
      <c r="C42" s="2" t="b">
        <f t="shared" si="1"/>
        <v>0</v>
      </c>
      <c r="D42" s="2" t="b">
        <f t="shared" si="2"/>
        <v>0</v>
      </c>
      <c r="E42" s="2" t="b">
        <f t="shared" si="3"/>
        <v>0</v>
      </c>
      <c r="F42" s="2" t="b">
        <f t="shared" si="4"/>
        <v>0</v>
      </c>
      <c r="G42" s="2" t="b">
        <f t="shared" si="5"/>
        <v>0</v>
      </c>
      <c r="H42" s="2" t="b">
        <f t="shared" si="6"/>
        <v>0</v>
      </c>
      <c r="I42" s="36" t="b">
        <f t="shared" si="7"/>
        <v>0</v>
      </c>
      <c r="J42" s="135">
        <f t="shared" si="39"/>
        <v>0.86399999999999999</v>
      </c>
      <c r="K42" s="160" t="str">
        <f t="shared" si="8"/>
        <v/>
      </c>
      <c r="L42" s="138">
        <f t="shared" si="40"/>
        <v>0.74666666666666714</v>
      </c>
      <c r="M42" s="217" t="str">
        <f t="shared" si="9"/>
        <v/>
      </c>
      <c r="N42" s="140" t="str">
        <f t="shared" si="41"/>
        <v/>
      </c>
      <c r="O42" s="139" t="str">
        <f t="shared" si="10"/>
        <v/>
      </c>
      <c r="P42" s="139" t="str">
        <f t="shared" si="11"/>
        <v/>
      </c>
      <c r="Q42" s="142" t="str">
        <f t="shared" si="12"/>
        <v/>
      </c>
      <c r="R42" s="82" t="str">
        <f t="shared" si="42"/>
        <v/>
      </c>
      <c r="S42" s="90" t="str">
        <f t="shared" si="43"/>
        <v/>
      </c>
      <c r="T42" s="82" t="str">
        <f t="shared" si="44"/>
        <v/>
      </c>
      <c r="U42" s="90" t="str">
        <f t="shared" si="13"/>
        <v/>
      </c>
      <c r="V42" s="82" t="str">
        <f t="shared" si="45"/>
        <v/>
      </c>
      <c r="W42" s="90" t="str">
        <f t="shared" si="14"/>
        <v/>
      </c>
      <c r="X42" s="132" t="str">
        <f t="shared" si="46"/>
        <v/>
      </c>
      <c r="Y42" s="90" t="str">
        <f t="shared" si="47"/>
        <v/>
      </c>
      <c r="Z42" s="219" t="str">
        <f t="shared" si="48"/>
        <v/>
      </c>
      <c r="AA42" s="219" t="str">
        <f t="shared" si="49"/>
        <v/>
      </c>
      <c r="AB42" s="221" t="str">
        <f t="shared" si="50"/>
        <v/>
      </c>
      <c r="AC42" s="148" t="str">
        <f t="shared" si="15"/>
        <v/>
      </c>
      <c r="AD42" s="148" t="str">
        <f t="shared" si="16"/>
        <v/>
      </c>
      <c r="AE42" s="155" t="str">
        <f t="shared" si="17"/>
        <v/>
      </c>
      <c r="AF42" s="86">
        <f t="shared" si="73"/>
        <v>830.68799999999999</v>
      </c>
      <c r="AG42" s="86">
        <f t="shared" si="72"/>
        <v>0</v>
      </c>
      <c r="AH42" s="86">
        <f t="shared" si="72"/>
        <v>69</v>
      </c>
      <c r="AI42" s="86">
        <f t="shared" si="72"/>
        <v>99</v>
      </c>
      <c r="AJ42" s="86">
        <f t="shared" si="72"/>
        <v>120</v>
      </c>
      <c r="AK42" s="86">
        <f t="shared" si="72"/>
        <v>0</v>
      </c>
      <c r="AL42" s="86">
        <f t="shared" si="72"/>
        <v>0</v>
      </c>
      <c r="AM42" s="86">
        <f t="shared" si="72"/>
        <v>49.1008</v>
      </c>
      <c r="AN42" s="86">
        <f t="shared" si="72"/>
        <v>0</v>
      </c>
      <c r="AO42" s="86">
        <f t="shared" si="72"/>
        <v>0</v>
      </c>
      <c r="AP42" s="86">
        <f t="shared" si="72"/>
        <v>0</v>
      </c>
      <c r="AQ42" s="86">
        <f t="shared" si="72"/>
        <v>0</v>
      </c>
      <c r="AR42" s="86">
        <f t="shared" si="72"/>
        <v>0</v>
      </c>
      <c r="AS42" s="86">
        <f t="shared" si="72"/>
        <v>0</v>
      </c>
      <c r="AT42" s="86">
        <f t="shared" si="72"/>
        <v>0</v>
      </c>
      <c r="AU42" s="86">
        <f t="shared" si="72"/>
        <v>0</v>
      </c>
      <c r="AV42" s="86">
        <f t="shared" si="51"/>
        <v>1167.7888</v>
      </c>
      <c r="AW42" s="91" t="str">
        <f t="shared" si="52"/>
        <v/>
      </c>
      <c r="AX42" s="176" t="str">
        <f t="shared" si="19"/>
        <v/>
      </c>
      <c r="AY42" s="176" t="str">
        <f t="shared" si="53"/>
        <v/>
      </c>
      <c r="AZ42" s="176" t="str">
        <f t="shared" si="54"/>
        <v/>
      </c>
      <c r="BA42" s="92" t="str">
        <f t="shared" si="55"/>
        <v/>
      </c>
      <c r="BB42" s="181" t="str">
        <f t="shared" si="20"/>
        <v/>
      </c>
      <c r="BC42" s="181" t="str">
        <f t="shared" si="21"/>
        <v/>
      </c>
      <c r="BD42" s="93" t="str">
        <f t="shared" si="22"/>
        <v/>
      </c>
      <c r="BE42" s="85" t="str">
        <f t="shared" si="23"/>
        <v/>
      </c>
      <c r="BF42" s="86" t="str">
        <f t="shared" si="56"/>
        <v/>
      </c>
      <c r="BG42" s="94" t="str">
        <f t="shared" si="24"/>
        <v/>
      </c>
      <c r="BH42" s="95" t="str">
        <f t="shared" si="57"/>
        <v/>
      </c>
      <c r="BI42" s="95" t="str">
        <f t="shared" si="25"/>
        <v/>
      </c>
      <c r="BJ42" s="96" t="str">
        <f t="shared" si="26"/>
        <v/>
      </c>
      <c r="BK42" s="155" t="str">
        <f t="shared" si="27"/>
        <v/>
      </c>
      <c r="BL42" s="155" t="str">
        <f t="shared" si="28"/>
        <v/>
      </c>
      <c r="BM42" s="338" t="str">
        <f t="shared" si="58"/>
        <v/>
      </c>
      <c r="BN42" s="16" t="str">
        <f t="shared" si="29"/>
        <v/>
      </c>
      <c r="BO42" s="97" t="str">
        <f t="shared" si="59"/>
        <v/>
      </c>
      <c r="BP42" s="16" t="str">
        <f t="shared" si="30"/>
        <v/>
      </c>
      <c r="BQ42" s="97" t="str">
        <f t="shared" si="60"/>
        <v/>
      </c>
      <c r="BR42" s="2" t="str">
        <f t="shared" si="31"/>
        <v/>
      </c>
      <c r="BS42" s="16" t="str">
        <f t="shared" si="61"/>
        <v/>
      </c>
      <c r="BT42" s="16" t="str">
        <f t="shared" si="74"/>
        <v/>
      </c>
      <c r="BU42" s="97" t="str">
        <f t="shared" si="33"/>
        <v/>
      </c>
      <c r="BV42" s="16" t="str">
        <f t="shared" si="34"/>
        <v/>
      </c>
      <c r="BW42" s="97" t="str">
        <f t="shared" si="63"/>
        <v/>
      </c>
      <c r="BX42" s="2" t="str">
        <f t="shared" si="35"/>
        <v/>
      </c>
      <c r="BY42" s="16" t="str">
        <f t="shared" si="64"/>
        <v/>
      </c>
      <c r="BZ42" s="16" t="str">
        <f t="shared" si="36"/>
        <v/>
      </c>
      <c r="CA42" s="97" t="str">
        <f t="shared" si="66"/>
        <v/>
      </c>
      <c r="CB42" s="16" t="str">
        <f t="shared" si="37"/>
        <v/>
      </c>
      <c r="CC42" s="97" t="str">
        <f t="shared" si="67"/>
        <v/>
      </c>
      <c r="CD42" s="2" t="str">
        <f t="shared" si="38"/>
        <v/>
      </c>
    </row>
    <row r="43" spans="1:82" ht="16" hidden="1" x14ac:dyDescent="0.2">
      <c r="A43" s="2"/>
      <c r="B43" s="2">
        <f t="shared" si="65"/>
        <v>36</v>
      </c>
      <c r="C43" s="2" t="b">
        <f t="shared" si="1"/>
        <v>0</v>
      </c>
      <c r="D43" s="2" t="b">
        <f t="shared" si="2"/>
        <v>0</v>
      </c>
      <c r="E43" s="2" t="b">
        <f t="shared" si="3"/>
        <v>0</v>
      </c>
      <c r="F43" s="2" t="b">
        <f t="shared" si="4"/>
        <v>0</v>
      </c>
      <c r="G43" s="2" t="b">
        <f t="shared" si="5"/>
        <v>0</v>
      </c>
      <c r="H43" s="2" t="b">
        <f t="shared" si="6"/>
        <v>0</v>
      </c>
      <c r="I43" s="36" t="b">
        <f t="shared" si="7"/>
        <v>0</v>
      </c>
      <c r="J43" s="135">
        <f t="shared" si="39"/>
        <v>0.86</v>
      </c>
      <c r="K43" s="160" t="str">
        <f t="shared" si="8"/>
        <v/>
      </c>
      <c r="L43" s="138">
        <f t="shared" si="40"/>
        <v>0.73333333333333384</v>
      </c>
      <c r="M43" s="217" t="str">
        <f t="shared" si="9"/>
        <v/>
      </c>
      <c r="N43" s="140" t="str">
        <f t="shared" si="41"/>
        <v/>
      </c>
      <c r="O43" s="139" t="str">
        <f t="shared" si="10"/>
        <v/>
      </c>
      <c r="P43" s="139" t="str">
        <f t="shared" si="11"/>
        <v/>
      </c>
      <c r="Q43" s="142" t="str">
        <f t="shared" si="12"/>
        <v/>
      </c>
      <c r="R43" s="82" t="str">
        <f t="shared" si="42"/>
        <v/>
      </c>
      <c r="S43" s="90" t="str">
        <f t="shared" si="43"/>
        <v/>
      </c>
      <c r="T43" s="82" t="str">
        <f t="shared" si="44"/>
        <v/>
      </c>
      <c r="U43" s="90" t="str">
        <f t="shared" si="13"/>
        <v/>
      </c>
      <c r="V43" s="82" t="str">
        <f t="shared" si="45"/>
        <v/>
      </c>
      <c r="W43" s="90" t="str">
        <f t="shared" si="14"/>
        <v/>
      </c>
      <c r="X43" s="132" t="str">
        <f t="shared" si="46"/>
        <v/>
      </c>
      <c r="Y43" s="90" t="str">
        <f t="shared" si="47"/>
        <v/>
      </c>
      <c r="Z43" s="219" t="str">
        <f t="shared" si="48"/>
        <v/>
      </c>
      <c r="AA43" s="219" t="str">
        <f t="shared" si="49"/>
        <v/>
      </c>
      <c r="AB43" s="221" t="str">
        <f t="shared" si="50"/>
        <v/>
      </c>
      <c r="AC43" s="148" t="str">
        <f t="shared" si="15"/>
        <v/>
      </c>
      <c r="AD43" s="148" t="str">
        <f t="shared" ref="AD43:AD52" si="75">IF(E43,_Summe_Leistungsspitzen*_Reduktion_Leistungsspitzen_Batterie/100*L43*X43,"")</f>
        <v/>
      </c>
      <c r="AE43" s="155" t="str">
        <f t="shared" si="17"/>
        <v/>
      </c>
      <c r="AF43" s="86">
        <f t="shared" si="73"/>
        <v>0</v>
      </c>
      <c r="AG43" s="86">
        <f t="shared" si="72"/>
        <v>0</v>
      </c>
      <c r="AH43" s="86">
        <f t="shared" si="72"/>
        <v>69</v>
      </c>
      <c r="AI43" s="86">
        <f t="shared" si="72"/>
        <v>99</v>
      </c>
      <c r="AJ43" s="86">
        <f t="shared" si="72"/>
        <v>120</v>
      </c>
      <c r="AK43" s="86">
        <f t="shared" si="72"/>
        <v>0</v>
      </c>
      <c r="AL43" s="86">
        <f t="shared" si="72"/>
        <v>0</v>
      </c>
      <c r="AM43" s="86">
        <f t="shared" si="72"/>
        <v>49.1008</v>
      </c>
      <c r="AN43" s="86">
        <f t="shared" si="72"/>
        <v>0</v>
      </c>
      <c r="AO43" s="86">
        <f t="shared" si="72"/>
        <v>0</v>
      </c>
      <c r="AP43" s="86">
        <f t="shared" si="72"/>
        <v>0</v>
      </c>
      <c r="AQ43" s="86">
        <f t="shared" si="72"/>
        <v>0</v>
      </c>
      <c r="AR43" s="86">
        <f t="shared" si="72"/>
        <v>0</v>
      </c>
      <c r="AS43" s="86">
        <f t="shared" si="72"/>
        <v>0</v>
      </c>
      <c r="AT43" s="86">
        <f t="shared" si="72"/>
        <v>0</v>
      </c>
      <c r="AU43" s="86">
        <f t="shared" si="72"/>
        <v>0</v>
      </c>
      <c r="AV43" s="86">
        <f t="shared" si="51"/>
        <v>337.10079999999999</v>
      </c>
      <c r="AW43" s="91" t="str">
        <f t="shared" si="52"/>
        <v/>
      </c>
      <c r="AX43" s="176" t="str">
        <f t="shared" si="19"/>
        <v/>
      </c>
      <c r="AY43" s="176" t="str">
        <f t="shared" si="53"/>
        <v/>
      </c>
      <c r="AZ43" s="176" t="str">
        <f t="shared" si="54"/>
        <v/>
      </c>
      <c r="BA43" s="92" t="str">
        <f t="shared" si="55"/>
        <v/>
      </c>
      <c r="BB43" s="181" t="str">
        <f t="shared" si="20"/>
        <v/>
      </c>
      <c r="BC43" s="181" t="str">
        <f t="shared" si="21"/>
        <v/>
      </c>
      <c r="BD43" s="93" t="str">
        <f t="shared" si="22"/>
        <v/>
      </c>
      <c r="BE43" s="85" t="str">
        <f t="shared" si="23"/>
        <v/>
      </c>
      <c r="BF43" s="86" t="str">
        <f t="shared" si="56"/>
        <v/>
      </c>
      <c r="BG43" s="94" t="str">
        <f t="shared" si="24"/>
        <v/>
      </c>
      <c r="BH43" s="95" t="str">
        <f t="shared" si="57"/>
        <v/>
      </c>
      <c r="BI43" s="95" t="str">
        <f t="shared" si="25"/>
        <v/>
      </c>
      <c r="BJ43" s="96" t="str">
        <f t="shared" si="26"/>
        <v/>
      </c>
      <c r="BK43" s="155" t="str">
        <f t="shared" si="27"/>
        <v/>
      </c>
      <c r="BL43" s="155" t="str">
        <f t="shared" si="28"/>
        <v/>
      </c>
      <c r="BM43" s="338" t="str">
        <f t="shared" si="58"/>
        <v/>
      </c>
      <c r="BN43" s="16" t="str">
        <f t="shared" si="29"/>
        <v/>
      </c>
      <c r="BO43" s="97" t="str">
        <f t="shared" si="59"/>
        <v/>
      </c>
      <c r="BP43" s="16" t="str">
        <f t="shared" si="30"/>
        <v/>
      </c>
      <c r="BQ43" s="97" t="str">
        <f t="shared" si="60"/>
        <v/>
      </c>
      <c r="BR43" s="2" t="str">
        <f t="shared" si="31"/>
        <v/>
      </c>
      <c r="BS43" s="16" t="str">
        <f t="shared" si="61"/>
        <v/>
      </c>
      <c r="BT43" s="16" t="str">
        <f t="shared" si="74"/>
        <v/>
      </c>
      <c r="BU43" s="97" t="str">
        <f t="shared" si="33"/>
        <v/>
      </c>
      <c r="BV43" s="16" t="str">
        <f t="shared" si="34"/>
        <v/>
      </c>
      <c r="BW43" s="97" t="str">
        <f t="shared" si="63"/>
        <v/>
      </c>
      <c r="BX43" s="2" t="str">
        <f t="shared" si="35"/>
        <v/>
      </c>
      <c r="BY43" s="16" t="str">
        <f t="shared" si="64"/>
        <v/>
      </c>
      <c r="BZ43" s="16" t="str">
        <f t="shared" si="36"/>
        <v/>
      </c>
      <c r="CA43" s="97" t="str">
        <f t="shared" si="66"/>
        <v/>
      </c>
      <c r="CB43" s="16" t="str">
        <f t="shared" si="37"/>
        <v/>
      </c>
      <c r="CC43" s="97" t="str">
        <f t="shared" si="67"/>
        <v/>
      </c>
      <c r="CD43" s="2" t="str">
        <f t="shared" si="38"/>
        <v/>
      </c>
    </row>
    <row r="44" spans="1:82" ht="16" hidden="1" x14ac:dyDescent="0.2">
      <c r="A44" s="2"/>
      <c r="B44" s="2">
        <f t="shared" si="65"/>
        <v>37</v>
      </c>
      <c r="C44" s="2" t="b">
        <f t="shared" si="1"/>
        <v>0</v>
      </c>
      <c r="D44" s="2" t="b">
        <f t="shared" si="2"/>
        <v>0</v>
      </c>
      <c r="E44" s="2" t="b">
        <f t="shared" si="3"/>
        <v>0</v>
      </c>
      <c r="F44" s="2" t="b">
        <f t="shared" si="4"/>
        <v>0</v>
      </c>
      <c r="G44" s="2" t="b">
        <f t="shared" si="5"/>
        <v>0</v>
      </c>
      <c r="H44" s="2" t="b">
        <f t="shared" si="6"/>
        <v>0</v>
      </c>
      <c r="I44" s="36" t="b">
        <f t="shared" si="7"/>
        <v>0</v>
      </c>
      <c r="J44" s="135">
        <f t="shared" si="39"/>
        <v>0.85599999999999998</v>
      </c>
      <c r="K44" s="160" t="str">
        <f t="shared" si="8"/>
        <v/>
      </c>
      <c r="L44" s="138">
        <f t="shared" si="40"/>
        <v>0.72000000000000053</v>
      </c>
      <c r="M44" s="217" t="str">
        <f t="shared" si="9"/>
        <v/>
      </c>
      <c r="N44" s="140" t="str">
        <f t="shared" si="41"/>
        <v/>
      </c>
      <c r="O44" s="139" t="str">
        <f t="shared" si="10"/>
        <v/>
      </c>
      <c r="P44" s="139" t="str">
        <f t="shared" si="11"/>
        <v/>
      </c>
      <c r="Q44" s="142" t="str">
        <f t="shared" si="12"/>
        <v/>
      </c>
      <c r="R44" s="82" t="str">
        <f t="shared" si="42"/>
        <v/>
      </c>
      <c r="S44" s="90" t="str">
        <f t="shared" si="43"/>
        <v/>
      </c>
      <c r="T44" s="82" t="str">
        <f t="shared" si="44"/>
        <v/>
      </c>
      <c r="U44" s="90" t="str">
        <f t="shared" si="13"/>
        <v/>
      </c>
      <c r="V44" s="82" t="str">
        <f t="shared" si="45"/>
        <v/>
      </c>
      <c r="W44" s="90" t="str">
        <f t="shared" si="14"/>
        <v/>
      </c>
      <c r="X44" s="132" t="str">
        <f t="shared" si="46"/>
        <v/>
      </c>
      <c r="Y44" s="90" t="str">
        <f t="shared" si="47"/>
        <v/>
      </c>
      <c r="Z44" s="219" t="str">
        <f t="shared" si="48"/>
        <v/>
      </c>
      <c r="AA44" s="219" t="str">
        <f t="shared" si="49"/>
        <v/>
      </c>
      <c r="AB44" s="221" t="str">
        <f t="shared" si="50"/>
        <v/>
      </c>
      <c r="AC44" s="148" t="str">
        <f t="shared" si="15"/>
        <v/>
      </c>
      <c r="AD44" s="148" t="str">
        <f t="shared" si="75"/>
        <v/>
      </c>
      <c r="AE44" s="155" t="str">
        <f t="shared" si="17"/>
        <v/>
      </c>
      <c r="AF44" s="86">
        <f t="shared" si="73"/>
        <v>0</v>
      </c>
      <c r="AG44" s="86">
        <f t="shared" si="72"/>
        <v>0</v>
      </c>
      <c r="AH44" s="86">
        <f t="shared" si="72"/>
        <v>69</v>
      </c>
      <c r="AI44" s="86">
        <f t="shared" si="72"/>
        <v>99</v>
      </c>
      <c r="AJ44" s="86">
        <f t="shared" si="72"/>
        <v>120</v>
      </c>
      <c r="AK44" s="86">
        <f t="shared" si="72"/>
        <v>0</v>
      </c>
      <c r="AL44" s="86">
        <f t="shared" si="72"/>
        <v>0</v>
      </c>
      <c r="AM44" s="86">
        <f t="shared" si="72"/>
        <v>49.1008</v>
      </c>
      <c r="AN44" s="86">
        <f t="shared" si="72"/>
        <v>0</v>
      </c>
      <c r="AO44" s="86">
        <f t="shared" si="72"/>
        <v>0</v>
      </c>
      <c r="AP44" s="86">
        <f t="shared" si="72"/>
        <v>0</v>
      </c>
      <c r="AQ44" s="86">
        <f t="shared" si="72"/>
        <v>0</v>
      </c>
      <c r="AR44" s="86">
        <f t="shared" si="72"/>
        <v>0</v>
      </c>
      <c r="AS44" s="86">
        <f t="shared" si="72"/>
        <v>0</v>
      </c>
      <c r="AT44" s="86">
        <f t="shared" si="72"/>
        <v>0</v>
      </c>
      <c r="AU44" s="86">
        <f t="shared" si="72"/>
        <v>0</v>
      </c>
      <c r="AV44" s="86">
        <f t="shared" si="51"/>
        <v>337.10079999999999</v>
      </c>
      <c r="AW44" s="91" t="str">
        <f t="shared" si="52"/>
        <v/>
      </c>
      <c r="AX44" s="176" t="str">
        <f t="shared" si="19"/>
        <v/>
      </c>
      <c r="AY44" s="176" t="str">
        <f t="shared" si="53"/>
        <v/>
      </c>
      <c r="AZ44" s="176" t="str">
        <f t="shared" si="54"/>
        <v/>
      </c>
      <c r="BA44" s="92" t="str">
        <f t="shared" si="55"/>
        <v/>
      </c>
      <c r="BB44" s="181" t="str">
        <f t="shared" si="20"/>
        <v/>
      </c>
      <c r="BC44" s="181" t="str">
        <f t="shared" si="21"/>
        <v/>
      </c>
      <c r="BD44" s="93" t="str">
        <f t="shared" si="22"/>
        <v/>
      </c>
      <c r="BE44" s="85" t="str">
        <f t="shared" si="23"/>
        <v/>
      </c>
      <c r="BF44" s="86" t="str">
        <f t="shared" si="56"/>
        <v/>
      </c>
      <c r="BG44" s="94" t="str">
        <f t="shared" si="24"/>
        <v/>
      </c>
      <c r="BH44" s="95" t="str">
        <f t="shared" si="57"/>
        <v/>
      </c>
      <c r="BI44" s="95" t="str">
        <f t="shared" si="25"/>
        <v/>
      </c>
      <c r="BJ44" s="96" t="str">
        <f t="shared" si="26"/>
        <v/>
      </c>
      <c r="BK44" s="155" t="str">
        <f t="shared" si="27"/>
        <v/>
      </c>
      <c r="BL44" s="155" t="str">
        <f t="shared" si="28"/>
        <v/>
      </c>
      <c r="BM44" s="338" t="str">
        <f t="shared" si="58"/>
        <v/>
      </c>
      <c r="BN44" s="16" t="str">
        <f t="shared" si="29"/>
        <v/>
      </c>
      <c r="BO44" s="97" t="str">
        <f t="shared" si="59"/>
        <v/>
      </c>
      <c r="BP44" s="16" t="str">
        <f t="shared" si="30"/>
        <v/>
      </c>
      <c r="BQ44" s="97" t="str">
        <f t="shared" si="60"/>
        <v/>
      </c>
      <c r="BR44" s="2" t="str">
        <f t="shared" si="31"/>
        <v/>
      </c>
      <c r="BS44" s="16" t="str">
        <f t="shared" si="61"/>
        <v/>
      </c>
      <c r="BT44" s="16" t="str">
        <f t="shared" si="74"/>
        <v/>
      </c>
      <c r="BU44" s="97" t="str">
        <f t="shared" si="33"/>
        <v/>
      </c>
      <c r="BV44" s="16" t="str">
        <f t="shared" si="34"/>
        <v/>
      </c>
      <c r="BW44" s="97" t="str">
        <f t="shared" si="63"/>
        <v/>
      </c>
      <c r="BX44" s="2" t="str">
        <f t="shared" si="35"/>
        <v/>
      </c>
      <c r="BY44" s="16" t="str">
        <f t="shared" si="64"/>
        <v/>
      </c>
      <c r="BZ44" s="16" t="str">
        <f t="shared" si="36"/>
        <v/>
      </c>
      <c r="CA44" s="97" t="str">
        <f t="shared" si="66"/>
        <v/>
      </c>
      <c r="CB44" s="16" t="str">
        <f t="shared" si="37"/>
        <v/>
      </c>
      <c r="CC44" s="97" t="str">
        <f t="shared" si="67"/>
        <v/>
      </c>
      <c r="CD44" s="2" t="str">
        <f t="shared" si="38"/>
        <v/>
      </c>
    </row>
    <row r="45" spans="1:82" ht="16" hidden="1" x14ac:dyDescent="0.2">
      <c r="A45" s="2"/>
      <c r="B45" s="2">
        <f t="shared" si="65"/>
        <v>38</v>
      </c>
      <c r="C45" s="2" t="b">
        <f t="shared" si="1"/>
        <v>0</v>
      </c>
      <c r="D45" s="2" t="b">
        <f t="shared" si="2"/>
        <v>0</v>
      </c>
      <c r="E45" s="2" t="b">
        <f t="shared" si="3"/>
        <v>0</v>
      </c>
      <c r="F45" s="2" t="b">
        <f t="shared" si="4"/>
        <v>0</v>
      </c>
      <c r="G45" s="2" t="b">
        <f t="shared" si="5"/>
        <v>0</v>
      </c>
      <c r="H45" s="2" t="b">
        <f t="shared" si="6"/>
        <v>0</v>
      </c>
      <c r="I45" s="36" t="b">
        <f t="shared" si="7"/>
        <v>0</v>
      </c>
      <c r="J45" s="135">
        <f t="shared" si="39"/>
        <v>0.85199999999999998</v>
      </c>
      <c r="K45" s="160" t="str">
        <f t="shared" si="8"/>
        <v/>
      </c>
      <c r="L45" s="138">
        <f t="shared" si="40"/>
        <v>0.70666666666666722</v>
      </c>
      <c r="M45" s="217" t="str">
        <f t="shared" si="9"/>
        <v/>
      </c>
      <c r="N45" s="140" t="str">
        <f t="shared" si="41"/>
        <v/>
      </c>
      <c r="O45" s="139" t="str">
        <f t="shared" si="10"/>
        <v/>
      </c>
      <c r="P45" s="139" t="str">
        <f t="shared" si="11"/>
        <v/>
      </c>
      <c r="Q45" s="142" t="str">
        <f t="shared" si="12"/>
        <v/>
      </c>
      <c r="R45" s="82" t="str">
        <f t="shared" si="42"/>
        <v/>
      </c>
      <c r="S45" s="90" t="str">
        <f t="shared" si="43"/>
        <v/>
      </c>
      <c r="T45" s="82" t="str">
        <f t="shared" si="44"/>
        <v/>
      </c>
      <c r="U45" s="90" t="str">
        <f t="shared" si="13"/>
        <v/>
      </c>
      <c r="V45" s="82" t="str">
        <f t="shared" si="45"/>
        <v/>
      </c>
      <c r="W45" s="90" t="str">
        <f t="shared" si="14"/>
        <v/>
      </c>
      <c r="X45" s="132" t="str">
        <f t="shared" si="46"/>
        <v/>
      </c>
      <c r="Y45" s="90" t="str">
        <f t="shared" si="47"/>
        <v/>
      </c>
      <c r="Z45" s="219" t="str">
        <f t="shared" si="48"/>
        <v/>
      </c>
      <c r="AA45" s="219" t="str">
        <f t="shared" si="49"/>
        <v/>
      </c>
      <c r="AB45" s="221" t="str">
        <f t="shared" si="50"/>
        <v/>
      </c>
      <c r="AC45" s="148" t="str">
        <f t="shared" si="15"/>
        <v/>
      </c>
      <c r="AD45" s="148" t="str">
        <f t="shared" si="75"/>
        <v/>
      </c>
      <c r="AE45" s="155" t="str">
        <f t="shared" si="17"/>
        <v/>
      </c>
      <c r="AF45" s="86">
        <f t="shared" si="73"/>
        <v>0</v>
      </c>
      <c r="AG45" s="86">
        <f t="shared" si="72"/>
        <v>0</v>
      </c>
      <c r="AH45" s="86">
        <f t="shared" si="72"/>
        <v>69</v>
      </c>
      <c r="AI45" s="86">
        <f t="shared" si="72"/>
        <v>99</v>
      </c>
      <c r="AJ45" s="86">
        <f t="shared" si="72"/>
        <v>120</v>
      </c>
      <c r="AK45" s="86">
        <f t="shared" si="72"/>
        <v>0</v>
      </c>
      <c r="AL45" s="86">
        <f t="shared" si="72"/>
        <v>0</v>
      </c>
      <c r="AM45" s="86">
        <f t="shared" si="72"/>
        <v>49.1008</v>
      </c>
      <c r="AN45" s="86">
        <f t="shared" si="72"/>
        <v>0</v>
      </c>
      <c r="AO45" s="86">
        <f t="shared" si="72"/>
        <v>0</v>
      </c>
      <c r="AP45" s="86">
        <f t="shared" si="72"/>
        <v>0</v>
      </c>
      <c r="AQ45" s="86">
        <f t="shared" si="72"/>
        <v>0</v>
      </c>
      <c r="AR45" s="86">
        <f t="shared" si="72"/>
        <v>0</v>
      </c>
      <c r="AS45" s="86">
        <f t="shared" si="72"/>
        <v>0</v>
      </c>
      <c r="AT45" s="86">
        <f t="shared" si="72"/>
        <v>0</v>
      </c>
      <c r="AU45" s="86">
        <f t="shared" si="72"/>
        <v>0</v>
      </c>
      <c r="AV45" s="86">
        <f t="shared" si="51"/>
        <v>337.10079999999999</v>
      </c>
      <c r="AW45" s="91" t="str">
        <f t="shared" si="52"/>
        <v/>
      </c>
      <c r="AX45" s="176" t="str">
        <f t="shared" si="19"/>
        <v/>
      </c>
      <c r="AY45" s="176" t="str">
        <f t="shared" si="53"/>
        <v/>
      </c>
      <c r="AZ45" s="176" t="str">
        <f t="shared" si="54"/>
        <v/>
      </c>
      <c r="BA45" s="92" t="str">
        <f t="shared" si="55"/>
        <v/>
      </c>
      <c r="BB45" s="181" t="str">
        <f t="shared" si="20"/>
        <v/>
      </c>
      <c r="BC45" s="181" t="str">
        <f t="shared" si="21"/>
        <v/>
      </c>
      <c r="BD45" s="93" t="str">
        <f t="shared" si="22"/>
        <v/>
      </c>
      <c r="BE45" s="85" t="str">
        <f t="shared" si="23"/>
        <v/>
      </c>
      <c r="BF45" s="86" t="str">
        <f t="shared" si="56"/>
        <v/>
      </c>
      <c r="BG45" s="94" t="str">
        <f t="shared" si="24"/>
        <v/>
      </c>
      <c r="BH45" s="95" t="str">
        <f t="shared" si="57"/>
        <v/>
      </c>
      <c r="BI45" s="95" t="str">
        <f t="shared" si="25"/>
        <v/>
      </c>
      <c r="BJ45" s="96" t="str">
        <f t="shared" si="26"/>
        <v/>
      </c>
      <c r="BK45" s="155" t="str">
        <f t="shared" si="27"/>
        <v/>
      </c>
      <c r="BL45" s="155" t="str">
        <f t="shared" si="28"/>
        <v/>
      </c>
      <c r="BM45" s="338" t="str">
        <f t="shared" si="58"/>
        <v/>
      </c>
      <c r="BN45" s="16" t="str">
        <f t="shared" si="29"/>
        <v/>
      </c>
      <c r="BO45" s="97" t="str">
        <f t="shared" si="59"/>
        <v/>
      </c>
      <c r="BP45" s="16" t="str">
        <f t="shared" si="30"/>
        <v/>
      </c>
      <c r="BQ45" s="97" t="str">
        <f t="shared" si="60"/>
        <v/>
      </c>
      <c r="BR45" s="2" t="str">
        <f t="shared" si="31"/>
        <v/>
      </c>
      <c r="BS45" s="16" t="str">
        <f t="shared" si="61"/>
        <v/>
      </c>
      <c r="BT45" s="16" t="str">
        <f t="shared" si="74"/>
        <v/>
      </c>
      <c r="BU45" s="97" t="str">
        <f t="shared" si="33"/>
        <v/>
      </c>
      <c r="BV45" s="16" t="str">
        <f t="shared" si="34"/>
        <v/>
      </c>
      <c r="BW45" s="97" t="str">
        <f t="shared" si="63"/>
        <v/>
      </c>
      <c r="BX45" s="2" t="str">
        <f t="shared" si="35"/>
        <v/>
      </c>
      <c r="BY45" s="16" t="str">
        <f t="shared" si="64"/>
        <v/>
      </c>
      <c r="BZ45" s="16" t="str">
        <f t="shared" si="36"/>
        <v/>
      </c>
      <c r="CA45" s="97" t="str">
        <f t="shared" si="66"/>
        <v/>
      </c>
      <c r="CB45" s="16" t="str">
        <f t="shared" si="37"/>
        <v/>
      </c>
      <c r="CC45" s="97" t="str">
        <f t="shared" si="67"/>
        <v/>
      </c>
      <c r="CD45" s="2" t="str">
        <f t="shared" si="38"/>
        <v/>
      </c>
    </row>
    <row r="46" spans="1:82" ht="16" hidden="1" x14ac:dyDescent="0.2">
      <c r="A46" s="2"/>
      <c r="B46" s="2">
        <f>B45+1</f>
        <v>39</v>
      </c>
      <c r="C46" s="2" t="b">
        <f t="shared" si="1"/>
        <v>0</v>
      </c>
      <c r="D46" s="2" t="b">
        <f t="shared" si="2"/>
        <v>0</v>
      </c>
      <c r="E46" s="2" t="b">
        <f t="shared" si="3"/>
        <v>0</v>
      </c>
      <c r="F46" s="2" t="b">
        <f t="shared" si="4"/>
        <v>0</v>
      </c>
      <c r="G46" s="2" t="b">
        <f t="shared" si="5"/>
        <v>0</v>
      </c>
      <c r="H46" s="2" t="b">
        <f t="shared" si="6"/>
        <v>0</v>
      </c>
      <c r="I46" s="36" t="b">
        <f t="shared" si="7"/>
        <v>0</v>
      </c>
      <c r="J46" s="135">
        <f t="shared" si="39"/>
        <v>0.84799999999999998</v>
      </c>
      <c r="K46" s="160" t="str">
        <f t="shared" si="8"/>
        <v/>
      </c>
      <c r="L46" s="138">
        <f t="shared" si="40"/>
        <v>0.69333333333333391</v>
      </c>
      <c r="M46" s="217" t="str">
        <f t="shared" si="9"/>
        <v/>
      </c>
      <c r="N46" s="140" t="str">
        <f t="shared" si="41"/>
        <v/>
      </c>
      <c r="O46" s="139" t="str">
        <f t="shared" si="10"/>
        <v/>
      </c>
      <c r="P46" s="139" t="str">
        <f t="shared" si="11"/>
        <v/>
      </c>
      <c r="Q46" s="142" t="str">
        <f t="shared" si="12"/>
        <v/>
      </c>
      <c r="R46" s="82" t="str">
        <f t="shared" si="42"/>
        <v/>
      </c>
      <c r="S46" s="90" t="str">
        <f t="shared" si="43"/>
        <v/>
      </c>
      <c r="T46" s="82" t="str">
        <f t="shared" si="44"/>
        <v/>
      </c>
      <c r="U46" s="90" t="str">
        <f t="shared" si="13"/>
        <v/>
      </c>
      <c r="V46" s="82" t="str">
        <f t="shared" si="45"/>
        <v/>
      </c>
      <c r="W46" s="90" t="str">
        <f t="shared" si="14"/>
        <v/>
      </c>
      <c r="X46" s="132" t="str">
        <f t="shared" si="46"/>
        <v/>
      </c>
      <c r="Y46" s="90" t="str">
        <f t="shared" si="47"/>
        <v/>
      </c>
      <c r="Z46" s="219" t="str">
        <f t="shared" si="48"/>
        <v/>
      </c>
      <c r="AA46" s="219" t="str">
        <f t="shared" si="49"/>
        <v/>
      </c>
      <c r="AB46" s="221" t="str">
        <f t="shared" si="50"/>
        <v/>
      </c>
      <c r="AC46" s="148" t="str">
        <f t="shared" si="15"/>
        <v/>
      </c>
      <c r="AD46" s="148" t="str">
        <f t="shared" si="75"/>
        <v/>
      </c>
      <c r="AE46" s="155" t="str">
        <f t="shared" si="17"/>
        <v/>
      </c>
      <c r="AF46" s="86">
        <f t="shared" si="73"/>
        <v>0</v>
      </c>
      <c r="AG46" s="86">
        <f t="shared" ref="AG46:AU52" si="76">IF(INT($B46/AG$4)=$B46/AG$4,AG$3,0)</f>
        <v>0</v>
      </c>
      <c r="AH46" s="86">
        <f t="shared" si="76"/>
        <v>69</v>
      </c>
      <c r="AI46" s="86">
        <f t="shared" si="76"/>
        <v>99</v>
      </c>
      <c r="AJ46" s="86">
        <f t="shared" si="76"/>
        <v>120</v>
      </c>
      <c r="AK46" s="86">
        <f t="shared" si="76"/>
        <v>0</v>
      </c>
      <c r="AL46" s="86">
        <f t="shared" si="76"/>
        <v>0</v>
      </c>
      <c r="AM46" s="86">
        <f t="shared" si="76"/>
        <v>49.1008</v>
      </c>
      <c r="AN46" s="86">
        <f t="shared" si="76"/>
        <v>0</v>
      </c>
      <c r="AO46" s="86">
        <f t="shared" si="76"/>
        <v>0</v>
      </c>
      <c r="AP46" s="86">
        <f t="shared" si="76"/>
        <v>0</v>
      </c>
      <c r="AQ46" s="86">
        <f t="shared" si="76"/>
        <v>0</v>
      </c>
      <c r="AR46" s="86">
        <f t="shared" si="76"/>
        <v>0</v>
      </c>
      <c r="AS46" s="86">
        <f t="shared" si="76"/>
        <v>0</v>
      </c>
      <c r="AT46" s="86">
        <f t="shared" si="76"/>
        <v>0</v>
      </c>
      <c r="AU46" s="86">
        <f t="shared" si="76"/>
        <v>0</v>
      </c>
      <c r="AV46" s="86">
        <f t="shared" si="51"/>
        <v>337.10079999999999</v>
      </c>
      <c r="AW46" s="91" t="str">
        <f t="shared" si="52"/>
        <v/>
      </c>
      <c r="AX46" s="176" t="str">
        <f t="shared" si="19"/>
        <v/>
      </c>
      <c r="AY46" s="176" t="str">
        <f t="shared" si="53"/>
        <v/>
      </c>
      <c r="AZ46" s="176" t="str">
        <f t="shared" si="54"/>
        <v/>
      </c>
      <c r="BA46" s="92" t="str">
        <f t="shared" si="55"/>
        <v/>
      </c>
      <c r="BB46" s="181" t="str">
        <f t="shared" si="20"/>
        <v/>
      </c>
      <c r="BC46" s="181" t="str">
        <f t="shared" si="21"/>
        <v/>
      </c>
      <c r="BD46" s="93" t="str">
        <f t="shared" si="22"/>
        <v/>
      </c>
      <c r="BE46" s="85" t="str">
        <f t="shared" si="23"/>
        <v/>
      </c>
      <c r="BF46" s="86" t="str">
        <f t="shared" si="56"/>
        <v/>
      </c>
      <c r="BG46" s="94" t="str">
        <f t="shared" si="24"/>
        <v/>
      </c>
      <c r="BH46" s="95" t="str">
        <f t="shared" si="57"/>
        <v/>
      </c>
      <c r="BI46" s="95" t="str">
        <f t="shared" si="25"/>
        <v/>
      </c>
      <c r="BJ46" s="96" t="str">
        <f t="shared" si="26"/>
        <v/>
      </c>
      <c r="BK46" s="155" t="str">
        <f t="shared" si="27"/>
        <v/>
      </c>
      <c r="BL46" s="155" t="str">
        <f t="shared" si="28"/>
        <v/>
      </c>
      <c r="BM46" s="338" t="str">
        <f t="shared" si="58"/>
        <v/>
      </c>
      <c r="BN46" s="16" t="str">
        <f t="shared" si="29"/>
        <v/>
      </c>
      <c r="BO46" s="97" t="str">
        <f t="shared" si="59"/>
        <v/>
      </c>
      <c r="BP46" s="16" t="str">
        <f t="shared" si="30"/>
        <v/>
      </c>
      <c r="BQ46" s="97" t="str">
        <f t="shared" si="60"/>
        <v/>
      </c>
      <c r="BR46" s="2" t="str">
        <f t="shared" si="31"/>
        <v/>
      </c>
      <c r="BS46" s="16" t="str">
        <f t="shared" si="61"/>
        <v/>
      </c>
      <c r="BT46" s="16" t="str">
        <f t="shared" si="74"/>
        <v/>
      </c>
      <c r="BU46" s="97" t="str">
        <f t="shared" si="33"/>
        <v/>
      </c>
      <c r="BV46" s="16" t="str">
        <f t="shared" si="34"/>
        <v/>
      </c>
      <c r="BW46" s="97" t="str">
        <f t="shared" si="63"/>
        <v/>
      </c>
      <c r="BX46" s="2" t="str">
        <f t="shared" si="35"/>
        <v/>
      </c>
      <c r="BY46" s="16" t="str">
        <f t="shared" si="64"/>
        <v/>
      </c>
      <c r="BZ46" s="16" t="str">
        <f t="shared" si="36"/>
        <v/>
      </c>
      <c r="CA46" s="97" t="str">
        <f t="shared" si="66"/>
        <v/>
      </c>
      <c r="CB46" s="16" t="str">
        <f t="shared" si="37"/>
        <v/>
      </c>
      <c r="CC46" s="97" t="str">
        <f t="shared" si="67"/>
        <v/>
      </c>
      <c r="CD46" s="2" t="str">
        <f t="shared" si="38"/>
        <v/>
      </c>
    </row>
    <row r="47" spans="1:82" ht="16" hidden="1" x14ac:dyDescent="0.2">
      <c r="A47" s="2"/>
      <c r="B47" s="2">
        <f t="shared" si="65"/>
        <v>40</v>
      </c>
      <c r="C47" s="2" t="b">
        <f t="shared" si="1"/>
        <v>0</v>
      </c>
      <c r="D47" s="2" t="b">
        <f t="shared" si="2"/>
        <v>0</v>
      </c>
      <c r="E47" s="2" t="b">
        <f t="shared" si="3"/>
        <v>0</v>
      </c>
      <c r="F47" s="2" t="b">
        <f t="shared" si="4"/>
        <v>0</v>
      </c>
      <c r="G47" s="2" t="b">
        <f t="shared" si="5"/>
        <v>0</v>
      </c>
      <c r="H47" s="2" t="b">
        <f t="shared" si="6"/>
        <v>0</v>
      </c>
      <c r="I47" s="36" t="b">
        <f t="shared" si="7"/>
        <v>0</v>
      </c>
      <c r="J47" s="135">
        <f t="shared" si="39"/>
        <v>0.84399999999999997</v>
      </c>
      <c r="K47" s="160" t="str">
        <f t="shared" si="8"/>
        <v/>
      </c>
      <c r="L47" s="138">
        <f t="shared" si="40"/>
        <v>0.6800000000000006</v>
      </c>
      <c r="M47" s="217" t="str">
        <f t="shared" si="9"/>
        <v/>
      </c>
      <c r="N47" s="140" t="str">
        <f t="shared" si="41"/>
        <v/>
      </c>
      <c r="O47" s="139" t="str">
        <f t="shared" si="10"/>
        <v/>
      </c>
      <c r="P47" s="139" t="str">
        <f t="shared" si="11"/>
        <v/>
      </c>
      <c r="Q47" s="142" t="str">
        <f t="shared" si="12"/>
        <v/>
      </c>
      <c r="R47" s="82" t="str">
        <f t="shared" si="42"/>
        <v/>
      </c>
      <c r="S47" s="90" t="str">
        <f t="shared" si="43"/>
        <v/>
      </c>
      <c r="T47" s="82" t="str">
        <f t="shared" si="44"/>
        <v/>
      </c>
      <c r="U47" s="90" t="str">
        <f t="shared" si="13"/>
        <v/>
      </c>
      <c r="V47" s="82" t="str">
        <f t="shared" si="45"/>
        <v/>
      </c>
      <c r="W47" s="90" t="str">
        <f t="shared" si="14"/>
        <v/>
      </c>
      <c r="X47" s="132" t="str">
        <f t="shared" si="46"/>
        <v/>
      </c>
      <c r="Y47" s="90" t="str">
        <f t="shared" si="47"/>
        <v/>
      </c>
      <c r="Z47" s="219" t="str">
        <f t="shared" si="48"/>
        <v/>
      </c>
      <c r="AA47" s="219" t="str">
        <f t="shared" si="49"/>
        <v/>
      </c>
      <c r="AB47" s="221" t="str">
        <f t="shared" si="50"/>
        <v/>
      </c>
      <c r="AC47" s="148" t="str">
        <f t="shared" si="15"/>
        <v/>
      </c>
      <c r="AD47" s="148" t="str">
        <f t="shared" si="75"/>
        <v/>
      </c>
      <c r="AE47" s="155" t="str">
        <f t="shared" si="17"/>
        <v/>
      </c>
      <c r="AF47" s="86">
        <f t="shared" si="73"/>
        <v>830.68799999999999</v>
      </c>
      <c r="AG47" s="86">
        <f t="shared" si="76"/>
        <v>0</v>
      </c>
      <c r="AH47" s="86">
        <f t="shared" si="76"/>
        <v>69</v>
      </c>
      <c r="AI47" s="86">
        <f t="shared" si="76"/>
        <v>99</v>
      </c>
      <c r="AJ47" s="86">
        <f t="shared" si="76"/>
        <v>120</v>
      </c>
      <c r="AK47" s="86">
        <f t="shared" si="76"/>
        <v>0</v>
      </c>
      <c r="AL47" s="86">
        <f t="shared" si="76"/>
        <v>0</v>
      </c>
      <c r="AM47" s="86">
        <f t="shared" si="76"/>
        <v>49.1008</v>
      </c>
      <c r="AN47" s="86">
        <f t="shared" si="76"/>
        <v>1215.3440000000001</v>
      </c>
      <c r="AO47" s="86">
        <f t="shared" si="76"/>
        <v>1056.25</v>
      </c>
      <c r="AP47" s="86">
        <f t="shared" si="76"/>
        <v>0</v>
      </c>
      <c r="AQ47" s="86">
        <f t="shared" si="76"/>
        <v>0</v>
      </c>
      <c r="AR47" s="86">
        <f t="shared" si="76"/>
        <v>0</v>
      </c>
      <c r="AS47" s="86">
        <f t="shared" si="76"/>
        <v>0</v>
      </c>
      <c r="AT47" s="86">
        <f t="shared" si="76"/>
        <v>0</v>
      </c>
      <c r="AU47" s="86">
        <f t="shared" si="76"/>
        <v>0</v>
      </c>
      <c r="AV47" s="86">
        <f t="shared" si="51"/>
        <v>3439.3828000000003</v>
      </c>
      <c r="AW47" s="91" t="str">
        <f t="shared" si="52"/>
        <v/>
      </c>
      <c r="AX47" s="176" t="str">
        <f t="shared" si="19"/>
        <v/>
      </c>
      <c r="AY47" s="176" t="str">
        <f t="shared" si="53"/>
        <v/>
      </c>
      <c r="AZ47" s="176" t="str">
        <f t="shared" si="54"/>
        <v/>
      </c>
      <c r="BA47" s="92" t="str">
        <f t="shared" si="55"/>
        <v/>
      </c>
      <c r="BB47" s="181" t="str">
        <f t="shared" si="20"/>
        <v/>
      </c>
      <c r="BC47" s="181" t="str">
        <f t="shared" si="21"/>
        <v/>
      </c>
      <c r="BD47" s="93" t="str">
        <f t="shared" si="22"/>
        <v/>
      </c>
      <c r="BE47" s="85" t="str">
        <f t="shared" si="23"/>
        <v/>
      </c>
      <c r="BF47" s="86" t="str">
        <f t="shared" si="56"/>
        <v/>
      </c>
      <c r="BG47" s="94" t="str">
        <f t="shared" si="24"/>
        <v/>
      </c>
      <c r="BH47" s="95" t="str">
        <f t="shared" si="57"/>
        <v/>
      </c>
      <c r="BI47" s="95" t="str">
        <f t="shared" si="25"/>
        <v/>
      </c>
      <c r="BJ47" s="96" t="str">
        <f t="shared" si="26"/>
        <v/>
      </c>
      <c r="BK47" s="155" t="str">
        <f t="shared" si="27"/>
        <v/>
      </c>
      <c r="BL47" s="155" t="str">
        <f t="shared" si="28"/>
        <v/>
      </c>
      <c r="BM47" s="338" t="str">
        <f t="shared" si="58"/>
        <v/>
      </c>
      <c r="BN47" s="16" t="str">
        <f t="shared" si="29"/>
        <v/>
      </c>
      <c r="BO47" s="97" t="str">
        <f t="shared" si="59"/>
        <v/>
      </c>
      <c r="BP47" s="16" t="str">
        <f t="shared" si="30"/>
        <v/>
      </c>
      <c r="BQ47" s="97" t="str">
        <f t="shared" si="60"/>
        <v/>
      </c>
      <c r="BR47" s="2" t="str">
        <f t="shared" si="31"/>
        <v/>
      </c>
      <c r="BS47" s="16" t="str">
        <f t="shared" si="61"/>
        <v/>
      </c>
      <c r="BT47" s="16" t="str">
        <f t="shared" si="74"/>
        <v/>
      </c>
      <c r="BU47" s="97" t="str">
        <f t="shared" si="33"/>
        <v/>
      </c>
      <c r="BV47" s="16" t="str">
        <f t="shared" si="34"/>
        <v/>
      </c>
      <c r="BW47" s="97" t="str">
        <f t="shared" si="63"/>
        <v/>
      </c>
      <c r="BX47" s="2" t="str">
        <f t="shared" si="35"/>
        <v/>
      </c>
      <c r="BY47" s="16" t="str">
        <f t="shared" si="64"/>
        <v/>
      </c>
      <c r="BZ47" s="16" t="str">
        <f t="shared" si="36"/>
        <v/>
      </c>
      <c r="CA47" s="97" t="str">
        <f t="shared" si="66"/>
        <v/>
      </c>
      <c r="CB47" s="16" t="str">
        <f t="shared" si="37"/>
        <v/>
      </c>
      <c r="CC47" s="97" t="str">
        <f t="shared" si="67"/>
        <v/>
      </c>
      <c r="CD47" s="2" t="str">
        <f t="shared" si="38"/>
        <v/>
      </c>
    </row>
    <row r="48" spans="1:82" ht="16" hidden="1" x14ac:dyDescent="0.2">
      <c r="A48" s="2"/>
      <c r="B48" s="2">
        <f t="shared" si="65"/>
        <v>41</v>
      </c>
      <c r="C48" s="2" t="b">
        <f t="shared" si="1"/>
        <v>0</v>
      </c>
      <c r="D48" s="2" t="b">
        <f t="shared" si="2"/>
        <v>0</v>
      </c>
      <c r="E48" s="2" t="b">
        <f t="shared" si="3"/>
        <v>0</v>
      </c>
      <c r="F48" s="2" t="b">
        <f t="shared" si="4"/>
        <v>0</v>
      </c>
      <c r="G48" s="2" t="b">
        <f t="shared" si="5"/>
        <v>0</v>
      </c>
      <c r="H48" s="2" t="b">
        <f t="shared" si="6"/>
        <v>0</v>
      </c>
      <c r="I48" s="36" t="b">
        <f t="shared" si="7"/>
        <v>0</v>
      </c>
      <c r="J48" s="135">
        <f t="shared" si="39"/>
        <v>0.84</v>
      </c>
      <c r="K48" s="160" t="str">
        <f t="shared" si="8"/>
        <v/>
      </c>
      <c r="L48" s="138">
        <f t="shared" si="40"/>
        <v>0.6666666666666673</v>
      </c>
      <c r="M48" s="217" t="str">
        <f t="shared" si="9"/>
        <v/>
      </c>
      <c r="N48" s="140" t="str">
        <f t="shared" si="41"/>
        <v/>
      </c>
      <c r="O48" s="139" t="str">
        <f t="shared" si="10"/>
        <v/>
      </c>
      <c r="P48" s="139" t="str">
        <f t="shared" si="11"/>
        <v/>
      </c>
      <c r="Q48" s="142" t="str">
        <f t="shared" si="12"/>
        <v/>
      </c>
      <c r="R48" s="82" t="str">
        <f t="shared" si="42"/>
        <v/>
      </c>
      <c r="S48" s="90" t="str">
        <f t="shared" si="43"/>
        <v/>
      </c>
      <c r="T48" s="82" t="str">
        <f t="shared" si="44"/>
        <v/>
      </c>
      <c r="U48" s="90" t="str">
        <f t="shared" si="13"/>
        <v/>
      </c>
      <c r="V48" s="82" t="str">
        <f t="shared" si="45"/>
        <v/>
      </c>
      <c r="W48" s="90" t="str">
        <f t="shared" si="14"/>
        <v/>
      </c>
      <c r="X48" s="132" t="str">
        <f t="shared" si="46"/>
        <v/>
      </c>
      <c r="Y48" s="90" t="str">
        <f t="shared" si="47"/>
        <v/>
      </c>
      <c r="Z48" s="219" t="str">
        <f t="shared" si="48"/>
        <v/>
      </c>
      <c r="AA48" s="219" t="str">
        <f t="shared" si="49"/>
        <v/>
      </c>
      <c r="AB48" s="221" t="str">
        <f t="shared" si="50"/>
        <v/>
      </c>
      <c r="AC48" s="148" t="str">
        <f t="shared" si="15"/>
        <v/>
      </c>
      <c r="AD48" s="148" t="str">
        <f t="shared" si="75"/>
        <v/>
      </c>
      <c r="AE48" s="155" t="str">
        <f t="shared" si="17"/>
        <v/>
      </c>
      <c r="AF48" s="86">
        <f t="shared" si="73"/>
        <v>0</v>
      </c>
      <c r="AG48" s="86">
        <f t="shared" si="76"/>
        <v>0</v>
      </c>
      <c r="AH48" s="86">
        <f t="shared" si="76"/>
        <v>69</v>
      </c>
      <c r="AI48" s="86">
        <f t="shared" si="76"/>
        <v>99</v>
      </c>
      <c r="AJ48" s="86">
        <f t="shared" si="76"/>
        <v>120</v>
      </c>
      <c r="AK48" s="86">
        <f t="shared" si="76"/>
        <v>0</v>
      </c>
      <c r="AL48" s="86">
        <f t="shared" si="76"/>
        <v>0</v>
      </c>
      <c r="AM48" s="86">
        <f t="shared" si="76"/>
        <v>49.1008</v>
      </c>
      <c r="AN48" s="86">
        <f t="shared" si="76"/>
        <v>0</v>
      </c>
      <c r="AO48" s="86">
        <f t="shared" si="76"/>
        <v>0</v>
      </c>
      <c r="AP48" s="86">
        <f t="shared" si="76"/>
        <v>0</v>
      </c>
      <c r="AQ48" s="86">
        <f t="shared" si="76"/>
        <v>0</v>
      </c>
      <c r="AR48" s="86">
        <f t="shared" si="76"/>
        <v>0</v>
      </c>
      <c r="AS48" s="86">
        <f t="shared" si="76"/>
        <v>0</v>
      </c>
      <c r="AT48" s="86">
        <f t="shared" si="76"/>
        <v>0</v>
      </c>
      <c r="AU48" s="86">
        <f t="shared" si="76"/>
        <v>0</v>
      </c>
      <c r="AV48" s="86">
        <f t="shared" si="51"/>
        <v>337.10079999999999</v>
      </c>
      <c r="AW48" s="91" t="str">
        <f t="shared" si="52"/>
        <v/>
      </c>
      <c r="AX48" s="176" t="str">
        <f t="shared" si="19"/>
        <v/>
      </c>
      <c r="AY48" s="176" t="str">
        <f t="shared" si="53"/>
        <v/>
      </c>
      <c r="AZ48" s="176" t="str">
        <f t="shared" si="54"/>
        <v/>
      </c>
      <c r="BA48" s="92" t="str">
        <f t="shared" si="55"/>
        <v/>
      </c>
      <c r="BB48" s="181" t="str">
        <f t="shared" si="20"/>
        <v/>
      </c>
      <c r="BC48" s="181" t="str">
        <f t="shared" si="21"/>
        <v/>
      </c>
      <c r="BD48" s="93" t="str">
        <f t="shared" si="22"/>
        <v/>
      </c>
      <c r="BE48" s="85" t="str">
        <f t="shared" si="23"/>
        <v/>
      </c>
      <c r="BF48" s="86" t="str">
        <f t="shared" si="56"/>
        <v/>
      </c>
      <c r="BG48" s="94" t="str">
        <f t="shared" si="24"/>
        <v/>
      </c>
      <c r="BH48" s="95" t="str">
        <f t="shared" si="57"/>
        <v/>
      </c>
      <c r="BI48" s="95" t="str">
        <f t="shared" si="25"/>
        <v/>
      </c>
      <c r="BJ48" s="96" t="str">
        <f t="shared" si="26"/>
        <v/>
      </c>
      <c r="BK48" s="155" t="str">
        <f t="shared" si="27"/>
        <v/>
      </c>
      <c r="BL48" s="155" t="str">
        <f t="shared" si="28"/>
        <v/>
      </c>
      <c r="BM48" s="338" t="str">
        <f t="shared" si="58"/>
        <v/>
      </c>
      <c r="BN48" s="16" t="str">
        <f t="shared" si="29"/>
        <v/>
      </c>
      <c r="BO48" s="97" t="str">
        <f t="shared" si="59"/>
        <v/>
      </c>
      <c r="BP48" s="16" t="str">
        <f t="shared" si="30"/>
        <v/>
      </c>
      <c r="BQ48" s="97" t="str">
        <f t="shared" si="60"/>
        <v/>
      </c>
      <c r="BR48" s="2" t="str">
        <f t="shared" si="31"/>
        <v/>
      </c>
      <c r="BS48" s="16" t="str">
        <f t="shared" si="61"/>
        <v/>
      </c>
      <c r="BT48" s="16" t="str">
        <f t="shared" si="74"/>
        <v/>
      </c>
      <c r="BU48" s="97" t="str">
        <f t="shared" si="33"/>
        <v/>
      </c>
      <c r="BV48" s="16" t="str">
        <f t="shared" si="34"/>
        <v/>
      </c>
      <c r="BW48" s="97" t="str">
        <f t="shared" si="63"/>
        <v/>
      </c>
      <c r="BX48" s="2" t="str">
        <f t="shared" si="35"/>
        <v/>
      </c>
      <c r="BY48" s="16" t="str">
        <f t="shared" si="64"/>
        <v/>
      </c>
      <c r="BZ48" s="16" t="str">
        <f t="shared" si="36"/>
        <v/>
      </c>
      <c r="CA48" s="97" t="str">
        <f t="shared" si="66"/>
        <v/>
      </c>
      <c r="CB48" s="16" t="str">
        <f t="shared" si="37"/>
        <v/>
      </c>
      <c r="CC48" s="97" t="str">
        <f t="shared" si="67"/>
        <v/>
      </c>
      <c r="CD48" s="2" t="str">
        <f t="shared" si="38"/>
        <v/>
      </c>
    </row>
    <row r="49" spans="1:82" ht="16" hidden="1" x14ac:dyDescent="0.2">
      <c r="A49" s="2"/>
      <c r="B49" s="2">
        <f t="shared" si="65"/>
        <v>42</v>
      </c>
      <c r="C49" s="2" t="b">
        <f t="shared" si="1"/>
        <v>0</v>
      </c>
      <c r="D49" s="2" t="b">
        <f t="shared" si="2"/>
        <v>0</v>
      </c>
      <c r="E49" s="2" t="b">
        <f t="shared" si="3"/>
        <v>0</v>
      </c>
      <c r="F49" s="2" t="b">
        <f t="shared" si="4"/>
        <v>0</v>
      </c>
      <c r="G49" s="2" t="b">
        <f t="shared" si="5"/>
        <v>0</v>
      </c>
      <c r="H49" s="2" t="b">
        <f t="shared" si="6"/>
        <v>0</v>
      </c>
      <c r="I49" s="36" t="b">
        <f t="shared" si="7"/>
        <v>0</v>
      </c>
      <c r="J49" s="135">
        <f t="shared" si="39"/>
        <v>0.83599999999999997</v>
      </c>
      <c r="K49" s="160" t="str">
        <f t="shared" si="8"/>
        <v/>
      </c>
      <c r="L49" s="138">
        <f t="shared" si="40"/>
        <v>0.65333333333333399</v>
      </c>
      <c r="M49" s="217" t="str">
        <f t="shared" si="9"/>
        <v/>
      </c>
      <c r="N49" s="140" t="str">
        <f t="shared" si="41"/>
        <v/>
      </c>
      <c r="O49" s="139" t="str">
        <f t="shared" si="10"/>
        <v/>
      </c>
      <c r="P49" s="139" t="str">
        <f t="shared" si="11"/>
        <v/>
      </c>
      <c r="Q49" s="142" t="str">
        <f t="shared" si="12"/>
        <v/>
      </c>
      <c r="R49" s="82" t="str">
        <f t="shared" si="42"/>
        <v/>
      </c>
      <c r="S49" s="90" t="str">
        <f t="shared" si="43"/>
        <v/>
      </c>
      <c r="T49" s="82" t="str">
        <f t="shared" si="44"/>
        <v/>
      </c>
      <c r="U49" s="90" t="str">
        <f t="shared" si="13"/>
        <v/>
      </c>
      <c r="V49" s="82" t="str">
        <f t="shared" si="45"/>
        <v/>
      </c>
      <c r="W49" s="90" t="str">
        <f t="shared" si="14"/>
        <v/>
      </c>
      <c r="X49" s="132" t="str">
        <f t="shared" si="46"/>
        <v/>
      </c>
      <c r="Y49" s="90" t="str">
        <f t="shared" si="47"/>
        <v/>
      </c>
      <c r="Z49" s="219" t="str">
        <f t="shared" si="48"/>
        <v/>
      </c>
      <c r="AA49" s="219" t="str">
        <f t="shared" si="49"/>
        <v/>
      </c>
      <c r="AB49" s="221" t="str">
        <f t="shared" si="50"/>
        <v/>
      </c>
      <c r="AC49" s="148" t="str">
        <f t="shared" si="15"/>
        <v/>
      </c>
      <c r="AD49" s="148" t="str">
        <f t="shared" si="75"/>
        <v/>
      </c>
      <c r="AE49" s="155" t="str">
        <f t="shared" si="17"/>
        <v/>
      </c>
      <c r="AF49" s="86">
        <f t="shared" si="73"/>
        <v>0</v>
      </c>
      <c r="AG49" s="86">
        <f t="shared" si="76"/>
        <v>0</v>
      </c>
      <c r="AH49" s="86">
        <f t="shared" si="76"/>
        <v>69</v>
      </c>
      <c r="AI49" s="86">
        <f t="shared" si="76"/>
        <v>99</v>
      </c>
      <c r="AJ49" s="86">
        <f t="shared" si="76"/>
        <v>120</v>
      </c>
      <c r="AK49" s="86">
        <f t="shared" si="76"/>
        <v>0</v>
      </c>
      <c r="AL49" s="86">
        <f t="shared" si="76"/>
        <v>0</v>
      </c>
      <c r="AM49" s="86">
        <f t="shared" si="76"/>
        <v>49.1008</v>
      </c>
      <c r="AN49" s="86">
        <f t="shared" si="76"/>
        <v>0</v>
      </c>
      <c r="AO49" s="86">
        <f t="shared" si="76"/>
        <v>0</v>
      </c>
      <c r="AP49" s="86">
        <f t="shared" si="76"/>
        <v>0</v>
      </c>
      <c r="AQ49" s="86">
        <f t="shared" si="76"/>
        <v>0</v>
      </c>
      <c r="AR49" s="86">
        <f t="shared" si="76"/>
        <v>0</v>
      </c>
      <c r="AS49" s="86">
        <f t="shared" si="76"/>
        <v>0</v>
      </c>
      <c r="AT49" s="86">
        <f t="shared" si="76"/>
        <v>0</v>
      </c>
      <c r="AU49" s="86">
        <f t="shared" si="76"/>
        <v>0</v>
      </c>
      <c r="AV49" s="86">
        <f t="shared" si="51"/>
        <v>337.10079999999999</v>
      </c>
      <c r="AW49" s="91" t="str">
        <f t="shared" si="52"/>
        <v/>
      </c>
      <c r="AX49" s="176" t="str">
        <f t="shared" si="19"/>
        <v/>
      </c>
      <c r="AY49" s="176" t="str">
        <f t="shared" si="53"/>
        <v/>
      </c>
      <c r="AZ49" s="176" t="str">
        <f t="shared" si="54"/>
        <v/>
      </c>
      <c r="BA49" s="92" t="str">
        <f t="shared" si="55"/>
        <v/>
      </c>
      <c r="BB49" s="181" t="str">
        <f t="shared" si="20"/>
        <v/>
      </c>
      <c r="BC49" s="181" t="str">
        <f t="shared" si="21"/>
        <v/>
      </c>
      <c r="BD49" s="93" t="str">
        <f t="shared" si="22"/>
        <v/>
      </c>
      <c r="BE49" s="85" t="str">
        <f t="shared" si="23"/>
        <v/>
      </c>
      <c r="BF49" s="86" t="str">
        <f t="shared" si="56"/>
        <v/>
      </c>
      <c r="BG49" s="94" t="str">
        <f t="shared" si="24"/>
        <v/>
      </c>
      <c r="BH49" s="95" t="str">
        <f t="shared" si="57"/>
        <v/>
      </c>
      <c r="BI49" s="95" t="str">
        <f t="shared" si="25"/>
        <v/>
      </c>
      <c r="BJ49" s="96" t="str">
        <f t="shared" si="26"/>
        <v/>
      </c>
      <c r="BK49" s="155" t="str">
        <f t="shared" si="27"/>
        <v/>
      </c>
      <c r="BL49" s="155" t="str">
        <f t="shared" si="28"/>
        <v/>
      </c>
      <c r="BM49" s="338" t="str">
        <f t="shared" si="58"/>
        <v/>
      </c>
      <c r="BN49" s="16" t="str">
        <f t="shared" si="29"/>
        <v/>
      </c>
      <c r="BO49" s="97" t="str">
        <f t="shared" si="59"/>
        <v/>
      </c>
      <c r="BP49" s="16" t="str">
        <f t="shared" si="30"/>
        <v/>
      </c>
      <c r="BQ49" s="97" t="str">
        <f t="shared" si="60"/>
        <v/>
      </c>
      <c r="BR49" s="2" t="str">
        <f t="shared" si="31"/>
        <v/>
      </c>
      <c r="BS49" s="16" t="str">
        <f t="shared" si="61"/>
        <v/>
      </c>
      <c r="BT49" s="16" t="str">
        <f t="shared" si="74"/>
        <v/>
      </c>
      <c r="BU49" s="97" t="str">
        <f t="shared" si="33"/>
        <v/>
      </c>
      <c r="BV49" s="16" t="str">
        <f t="shared" si="34"/>
        <v/>
      </c>
      <c r="BW49" s="97" t="str">
        <f t="shared" si="63"/>
        <v/>
      </c>
      <c r="BX49" s="2" t="str">
        <f t="shared" si="35"/>
        <v/>
      </c>
      <c r="BY49" s="16" t="str">
        <f t="shared" si="64"/>
        <v/>
      </c>
      <c r="BZ49" s="16" t="str">
        <f t="shared" si="36"/>
        <v/>
      </c>
      <c r="CA49" s="97" t="str">
        <f t="shared" si="66"/>
        <v/>
      </c>
      <c r="CB49" s="16" t="str">
        <f t="shared" si="37"/>
        <v/>
      </c>
      <c r="CC49" s="97" t="str">
        <f t="shared" si="67"/>
        <v/>
      </c>
      <c r="CD49" s="2" t="str">
        <f t="shared" si="38"/>
        <v/>
      </c>
    </row>
    <row r="50" spans="1:82" ht="16" hidden="1" x14ac:dyDescent="0.2">
      <c r="A50" s="2"/>
      <c r="B50" s="2">
        <f t="shared" si="65"/>
        <v>43</v>
      </c>
      <c r="C50" s="2" t="b">
        <f t="shared" si="1"/>
        <v>0</v>
      </c>
      <c r="D50" s="2" t="b">
        <f t="shared" si="2"/>
        <v>0</v>
      </c>
      <c r="E50" s="2" t="b">
        <f t="shared" si="3"/>
        <v>0</v>
      </c>
      <c r="F50" s="2" t="b">
        <f t="shared" si="4"/>
        <v>0</v>
      </c>
      <c r="G50" s="2" t="b">
        <f t="shared" si="5"/>
        <v>0</v>
      </c>
      <c r="H50" s="2" t="b">
        <f t="shared" si="6"/>
        <v>0</v>
      </c>
      <c r="I50" s="36" t="b">
        <f t="shared" si="7"/>
        <v>0</v>
      </c>
      <c r="J50" s="135">
        <f t="shared" si="39"/>
        <v>0.83199999999999996</v>
      </c>
      <c r="K50" s="160" t="str">
        <f t="shared" si="8"/>
        <v/>
      </c>
      <c r="L50" s="138">
        <f t="shared" si="40"/>
        <v>0.64000000000000068</v>
      </c>
      <c r="M50" s="217" t="str">
        <f t="shared" si="9"/>
        <v/>
      </c>
      <c r="N50" s="140" t="str">
        <f t="shared" si="41"/>
        <v/>
      </c>
      <c r="O50" s="139" t="str">
        <f t="shared" si="10"/>
        <v/>
      </c>
      <c r="P50" s="139" t="str">
        <f t="shared" si="11"/>
        <v/>
      </c>
      <c r="Q50" s="142" t="str">
        <f t="shared" si="12"/>
        <v/>
      </c>
      <c r="R50" s="82" t="str">
        <f t="shared" si="42"/>
        <v/>
      </c>
      <c r="S50" s="90" t="str">
        <f t="shared" si="43"/>
        <v/>
      </c>
      <c r="T50" s="82" t="str">
        <f t="shared" si="44"/>
        <v/>
      </c>
      <c r="U50" s="90" t="str">
        <f t="shared" si="13"/>
        <v/>
      </c>
      <c r="V50" s="82" t="str">
        <f t="shared" si="45"/>
        <v/>
      </c>
      <c r="W50" s="90" t="str">
        <f t="shared" si="14"/>
        <v/>
      </c>
      <c r="X50" s="132" t="str">
        <f t="shared" si="46"/>
        <v/>
      </c>
      <c r="Y50" s="90" t="str">
        <f t="shared" si="47"/>
        <v/>
      </c>
      <c r="Z50" s="219" t="str">
        <f t="shared" si="48"/>
        <v/>
      </c>
      <c r="AA50" s="219" t="str">
        <f t="shared" si="49"/>
        <v/>
      </c>
      <c r="AB50" s="221" t="str">
        <f t="shared" si="50"/>
        <v/>
      </c>
      <c r="AC50" s="148" t="str">
        <f t="shared" si="15"/>
        <v/>
      </c>
      <c r="AD50" s="148" t="str">
        <f t="shared" si="75"/>
        <v/>
      </c>
      <c r="AE50" s="155" t="str">
        <f t="shared" si="17"/>
        <v/>
      </c>
      <c r="AF50" s="86">
        <f t="shared" si="73"/>
        <v>0</v>
      </c>
      <c r="AG50" s="86">
        <f t="shared" si="76"/>
        <v>0</v>
      </c>
      <c r="AH50" s="86">
        <f t="shared" si="76"/>
        <v>69</v>
      </c>
      <c r="AI50" s="86">
        <f t="shared" si="76"/>
        <v>99</v>
      </c>
      <c r="AJ50" s="86">
        <f t="shared" si="76"/>
        <v>120</v>
      </c>
      <c r="AK50" s="86">
        <f t="shared" si="76"/>
        <v>0</v>
      </c>
      <c r="AL50" s="86">
        <f t="shared" si="76"/>
        <v>0</v>
      </c>
      <c r="AM50" s="86">
        <f t="shared" si="76"/>
        <v>49.1008</v>
      </c>
      <c r="AN50" s="86">
        <f t="shared" si="76"/>
        <v>0</v>
      </c>
      <c r="AO50" s="86">
        <f t="shared" si="76"/>
        <v>0</v>
      </c>
      <c r="AP50" s="86">
        <f t="shared" si="76"/>
        <v>0</v>
      </c>
      <c r="AQ50" s="86">
        <f t="shared" si="76"/>
        <v>0</v>
      </c>
      <c r="AR50" s="86">
        <f t="shared" si="76"/>
        <v>0</v>
      </c>
      <c r="AS50" s="86">
        <f t="shared" si="76"/>
        <v>0</v>
      </c>
      <c r="AT50" s="86">
        <f t="shared" si="76"/>
        <v>0</v>
      </c>
      <c r="AU50" s="86">
        <f t="shared" si="76"/>
        <v>0</v>
      </c>
      <c r="AV50" s="86">
        <f t="shared" si="51"/>
        <v>337.10079999999999</v>
      </c>
      <c r="AW50" s="91" t="str">
        <f t="shared" si="52"/>
        <v/>
      </c>
      <c r="AX50" s="176" t="str">
        <f t="shared" si="19"/>
        <v/>
      </c>
      <c r="AY50" s="176" t="str">
        <f t="shared" si="53"/>
        <v/>
      </c>
      <c r="AZ50" s="176" t="str">
        <f t="shared" si="54"/>
        <v/>
      </c>
      <c r="BA50" s="92" t="str">
        <f t="shared" si="55"/>
        <v/>
      </c>
      <c r="BB50" s="181" t="str">
        <f t="shared" si="20"/>
        <v/>
      </c>
      <c r="BC50" s="181" t="str">
        <f t="shared" si="21"/>
        <v/>
      </c>
      <c r="BD50" s="93" t="str">
        <f t="shared" si="22"/>
        <v/>
      </c>
      <c r="BE50" s="85" t="str">
        <f t="shared" si="23"/>
        <v/>
      </c>
      <c r="BF50" s="86" t="str">
        <f t="shared" si="56"/>
        <v/>
      </c>
      <c r="BG50" s="94" t="str">
        <f t="shared" si="24"/>
        <v/>
      </c>
      <c r="BH50" s="95" t="str">
        <f t="shared" si="57"/>
        <v/>
      </c>
      <c r="BI50" s="95" t="str">
        <f t="shared" si="25"/>
        <v/>
      </c>
      <c r="BJ50" s="96" t="str">
        <f t="shared" si="26"/>
        <v/>
      </c>
      <c r="BK50" s="155" t="str">
        <f t="shared" si="27"/>
        <v/>
      </c>
      <c r="BL50" s="155" t="str">
        <f t="shared" si="28"/>
        <v/>
      </c>
      <c r="BM50" s="338" t="str">
        <f t="shared" si="58"/>
        <v/>
      </c>
      <c r="BN50" s="16" t="str">
        <f t="shared" si="29"/>
        <v/>
      </c>
      <c r="BO50" s="97" t="str">
        <f t="shared" si="59"/>
        <v/>
      </c>
      <c r="BP50" s="16" t="str">
        <f t="shared" si="30"/>
        <v/>
      </c>
      <c r="BQ50" s="97" t="str">
        <f t="shared" si="60"/>
        <v/>
      </c>
      <c r="BR50" s="2" t="str">
        <f t="shared" si="31"/>
        <v/>
      </c>
      <c r="BS50" s="16" t="str">
        <f t="shared" si="61"/>
        <v/>
      </c>
      <c r="BT50" s="16" t="str">
        <f t="shared" si="74"/>
        <v/>
      </c>
      <c r="BU50" s="97" t="str">
        <f t="shared" si="33"/>
        <v/>
      </c>
      <c r="BV50" s="16" t="str">
        <f t="shared" si="34"/>
        <v/>
      </c>
      <c r="BW50" s="97" t="str">
        <f t="shared" si="63"/>
        <v/>
      </c>
      <c r="BX50" s="2" t="str">
        <f t="shared" si="35"/>
        <v/>
      </c>
      <c r="BY50" s="16" t="str">
        <f t="shared" si="64"/>
        <v/>
      </c>
      <c r="BZ50" s="16" t="str">
        <f t="shared" si="36"/>
        <v/>
      </c>
      <c r="CA50" s="97" t="str">
        <f t="shared" si="66"/>
        <v/>
      </c>
      <c r="CB50" s="16" t="str">
        <f t="shared" si="37"/>
        <v/>
      </c>
      <c r="CC50" s="97" t="str">
        <f t="shared" si="67"/>
        <v/>
      </c>
      <c r="CD50" s="2" t="str">
        <f t="shared" si="38"/>
        <v/>
      </c>
    </row>
    <row r="51" spans="1:82" ht="16" hidden="1" x14ac:dyDescent="0.2">
      <c r="A51" s="2"/>
      <c r="B51" s="2">
        <f t="shared" si="65"/>
        <v>44</v>
      </c>
      <c r="C51" s="2" t="b">
        <f t="shared" si="1"/>
        <v>0</v>
      </c>
      <c r="D51" s="2" t="b">
        <f t="shared" si="2"/>
        <v>0</v>
      </c>
      <c r="E51" s="2" t="b">
        <f t="shared" si="3"/>
        <v>0</v>
      </c>
      <c r="F51" s="2" t="b">
        <f t="shared" si="4"/>
        <v>0</v>
      </c>
      <c r="G51" s="2" t="b">
        <f t="shared" si="5"/>
        <v>0</v>
      </c>
      <c r="H51" s="2" t="b">
        <f t="shared" si="6"/>
        <v>0</v>
      </c>
      <c r="I51" s="36" t="b">
        <f t="shared" si="7"/>
        <v>0</v>
      </c>
      <c r="J51" s="135">
        <f t="shared" si="39"/>
        <v>0.82800000000000007</v>
      </c>
      <c r="K51" s="160" t="str">
        <f t="shared" si="8"/>
        <v/>
      </c>
      <c r="L51" s="138">
        <f t="shared" si="40"/>
        <v>0.62666666666666737</v>
      </c>
      <c r="M51" s="217" t="str">
        <f t="shared" si="9"/>
        <v/>
      </c>
      <c r="N51" s="140" t="str">
        <f t="shared" si="41"/>
        <v/>
      </c>
      <c r="O51" s="139" t="str">
        <f t="shared" si="10"/>
        <v/>
      </c>
      <c r="P51" s="139" t="str">
        <f t="shared" si="11"/>
        <v/>
      </c>
      <c r="Q51" s="142" t="str">
        <f t="shared" si="12"/>
        <v/>
      </c>
      <c r="R51" s="82" t="str">
        <f t="shared" si="42"/>
        <v/>
      </c>
      <c r="S51" s="90" t="str">
        <f t="shared" si="43"/>
        <v/>
      </c>
      <c r="T51" s="82" t="str">
        <f t="shared" si="44"/>
        <v/>
      </c>
      <c r="U51" s="90" t="str">
        <f t="shared" si="13"/>
        <v/>
      </c>
      <c r="V51" s="82" t="str">
        <f t="shared" si="45"/>
        <v/>
      </c>
      <c r="W51" s="90" t="str">
        <f t="shared" si="14"/>
        <v/>
      </c>
      <c r="X51" s="132" t="str">
        <f t="shared" si="46"/>
        <v/>
      </c>
      <c r="Y51" s="90" t="str">
        <f t="shared" si="47"/>
        <v/>
      </c>
      <c r="Z51" s="219" t="str">
        <f t="shared" si="48"/>
        <v/>
      </c>
      <c r="AA51" s="219" t="str">
        <f t="shared" si="49"/>
        <v/>
      </c>
      <c r="AB51" s="221" t="str">
        <f t="shared" si="50"/>
        <v/>
      </c>
      <c r="AC51" s="148" t="str">
        <f t="shared" si="15"/>
        <v/>
      </c>
      <c r="AD51" s="148" t="str">
        <f t="shared" si="75"/>
        <v/>
      </c>
      <c r="AE51" s="155" t="str">
        <f t="shared" si="17"/>
        <v/>
      </c>
      <c r="AF51" s="86">
        <f t="shared" si="73"/>
        <v>0</v>
      </c>
      <c r="AG51" s="86">
        <f t="shared" si="76"/>
        <v>0</v>
      </c>
      <c r="AH51" s="86">
        <f t="shared" si="76"/>
        <v>69</v>
      </c>
      <c r="AI51" s="86">
        <f t="shared" si="76"/>
        <v>99</v>
      </c>
      <c r="AJ51" s="86">
        <f t="shared" si="76"/>
        <v>120</v>
      </c>
      <c r="AK51" s="86">
        <f t="shared" si="76"/>
        <v>0</v>
      </c>
      <c r="AL51" s="86">
        <f t="shared" si="76"/>
        <v>0</v>
      </c>
      <c r="AM51" s="86">
        <f t="shared" si="76"/>
        <v>49.1008</v>
      </c>
      <c r="AN51" s="86">
        <f t="shared" si="76"/>
        <v>0</v>
      </c>
      <c r="AO51" s="86">
        <f t="shared" si="76"/>
        <v>0</v>
      </c>
      <c r="AP51" s="86">
        <f t="shared" si="76"/>
        <v>0</v>
      </c>
      <c r="AQ51" s="86">
        <f t="shared" si="76"/>
        <v>0</v>
      </c>
      <c r="AR51" s="86">
        <f t="shared" si="76"/>
        <v>0</v>
      </c>
      <c r="AS51" s="86">
        <f t="shared" si="76"/>
        <v>0</v>
      </c>
      <c r="AT51" s="86">
        <f t="shared" si="76"/>
        <v>0</v>
      </c>
      <c r="AU51" s="86">
        <f t="shared" si="76"/>
        <v>0</v>
      </c>
      <c r="AV51" s="86">
        <f t="shared" si="51"/>
        <v>337.10079999999999</v>
      </c>
      <c r="AW51" s="91" t="str">
        <f t="shared" si="52"/>
        <v/>
      </c>
      <c r="AX51" s="176" t="str">
        <f t="shared" si="19"/>
        <v/>
      </c>
      <c r="AY51" s="176" t="str">
        <f t="shared" si="53"/>
        <v/>
      </c>
      <c r="AZ51" s="176" t="str">
        <f t="shared" si="54"/>
        <v/>
      </c>
      <c r="BA51" s="92" t="str">
        <f t="shared" si="55"/>
        <v/>
      </c>
      <c r="BB51" s="181" t="str">
        <f t="shared" si="20"/>
        <v/>
      </c>
      <c r="BC51" s="181" t="str">
        <f t="shared" si="21"/>
        <v/>
      </c>
      <c r="BD51" s="93" t="str">
        <f t="shared" si="22"/>
        <v/>
      </c>
      <c r="BE51" s="85" t="str">
        <f t="shared" si="23"/>
        <v/>
      </c>
      <c r="BF51" s="86" t="str">
        <f t="shared" si="56"/>
        <v/>
      </c>
      <c r="BG51" s="94" t="str">
        <f t="shared" si="24"/>
        <v/>
      </c>
      <c r="BH51" s="95" t="str">
        <f t="shared" si="57"/>
        <v/>
      </c>
      <c r="BI51" s="95" t="str">
        <f t="shared" si="25"/>
        <v/>
      </c>
      <c r="BJ51" s="96" t="str">
        <f t="shared" si="26"/>
        <v/>
      </c>
      <c r="BK51" s="155" t="str">
        <f t="shared" si="27"/>
        <v/>
      </c>
      <c r="BL51" s="155" t="str">
        <f t="shared" si="28"/>
        <v/>
      </c>
      <c r="BM51" s="338" t="str">
        <f t="shared" si="58"/>
        <v/>
      </c>
      <c r="BN51" s="16" t="str">
        <f t="shared" si="29"/>
        <v/>
      </c>
      <c r="BO51" s="97" t="str">
        <f t="shared" si="59"/>
        <v/>
      </c>
      <c r="BP51" s="16" t="str">
        <f t="shared" si="30"/>
        <v/>
      </c>
      <c r="BQ51" s="97" t="str">
        <f t="shared" si="60"/>
        <v/>
      </c>
      <c r="BR51" s="2" t="str">
        <f t="shared" si="31"/>
        <v/>
      </c>
      <c r="BS51" s="16" t="str">
        <f t="shared" si="61"/>
        <v/>
      </c>
      <c r="BT51" s="16" t="str">
        <f t="shared" si="74"/>
        <v/>
      </c>
      <c r="BU51" s="97" t="str">
        <f t="shared" si="33"/>
        <v/>
      </c>
      <c r="BV51" s="16" t="str">
        <f t="shared" si="34"/>
        <v/>
      </c>
      <c r="BW51" s="97" t="str">
        <f t="shared" si="63"/>
        <v/>
      </c>
      <c r="BX51" s="2" t="str">
        <f t="shared" si="35"/>
        <v/>
      </c>
      <c r="BY51" s="16" t="str">
        <f t="shared" si="64"/>
        <v/>
      </c>
      <c r="BZ51" s="16" t="str">
        <f t="shared" si="36"/>
        <v/>
      </c>
      <c r="CA51" s="97" t="str">
        <f t="shared" si="66"/>
        <v/>
      </c>
      <c r="CB51" s="16" t="str">
        <f t="shared" si="37"/>
        <v/>
      </c>
      <c r="CC51" s="97" t="str">
        <f t="shared" si="67"/>
        <v/>
      </c>
      <c r="CD51" s="2" t="str">
        <f t="shared" si="38"/>
        <v/>
      </c>
    </row>
    <row r="52" spans="1:82" ht="16" hidden="1" x14ac:dyDescent="0.2">
      <c r="A52" s="18"/>
      <c r="B52" s="18">
        <f t="shared" si="65"/>
        <v>45</v>
      </c>
      <c r="C52" s="18" t="b">
        <f t="shared" si="1"/>
        <v>0</v>
      </c>
      <c r="D52" s="18" t="b">
        <f t="shared" si="2"/>
        <v>0</v>
      </c>
      <c r="E52" s="2" t="b">
        <f t="shared" si="3"/>
        <v>0</v>
      </c>
      <c r="F52" s="18" t="b">
        <f t="shared" si="4"/>
        <v>0</v>
      </c>
      <c r="G52" s="18" t="b">
        <f t="shared" si="5"/>
        <v>0</v>
      </c>
      <c r="H52" s="18" t="b">
        <f t="shared" si="6"/>
        <v>0</v>
      </c>
      <c r="I52" s="36" t="b">
        <f t="shared" si="7"/>
        <v>0</v>
      </c>
      <c r="J52" s="135">
        <f t="shared" si="39"/>
        <v>0.82399999999999995</v>
      </c>
      <c r="K52" s="160" t="str">
        <f t="shared" si="8"/>
        <v/>
      </c>
      <c r="L52" s="138">
        <f t="shared" si="40"/>
        <v>0.61333333333333406</v>
      </c>
      <c r="M52" s="217" t="str">
        <f t="shared" si="9"/>
        <v/>
      </c>
      <c r="N52" s="140" t="str">
        <f t="shared" si="41"/>
        <v/>
      </c>
      <c r="O52" s="139" t="str">
        <f t="shared" si="10"/>
        <v/>
      </c>
      <c r="P52" s="139" t="str">
        <f t="shared" si="11"/>
        <v/>
      </c>
      <c r="Q52" s="142" t="str">
        <f t="shared" si="12"/>
        <v/>
      </c>
      <c r="R52" s="98" t="str">
        <f t="shared" si="42"/>
        <v/>
      </c>
      <c r="S52" s="90" t="str">
        <f t="shared" si="43"/>
        <v/>
      </c>
      <c r="T52" s="98" t="str">
        <f t="shared" si="44"/>
        <v/>
      </c>
      <c r="U52" s="90" t="str">
        <f t="shared" si="13"/>
        <v/>
      </c>
      <c r="V52" s="98" t="str">
        <f t="shared" si="45"/>
        <v/>
      </c>
      <c r="W52" s="90" t="str">
        <f t="shared" si="14"/>
        <v/>
      </c>
      <c r="X52" s="132" t="str">
        <f t="shared" si="46"/>
        <v/>
      </c>
      <c r="Y52" s="90" t="str">
        <f t="shared" si="47"/>
        <v/>
      </c>
      <c r="Z52" s="222" t="str">
        <f t="shared" si="48"/>
        <v/>
      </c>
      <c r="AA52" s="222" t="str">
        <f t="shared" si="49"/>
        <v/>
      </c>
      <c r="AB52" s="221" t="str">
        <f t="shared" si="50"/>
        <v/>
      </c>
      <c r="AC52" s="148" t="str">
        <f t="shared" si="15"/>
        <v/>
      </c>
      <c r="AD52" s="148" t="str">
        <f t="shared" si="75"/>
        <v/>
      </c>
      <c r="AE52" s="155" t="str">
        <f t="shared" si="17"/>
        <v/>
      </c>
      <c r="AF52" s="99">
        <f t="shared" si="73"/>
        <v>830.68799999999999</v>
      </c>
      <c r="AG52" s="99">
        <f t="shared" si="76"/>
        <v>0</v>
      </c>
      <c r="AH52" s="99">
        <f t="shared" si="76"/>
        <v>69</v>
      </c>
      <c r="AI52" s="99">
        <f t="shared" si="76"/>
        <v>99</v>
      </c>
      <c r="AJ52" s="99">
        <f t="shared" si="76"/>
        <v>120</v>
      </c>
      <c r="AK52" s="99">
        <f t="shared" si="76"/>
        <v>0</v>
      </c>
      <c r="AL52" s="99">
        <f t="shared" si="76"/>
        <v>0</v>
      </c>
      <c r="AM52" s="99">
        <f t="shared" si="76"/>
        <v>49.1008</v>
      </c>
      <c r="AN52" s="99">
        <f t="shared" si="76"/>
        <v>0</v>
      </c>
      <c r="AO52" s="99">
        <f t="shared" si="76"/>
        <v>0</v>
      </c>
      <c r="AP52" s="86">
        <f t="shared" si="76"/>
        <v>0</v>
      </c>
      <c r="AQ52" s="99">
        <f t="shared" si="76"/>
        <v>0</v>
      </c>
      <c r="AR52" s="99">
        <f t="shared" si="76"/>
        <v>0</v>
      </c>
      <c r="AS52" s="99">
        <f t="shared" si="76"/>
        <v>0</v>
      </c>
      <c r="AT52" s="99">
        <f t="shared" si="76"/>
        <v>0</v>
      </c>
      <c r="AU52" s="99">
        <f t="shared" si="76"/>
        <v>0</v>
      </c>
      <c r="AV52" s="99">
        <f t="shared" si="51"/>
        <v>1167.7888</v>
      </c>
      <c r="AW52" s="100" t="str">
        <f t="shared" si="52"/>
        <v/>
      </c>
      <c r="AX52" s="176" t="str">
        <f t="shared" si="19"/>
        <v/>
      </c>
      <c r="AY52" s="176" t="str">
        <f t="shared" si="53"/>
        <v/>
      </c>
      <c r="AZ52" s="176" t="str">
        <f t="shared" si="54"/>
        <v/>
      </c>
      <c r="BA52" s="92" t="str">
        <f t="shared" si="55"/>
        <v/>
      </c>
      <c r="BB52" s="181" t="str">
        <f t="shared" si="20"/>
        <v/>
      </c>
      <c r="BC52" s="181" t="str">
        <f t="shared" si="21"/>
        <v/>
      </c>
      <c r="BD52" s="93" t="str">
        <f t="shared" si="22"/>
        <v/>
      </c>
      <c r="BE52" s="85" t="str">
        <f t="shared" si="23"/>
        <v/>
      </c>
      <c r="BF52" s="86" t="str">
        <f t="shared" si="56"/>
        <v/>
      </c>
      <c r="BG52" s="94" t="str">
        <f t="shared" si="24"/>
        <v/>
      </c>
      <c r="BH52" s="101" t="str">
        <f t="shared" si="57"/>
        <v/>
      </c>
      <c r="BI52" s="95" t="str">
        <f t="shared" si="25"/>
        <v/>
      </c>
      <c r="BJ52" s="96" t="str">
        <f t="shared" si="26"/>
        <v/>
      </c>
      <c r="BK52" s="156" t="str">
        <f t="shared" si="27"/>
        <v/>
      </c>
      <c r="BL52" s="155" t="str">
        <f t="shared" si="28"/>
        <v/>
      </c>
      <c r="BM52" s="338" t="str">
        <f t="shared" si="58"/>
        <v/>
      </c>
      <c r="BN52" s="16" t="str">
        <f t="shared" si="29"/>
        <v/>
      </c>
      <c r="BO52" s="97" t="str">
        <f t="shared" si="59"/>
        <v/>
      </c>
      <c r="BP52" s="16" t="str">
        <f t="shared" si="30"/>
        <v/>
      </c>
      <c r="BQ52" s="97" t="str">
        <f t="shared" si="60"/>
        <v/>
      </c>
      <c r="BR52" s="102" t="str">
        <f t="shared" si="31"/>
        <v/>
      </c>
      <c r="BS52" s="16" t="str">
        <f t="shared" si="61"/>
        <v/>
      </c>
      <c r="BT52" s="16" t="str">
        <f t="shared" si="74"/>
        <v/>
      </c>
      <c r="BU52" s="97" t="str">
        <f t="shared" si="33"/>
        <v/>
      </c>
      <c r="BV52" s="16" t="str">
        <f t="shared" si="34"/>
        <v/>
      </c>
      <c r="BW52" s="97" t="str">
        <f t="shared" si="63"/>
        <v/>
      </c>
      <c r="BX52" s="102" t="str">
        <f t="shared" si="35"/>
        <v/>
      </c>
      <c r="BY52" s="16" t="str">
        <f t="shared" si="64"/>
        <v/>
      </c>
      <c r="BZ52" s="16" t="str">
        <f t="shared" si="36"/>
        <v/>
      </c>
      <c r="CA52" s="97" t="str">
        <f t="shared" si="66"/>
        <v/>
      </c>
      <c r="CB52" s="16" t="str">
        <f t="shared" si="37"/>
        <v/>
      </c>
      <c r="CC52" s="97" t="str">
        <f t="shared" si="67"/>
        <v/>
      </c>
      <c r="CD52" s="102" t="str">
        <f t="shared" si="38"/>
        <v/>
      </c>
    </row>
    <row r="53" spans="1:82" x14ac:dyDescent="0.2">
      <c r="A53" s="103"/>
      <c r="B53" s="104" t="s">
        <v>76</v>
      </c>
      <c r="C53" s="104">
        <f>COUNTIF(C7:C52,TRUE)</f>
        <v>30</v>
      </c>
      <c r="D53" s="104">
        <f t="shared" ref="D53:I53" si="77">COUNTIF(D7:D52,TRUE)</f>
        <v>0</v>
      </c>
      <c r="E53" s="104">
        <f t="shared" si="77"/>
        <v>0</v>
      </c>
      <c r="F53" s="104">
        <f t="shared" si="77"/>
        <v>1</v>
      </c>
      <c r="G53" s="104">
        <f t="shared" si="77"/>
        <v>0</v>
      </c>
      <c r="H53" s="104">
        <f t="shared" si="77"/>
        <v>0</v>
      </c>
      <c r="I53" s="161">
        <f t="shared" si="77"/>
        <v>0</v>
      </c>
      <c r="J53" s="104"/>
      <c r="K53" s="144">
        <f t="shared" ref="K53:BE53" si="78">SUM(K8:K52)</f>
        <v>127170</v>
      </c>
      <c r="L53" s="143"/>
      <c r="M53" s="143"/>
      <c r="N53" s="143"/>
      <c r="O53" s="143">
        <f t="shared" ref="O53:Q53" si="79">SUM(O8:O52)</f>
        <v>0</v>
      </c>
      <c r="P53" s="143">
        <f t="shared" si="79"/>
        <v>0</v>
      </c>
      <c r="Q53" s="144">
        <f t="shared" si="79"/>
        <v>0</v>
      </c>
      <c r="R53" s="106">
        <f>SUM(R8:R52)</f>
        <v>2.5824013263255279</v>
      </c>
      <c r="S53" s="106">
        <f t="shared" si="78"/>
        <v>-1.2134112882139359E-12</v>
      </c>
      <c r="T53" s="106"/>
      <c r="U53" s="106">
        <f t="shared" ref="U53" si="80">SUM(U8:U52)</f>
        <v>8812.5769951495331</v>
      </c>
      <c r="V53" s="106"/>
      <c r="W53" s="106">
        <f t="shared" si="78"/>
        <v>10545.183239236239</v>
      </c>
      <c r="X53" s="133"/>
      <c r="Y53" s="106">
        <f t="shared" ref="Y53" si="81">SUM(Y8:Y52)</f>
        <v>0</v>
      </c>
      <c r="Z53" s="223"/>
      <c r="AA53" s="223"/>
      <c r="AB53" s="223">
        <f t="shared" ref="AB53" si="82">SUM(AB8:AB52)</f>
        <v>0</v>
      </c>
      <c r="AC53" s="149">
        <f t="shared" ref="AC53:AD53" si="83">SUM(AC8:AC52)</f>
        <v>0</v>
      </c>
      <c r="AD53" s="149">
        <f t="shared" si="83"/>
        <v>0</v>
      </c>
      <c r="AE53" s="157">
        <f t="shared" ref="AE53" si="84">SUM(AE8:AE52)</f>
        <v>0</v>
      </c>
      <c r="AF53" s="105">
        <f t="shared" si="78"/>
        <v>7476.192</v>
      </c>
      <c r="AG53" s="105">
        <f t="shared" si="78"/>
        <v>0</v>
      </c>
      <c r="AH53" s="105">
        <f t="shared" si="78"/>
        <v>3105</v>
      </c>
      <c r="AI53" s="105">
        <f t="shared" si="78"/>
        <v>4455</v>
      </c>
      <c r="AJ53" s="105">
        <f t="shared" si="78"/>
        <v>5400</v>
      </c>
      <c r="AK53" s="105">
        <f t="shared" si="78"/>
        <v>0</v>
      </c>
      <c r="AL53" s="105">
        <f t="shared" ref="AL53" si="85">SUM(AL8:AL52)</f>
        <v>0</v>
      </c>
      <c r="AM53" s="105">
        <f t="shared" si="78"/>
        <v>2209.5359999999996</v>
      </c>
      <c r="AN53" s="105">
        <f t="shared" si="78"/>
        <v>6076.72</v>
      </c>
      <c r="AO53" s="105">
        <f>SUM(AO8:AO52)</f>
        <v>5281.25</v>
      </c>
      <c r="AP53" s="105">
        <f>SUM(AP8:AP52)</f>
        <v>0</v>
      </c>
      <c r="AQ53" s="105">
        <f t="shared" si="78"/>
        <v>0</v>
      </c>
      <c r="AR53" s="105">
        <f t="shared" si="78"/>
        <v>0</v>
      </c>
      <c r="AS53" s="105">
        <f t="shared" si="78"/>
        <v>2350</v>
      </c>
      <c r="AT53" s="105"/>
      <c r="AU53" s="105"/>
      <c r="AV53" s="105">
        <f t="shared" si="78"/>
        <v>36353.698000000004</v>
      </c>
      <c r="AW53" s="86"/>
      <c r="AX53" s="177">
        <f t="shared" si="78"/>
        <v>-24912.5205250699</v>
      </c>
      <c r="AY53" s="177">
        <f t="shared" ref="AY53:AZ53" si="86">SUM(AY8:AY52)</f>
        <v>0</v>
      </c>
      <c r="AZ53" s="177">
        <f t="shared" si="86"/>
        <v>0</v>
      </c>
      <c r="BA53" s="107">
        <f t="shared" ref="BA53" si="87">SUM(BA8:BA52)</f>
        <v>0</v>
      </c>
      <c r="BB53" s="182">
        <f t="shared" si="78"/>
        <v>9.8286314345328807E-14</v>
      </c>
      <c r="BC53" s="182">
        <f t="shared" si="78"/>
        <v>2017.9141625306611</v>
      </c>
      <c r="BD53" s="108">
        <f t="shared" ref="BD53" si="88">SUM(BD8:BD52)</f>
        <v>0</v>
      </c>
      <c r="BE53" s="109">
        <f t="shared" si="78"/>
        <v>0</v>
      </c>
      <c r="BF53" s="105"/>
      <c r="BG53" s="105"/>
      <c r="BH53" s="110">
        <f>SUM(BH8:BH52)</f>
        <v>-15344.000000000004</v>
      </c>
      <c r="BI53" s="110">
        <f>SUM(BI8:BI52)</f>
        <v>0</v>
      </c>
      <c r="BJ53" s="111">
        <f>SUM(BJ8:BJ52)</f>
        <v>0</v>
      </c>
      <c r="BK53" s="157">
        <f>SUM(BK8:BK52)</f>
        <v>0</v>
      </c>
      <c r="BL53" s="157">
        <f>SUM(BL8:BL52)</f>
        <v>0</v>
      </c>
      <c r="BM53" s="339">
        <f>SUM(BM7:BM52)</f>
        <v>-18880.846128153462</v>
      </c>
      <c r="BN53" s="112">
        <f>SUM(BN7:BN52)</f>
        <v>-18880.846128153462</v>
      </c>
      <c r="BO53" s="113"/>
      <c r="BP53" s="112">
        <f>SUM(BP7:BP52)</f>
        <v>-18880.846128153462</v>
      </c>
      <c r="BQ53" s="113"/>
      <c r="BR53" s="2">
        <f>MAX(BR8:BR52)</f>
        <v>0</v>
      </c>
      <c r="BS53" s="112">
        <f>SUM(BS7:BS52)</f>
        <v>-18880.846128153462</v>
      </c>
      <c r="BT53" s="112">
        <f>SUM(BT7:BT52)</f>
        <v>-18880.846128153462</v>
      </c>
      <c r="BU53" s="113"/>
      <c r="BV53" s="112">
        <f>SUM(BV7:BV52)</f>
        <v>-18880.846128153462</v>
      </c>
      <c r="BW53" s="113"/>
      <c r="BX53" s="2">
        <f>MAX(BX8:BX52)</f>
        <v>0</v>
      </c>
      <c r="BY53" s="112">
        <f>SUM(BY7:BY52)</f>
        <v>0</v>
      </c>
      <c r="BZ53" s="112">
        <f>SUM(BZ7:BZ52)</f>
        <v>0</v>
      </c>
      <c r="CA53" s="113"/>
      <c r="CB53" s="112">
        <f>SUM(CB7:CB52)</f>
        <v>0</v>
      </c>
      <c r="CC53" s="113"/>
      <c r="CD53" s="2">
        <f>MAX(CD8:CD52)</f>
        <v>0</v>
      </c>
    </row>
    <row r="54" spans="1:82" x14ac:dyDescent="0.2">
      <c r="A54" s="114"/>
      <c r="B54" s="70" t="s">
        <v>77</v>
      </c>
      <c r="C54" s="70"/>
      <c r="D54" s="70"/>
      <c r="E54" s="70"/>
      <c r="F54" s="70"/>
      <c r="G54" s="70"/>
      <c r="H54" s="70"/>
      <c r="I54" s="162"/>
      <c r="J54" s="70"/>
      <c r="K54" s="146">
        <f t="shared" ref="K54:BC54" si="89">AVERAGE(K8:K52)</f>
        <v>4239</v>
      </c>
      <c r="L54" s="145"/>
      <c r="M54" s="145"/>
      <c r="N54" s="145"/>
      <c r="O54" s="145" t="e">
        <f t="shared" ref="O54:Q54" si="90">AVERAGE(O8:O52)</f>
        <v>#DIV/0!</v>
      </c>
      <c r="P54" s="145" t="e">
        <f t="shared" si="90"/>
        <v>#DIV/0!</v>
      </c>
      <c r="Q54" s="146" t="e">
        <f t="shared" si="90"/>
        <v>#DIV/0!</v>
      </c>
      <c r="R54" s="130">
        <f>AVERAGE(R8:R52)</f>
        <v>8.6080044210850928E-2</v>
      </c>
      <c r="S54" s="116">
        <f t="shared" si="89"/>
        <v>-4.0447042940464531E-14</v>
      </c>
      <c r="T54" s="130"/>
      <c r="U54" s="116">
        <f t="shared" ref="U54" si="91">AVERAGE(U8:U52)</f>
        <v>293.75256650498443</v>
      </c>
      <c r="V54" s="130">
        <f t="shared" si="89"/>
        <v>0.24963212821146769</v>
      </c>
      <c r="W54" s="116">
        <f t="shared" si="89"/>
        <v>351.50610797454129</v>
      </c>
      <c r="X54" s="134"/>
      <c r="Y54" s="116">
        <f t="shared" ref="Y54" si="92">AVERAGE(Y8:Y52)</f>
        <v>0</v>
      </c>
      <c r="Z54" s="224"/>
      <c r="AA54" s="224"/>
      <c r="AB54" s="225">
        <f t="shared" ref="AB54" si="93">AVERAGE(AB8:AB52)</f>
        <v>0</v>
      </c>
      <c r="AC54" s="150" t="e">
        <f>AC53/$E$53</f>
        <v>#DIV/0!</v>
      </c>
      <c r="AD54" s="150" t="e">
        <f t="shared" ref="AD54:AE54" si="94">AD53/$E$53</f>
        <v>#DIV/0!</v>
      </c>
      <c r="AE54" s="158" t="e">
        <f t="shared" si="94"/>
        <v>#DIV/0!</v>
      </c>
      <c r="AF54" s="115">
        <f t="shared" si="89"/>
        <v>166.13759999999999</v>
      </c>
      <c r="AG54" s="115">
        <f t="shared" si="89"/>
        <v>0</v>
      </c>
      <c r="AH54" s="115">
        <f t="shared" si="89"/>
        <v>69</v>
      </c>
      <c r="AI54" s="115">
        <f t="shared" si="89"/>
        <v>99</v>
      </c>
      <c r="AJ54" s="115">
        <f t="shared" si="89"/>
        <v>120</v>
      </c>
      <c r="AK54" s="115">
        <f t="shared" si="89"/>
        <v>0</v>
      </c>
      <c r="AL54" s="115">
        <f t="shared" ref="AL54" si="95">AVERAGE(AL8:AL52)</f>
        <v>0</v>
      </c>
      <c r="AM54" s="115">
        <f t="shared" si="89"/>
        <v>49.100799999999992</v>
      </c>
      <c r="AN54" s="115">
        <f t="shared" si="89"/>
        <v>135.03822222222223</v>
      </c>
      <c r="AO54" s="115">
        <f>AVERAGE(AO8:AO52)</f>
        <v>117.36111111111111</v>
      </c>
      <c r="AP54" s="115">
        <f>AVERAGE(AP8:AP52)</f>
        <v>0</v>
      </c>
      <c r="AQ54" s="115">
        <f t="shared" si="89"/>
        <v>0</v>
      </c>
      <c r="AR54" s="115">
        <f t="shared" si="89"/>
        <v>0</v>
      </c>
      <c r="AS54" s="115">
        <f t="shared" si="89"/>
        <v>52.222222222222221</v>
      </c>
      <c r="AT54" s="115"/>
      <c r="AU54" s="115"/>
      <c r="AV54" s="115">
        <f t="shared" si="89"/>
        <v>807.85995555555564</v>
      </c>
      <c r="AW54" s="115"/>
      <c r="AX54" s="178">
        <f t="shared" si="89"/>
        <v>-830.41735083566334</v>
      </c>
      <c r="AY54" s="178">
        <f t="shared" ref="AY54:AZ54" si="96">AVERAGE(AY8:AY52)</f>
        <v>0</v>
      </c>
      <c r="AZ54" s="178">
        <f t="shared" si="96"/>
        <v>0</v>
      </c>
      <c r="BA54" s="117" t="e">
        <f>BA53/$E$53</f>
        <v>#DIV/0!</v>
      </c>
      <c r="BB54" s="183">
        <f t="shared" si="89"/>
        <v>3.2762104781776267E-15</v>
      </c>
      <c r="BC54" s="183">
        <f t="shared" si="89"/>
        <v>67.263805417688701</v>
      </c>
      <c r="BD54" s="118" t="e">
        <f>BD53/$E$53</f>
        <v>#DIV/0!</v>
      </c>
      <c r="BE54" s="119"/>
      <c r="BF54" s="115"/>
      <c r="BG54" s="115"/>
      <c r="BH54" s="120">
        <f>AVERAGE(BH8:BH52)</f>
        <v>-511.46666666666681</v>
      </c>
      <c r="BI54" s="120">
        <f>AVERAGE(BI8:BI52)</f>
        <v>0</v>
      </c>
      <c r="BJ54" s="121">
        <f>AVERAGE(BJ8:BJ52)</f>
        <v>0</v>
      </c>
      <c r="BK54" s="158" t="e">
        <f t="shared" ref="BK54:BL54" si="97">BK53/$E$53</f>
        <v>#DIV/0!</v>
      </c>
      <c r="BL54" s="158" t="e">
        <f t="shared" si="97"/>
        <v>#DIV/0!</v>
      </c>
      <c r="BM54" s="340"/>
      <c r="BN54" s="122"/>
      <c r="BO54" s="123"/>
      <c r="BP54" s="122"/>
      <c r="BQ54" s="123"/>
      <c r="BR54" s="2"/>
      <c r="BS54" s="122"/>
      <c r="BT54" s="122"/>
      <c r="BU54" s="123"/>
      <c r="BV54" s="122"/>
      <c r="BW54" s="123"/>
      <c r="BX54" s="2"/>
      <c r="BY54" s="122"/>
      <c r="BZ54" s="122"/>
      <c r="CA54" s="123"/>
      <c r="CB54" s="122"/>
      <c r="CC54" s="123"/>
      <c r="CD54" s="2"/>
    </row>
  </sheetData>
  <mergeCells count="6">
    <mergeCell ref="BM5:BQ5"/>
    <mergeCell ref="BS5:BW5"/>
    <mergeCell ref="BY5:CC5"/>
    <mergeCell ref="BM4:BQ4"/>
    <mergeCell ref="BS4:BW4"/>
    <mergeCell ref="BY4:CC4"/>
  </mergeCells>
  <pageMargins left="0.7" right="0.7" top="0.78740157499999996" bottom="0.78740157499999996" header="0.3" footer="0.3"/>
  <pageSetup paperSize="9" scale="10" fitToHeight="0" orientation="landscape" r:id="rId1"/>
  <headerFooter>
    <oddHeader>&amp;LWirtschaftlichkeitsrechner Photovoltaikanlagen&amp;C&amp;G</oddHeader>
    <oddFooter>&amp;Lerstellt für Swissolar von Plan-E AG, Luzernerstrasse 131, 6014 Luzern&amp;R&amp;G</oddFooter>
  </headerFooter>
  <legacy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F09EF-8477-47B0-B244-E58370DEEFB0}">
  <sheetPr>
    <tabColor theme="4" tint="0.59999389629810485"/>
  </sheetPr>
  <dimension ref="A1:D38"/>
  <sheetViews>
    <sheetView view="pageBreakPreview" topLeftCell="C1" zoomScale="115" zoomScaleNormal="100" zoomScaleSheetLayoutView="115" workbookViewId="0">
      <selection activeCell="D4" sqref="D4"/>
    </sheetView>
  </sheetViews>
  <sheetFormatPr baseColWidth="10" defaultRowHeight="15" x14ac:dyDescent="0.2"/>
  <cols>
    <col min="1" max="1" width="24.33203125" hidden="1" customWidth="1"/>
    <col min="2" max="2" width="129.5" hidden="1" customWidth="1"/>
    <col min="3" max="3" width="21" style="306" customWidth="1"/>
    <col min="4" max="4" width="136.5" style="308" customWidth="1"/>
  </cols>
  <sheetData>
    <row r="1" spans="1:4" ht="21" x14ac:dyDescent="0.25">
      <c r="A1" s="207" t="s">
        <v>257</v>
      </c>
    </row>
    <row r="3" spans="1:4" ht="16" x14ac:dyDescent="0.2">
      <c r="A3" s="186" t="s">
        <v>235</v>
      </c>
      <c r="B3" s="187" t="s">
        <v>236</v>
      </c>
      <c r="C3" s="307" t="str">
        <f>_xlfn.TRANSLATE(A3,"de","en")</f>
        <v>Concept</v>
      </c>
      <c r="D3" s="309" t="str">
        <f>_xlfn.TRANSLATE(B3,"de","en")</f>
        <v>Explanation</v>
      </c>
    </row>
    <row r="4" spans="1:4" ht="93.75" customHeight="1" x14ac:dyDescent="0.2">
      <c r="A4" s="209" t="s">
        <v>32</v>
      </c>
      <c r="B4" s="204" t="s">
        <v>350</v>
      </c>
      <c r="C4" s="209" t="str">
        <f t="shared" ref="C4:C38" si="0">_xlfn.TRANSLATE(A4,"de","en")</f>
        <v>Inflation rate</v>
      </c>
      <c r="D4" s="308" t="str">
        <f t="shared" ref="D4:D38" si="1">_xlfn.TRANSLATE(B4,"de","en")</f>
        <v xml:space="preserve">When calculating profitability over a term, inflation must also be taken into account. On the one hand, the initially assumed operating and maintenance costs are subject to inflation over the term. On the other hand, there is also a price development in the value of the energy produced. 
This is taken into account in the calculation with an annual inflation rate.
</v>
      </c>
    </row>
    <row r="5" spans="1:4" ht="224" x14ac:dyDescent="0.2">
      <c r="A5" s="209" t="s">
        <v>237</v>
      </c>
      <c r="B5" s="204" t="s">
        <v>351</v>
      </c>
      <c r="C5" s="209" t="str">
        <f t="shared" si="0"/>
        <v>Plant Category</v>
      </c>
      <c r="D5" s="308" t="str">
        <f t="shared" si="1"/>
        <v xml:space="preserve">Plant category according to the Energy Promotion Ordinance:
freestanding
 - Systems without a structural connection to buildings
 - Example: Planting in the garden or fallow land
grown
 - Systems with a structural connection to buildings and serving solely for electricity production
 - Systems mounted on fastening systems on flat roofs or on a tiled roof
integrated
 - Systems that are integrated into buildings and perform a dual function
 - Photovoltaic modules instead of bricks or façade elements, integrated into soundproofing walls
</v>
      </c>
    </row>
    <row r="6" spans="1:4" ht="75" customHeight="1" x14ac:dyDescent="0.2">
      <c r="A6" s="209" t="s">
        <v>238</v>
      </c>
      <c r="B6" s="204" t="s">
        <v>353</v>
      </c>
      <c r="C6" s="209" t="str">
        <f t="shared" si="0"/>
        <v>Plant Nominal Power</v>
      </c>
      <c r="D6" s="308" t="str">
        <f t="shared" si="1"/>
        <v xml:space="preserve">The DC nominal power of photovoltaic systems in the year of commissioning is given with the unit of measurement W (watt peak) or kW and refers to the power under internationally applicable standard test conditions (STC), which roughly corresponds to the maximum solar radiation in Switzerland.
STC (standard test conditions): 25° module temperature, 1000 W/m², air mass 1.5
</v>
      </c>
    </row>
    <row r="7" spans="1:4" ht="64" x14ac:dyDescent="0.2">
      <c r="A7" s="209" t="s">
        <v>245</v>
      </c>
      <c r="B7" s="204" t="s">
        <v>246</v>
      </c>
      <c r="C7" s="209" t="str">
        <f t="shared" si="0"/>
        <v>Specific annual energy yield</v>
      </c>
      <c r="D7" s="308" t="str">
        <f t="shared" si="1"/>
        <v xml:space="preserve">The specific annual yield of a photovoltaic system is the yield of electrical energy that can be achieved by one kW of installed capacity at a considered location in one year. A typical specific annual yield of a photovoltaic system in Switzerland is approximately 920-950 kWh/kWp per year (with a south-facing orientation and a 20°-30° inclination).
</v>
      </c>
    </row>
    <row r="8" spans="1:4" ht="42" customHeight="1" x14ac:dyDescent="0.2">
      <c r="A8" s="209" t="s">
        <v>354</v>
      </c>
      <c r="B8" s="204" t="s">
        <v>355</v>
      </c>
      <c r="C8" s="209" t="str">
        <f t="shared" si="0"/>
        <v>Storage capacity battery storage</v>
      </c>
      <c r="D8" s="308" t="str">
        <f t="shared" si="1"/>
        <v>The storage capacity of a battery storage system refers to the usable storage capacity in the year of commissioning. 2nd live battery storage systems have a correspondingly already reduced usable capacity when commissioned.</v>
      </c>
    </row>
    <row r="9" spans="1:4" ht="174.75" customHeight="1" x14ac:dyDescent="0.2">
      <c r="A9" s="209" t="s">
        <v>12</v>
      </c>
      <c r="B9" s="204" t="s">
        <v>490</v>
      </c>
      <c r="C9" s="209" t="str">
        <f t="shared" si="0"/>
        <v>Degradation</v>
      </c>
      <c r="D9" s="308" t="str">
        <f t="shared" si="1"/>
        <v xml:space="preserve">In photovoltaics, degradation (from Latin degradere "to degrade") refers to the reduction in the performance of solar cells over a defined period of time. 
In the calculations, the degradation is taken into account when calculating the average annual energy yield and the return on capital.
A guideline value for the degradation of the plant nominal output is 0.6% / year.
Battery storage systems are also subject to degradation of storage capacity. 
The end of the service life of a battery storage system is often set at a degradation of 20%.
The degradation of the battery storage system also reduces the increase in the battery's share of self-consumption. This is taken into account accordingly in the calculation of profitability.
</v>
      </c>
    </row>
    <row r="10" spans="1:4" ht="109.5" customHeight="1" x14ac:dyDescent="0.2">
      <c r="A10" s="209" t="s">
        <v>125</v>
      </c>
      <c r="B10" s="204" t="s">
        <v>491</v>
      </c>
      <c r="C10" s="209" t="str">
        <f t="shared" si="0"/>
        <v>Lifetime</v>
      </c>
      <c r="D10" s="308" t="str">
        <f t="shared" si="1"/>
        <v xml:space="preserve">The service life of a PV system is usually determined by the service life of the PV modules. The replacement of components with a longer service life (such as the inverter) is included in the operating and maintenance costs.
Battery storage systems usually have a shorter service life than the PV system. If the PV system is to be operated with a battery for its entire service life, a replacement of the battery storage system must be included in the maintenance costs. With the replacement of the battery storage system, the service life of the battery storage system is automatically extended (up to a maximum of the system service life of the PV system).
</v>
      </c>
    </row>
    <row r="11" spans="1:4" ht="168.5" customHeight="1" x14ac:dyDescent="0.2">
      <c r="A11" s="209" t="s">
        <v>209</v>
      </c>
      <c r="B11" s="204" t="s">
        <v>492</v>
      </c>
      <c r="C11" s="209" t="str">
        <f t="shared" si="0"/>
        <v>Self-consumption at the point of production</v>
      </c>
      <c r="D11" s="308" t="str">
        <f t="shared" si="1"/>
        <v xml:space="preserve">Self-consumption applies at the place of production. This can either be done with an end-user or there is an association of consumers for self-consumption.
In the case of self-consumption (ZEV), several consumers join forces and consume the solar power without using the public power grid. Grid usage fees and charges can be saved accordingly.
If tenants are integrated into the ZEV, the solar power tariff (including billing costs) is usually set at 80% of the tenant's electricity tariff (energy and grid use) without ZEV.
Another model is the practical model of distribution system operators (DSOs) as self-consumption at the place of production and can be treated as a ZEV in the calculation. In the VNB practice model, no tenant protection regulations apply and the solar power tariff can be set as desired.
</v>
      </c>
    </row>
    <row r="12" spans="1:4" ht="96" x14ac:dyDescent="0.2">
      <c r="A12" s="209" t="s">
        <v>356</v>
      </c>
      <c r="B12" s="204" t="s">
        <v>493</v>
      </c>
      <c r="C12" s="209" t="str">
        <f t="shared" si="0"/>
        <v>Billing costs / operating costs ZEV</v>
      </c>
      <c r="D12" s="308" t="str">
        <f t="shared" si="1"/>
        <v xml:space="preserve">For the billing of solar power in the ZEV, additional billing costs can be levied on top of the solar electricity tariff. These are billed either per kWh of self-consumption or as a flat rate per consumer. The additional income from the ZEV's billing costs is offset by the ZEV's operating costs in terms of maintenance costs. 
These include all external costs such as software license, meter calibration, etc., which are incurred for the measurement and billing of the ZEV. These are recorded separately under operating costs.
</v>
      </c>
    </row>
    <row r="13" spans="1:4" ht="160" x14ac:dyDescent="0.2">
      <c r="A13" s="209" t="s">
        <v>489</v>
      </c>
      <c r="B13" s="204" t="s">
        <v>494</v>
      </c>
      <c r="C13" s="209" t="str">
        <f t="shared" si="0"/>
        <v>Self-consumption share</v>
      </c>
      <c r="D13" s="308" t="str">
        <f t="shared" si="1"/>
        <v xml:space="preserve">The self-consumption share indicates what proportion of the energy generated by the photovoltaic system is used by the company itself (fed into the metered grid) and not sold.
Examples of the share of self-consumption:
- approx. 15-20% without taking into account the daily solar power production history
- approx. 30-40% when taking into account the daily solar power production process
- up to approx. 80% with the help of electronic switchgear that adapts the time consumption of electricity to the daily solar power production process (smart metering)
The increase in the share of self-consumption due to the battery storage system is stated separately and taken into account in the calculations.
</v>
      </c>
    </row>
    <row r="14" spans="1:4" ht="80" x14ac:dyDescent="0.2">
      <c r="A14" s="209" t="s">
        <v>311</v>
      </c>
      <c r="B14" s="204" t="s">
        <v>360</v>
      </c>
      <c r="C14" s="209" t="str">
        <f t="shared" si="0"/>
        <v>replaced subscription tariff</v>
      </c>
      <c r="D14" s="308" t="str">
        <f t="shared" si="1"/>
        <v xml:space="preserve">If the solar power is consumed directly at the point of production, the PV system can be amortized by the energy supply company with the savings from the electricity purchase. The savings relate to the tariff for energy, grid use and additional charges. The calculation or determination of the average, if necessary weighted reference tariff depending on the season and time is based on the assessment of the benefit or on the basis of the requirements of the plant operator. It is an estimate of the entire operating life of the system, with inflation being taken into account separately in the calculator.
</v>
      </c>
    </row>
    <row r="15" spans="1:4" ht="81.75" customHeight="1" x14ac:dyDescent="0.2">
      <c r="A15" s="209" t="s">
        <v>310</v>
      </c>
      <c r="B15" s="204" t="s">
        <v>359</v>
      </c>
      <c r="C15" s="209" t="str">
        <f t="shared" si="0"/>
        <v>PV electricity tariff ZEV</v>
      </c>
      <c r="D15" s="308" t="str">
        <f t="shared" si="1"/>
        <v>In a ZEV, the end consumers benefit from the savings. The solar power can be billed internally at the ZEV PV electricity tariff. Especially in the case of tenancies, the corresponding tenant protection regulations must be observed. Without further evidence, the internal PV electricity tariff ZEV is usually set at 80% of the tenant's replaced purchase tariff (minus billing costs). The billing costs are charged separately and are taken into account in the profitability calculator.</v>
      </c>
    </row>
    <row r="16" spans="1:4" ht="58.5" customHeight="1" x14ac:dyDescent="0.2">
      <c r="A16" s="209" t="s">
        <v>312</v>
      </c>
      <c r="B16" s="204" t="s">
        <v>327</v>
      </c>
      <c r="C16" s="209" t="str">
        <f t="shared" si="0"/>
        <v>Practical model VNB</v>
      </c>
      <c r="D16" s="308" t="str">
        <f t="shared" si="1"/>
        <v>In the VNB practical model, all solar power is sold to the distribution grid operator. The solar power consumed directly on site (self-consumption) is remunerated by the DSO at a higher purchase fee minus a service fee. The surplus is paid out with the normal purchase fee. This model can be calculated in the calculator with the normal self-consumption.</v>
      </c>
    </row>
    <row r="17" spans="1:4" ht="48" x14ac:dyDescent="0.2">
      <c r="A17" s="209" t="s">
        <v>252</v>
      </c>
      <c r="B17" s="204" t="s">
        <v>358</v>
      </c>
      <c r="C17" s="209" t="str">
        <f t="shared" si="0"/>
        <v>Local Electricity Community (LEG)</v>
      </c>
      <c r="D17" s="308" t="str">
        <f t="shared" si="1"/>
        <v xml:space="preserve">The electricity not consumed as self-consumption at the place of production can either be sold to the distribution system operator (return delivery), or sold in a local electricity community at a reduced grid tariff to consumers in the same grid area and municipality from 2026.
</v>
      </c>
    </row>
    <row r="18" spans="1:4" ht="48" x14ac:dyDescent="0.2">
      <c r="A18" s="209" t="s">
        <v>251</v>
      </c>
      <c r="B18" s="204" t="s">
        <v>495</v>
      </c>
      <c r="C18" s="209" t="str">
        <f t="shared" si="0"/>
        <v>Share of electricity sales LEG</v>
      </c>
      <c r="D18" s="308" t="str">
        <f t="shared" si="1"/>
        <v xml:space="preserve">The sale of electricity in LEG corresponds to a share of electricity production after deduction of self-consumption. The share of electricity sales in the LEG is determined as a percentage of the total production volume. 
</v>
      </c>
    </row>
    <row r="19" spans="1:4" ht="198" customHeight="1" x14ac:dyDescent="0.2">
      <c r="A19" s="209" t="s">
        <v>317</v>
      </c>
      <c r="B19" s="204" t="s">
        <v>496</v>
      </c>
      <c r="C19" s="209" t="str">
        <f t="shared" si="0"/>
        <v>Purchase Fee</v>
      </c>
      <c r="D19" s="308" t="str">
        <f t="shared" si="1"/>
        <v xml:space="preserve">The solar power that is not consumed for self-consumption or sold in the ZEV is sold into the power grid. This is usually done via the local energy supply company or alternatively via an electricity trader.
If a photovoltaic system is operated without self-consumption, the entire energy is supplied to the local power grid.
In the future, purchase royalties will be levied dynamically, this can be limited to seasonal differences or even made dependent on the time of day. 
The profitability calculation has an annual resolution. The purchase fee used must therefore be weighted and averaged seasonally and temporally on the expected return delivery profile. 
If the incentive model of the floating market premium is chosen, a correspondingly weighted and averaged market tariff is to be used as the return tariff.
</v>
      </c>
    </row>
    <row r="20" spans="1:4" ht="169.5" customHeight="1" x14ac:dyDescent="0.2">
      <c r="A20" s="209" t="s">
        <v>440</v>
      </c>
      <c r="B20" s="204" t="s">
        <v>497</v>
      </c>
      <c r="C20" s="209" t="str">
        <f t="shared" si="0"/>
        <v>Power peaks/power costs</v>
      </c>
      <c r="D20" s="308" t="str">
        <f t="shared" si="1"/>
        <v xml:space="preserve">The photovoltaic system also influences the power peak of the electricity purchase from the grid operator. The reduction of the power peaks by the PV system can also be passed on accordingly.
Most grid operators only charge power costs from a certain size of consumers. In the case of a merger for self-consumption, one is considered one consumer vis-à-vis the grid operator and reaches this threshold correspondingly faster.
The service costs are usually levied monthly on the maximum average power in 15 minutes. The possible savings of the power peaks therefore concern the sum of the savings over a whole year.
The possible savings in power peaks are particularly relevant when using a battery storage system. The function can even be programmed in such a way that the reduction of power peaks is optimized.
</v>
      </c>
    </row>
    <row r="21" spans="1:4" ht="128" x14ac:dyDescent="0.2">
      <c r="A21" s="209" t="s">
        <v>21</v>
      </c>
      <c r="B21" s="204" t="s">
        <v>498</v>
      </c>
      <c r="C21" s="209" t="str">
        <f t="shared" si="0"/>
        <v>Promotion</v>
      </c>
      <c r="D21" s="308" t="str">
        <f t="shared" si="1"/>
        <v xml:space="preserve">The subsidy on the investment sum includes national funding from the Confederation via Pronovo (one-off remuneration) and other direct subsidies from the canton or municipality.
The subsidy from Pronovo can be calculated in the tariff calculator of Pronovo Online. The individual bonuses are entered separately. The disbursement year can be entered for the disbursement period of the subsidy by Pronovo.
Other subsidies as well as any tax savings through deductions are deducted directly from the investment amount.
</v>
      </c>
    </row>
    <row r="22" spans="1:4" ht="114.5" customHeight="1" x14ac:dyDescent="0.2">
      <c r="A22" s="209" t="s">
        <v>253</v>
      </c>
      <c r="B22" s="204" t="s">
        <v>357</v>
      </c>
      <c r="C22" s="209" t="str">
        <f t="shared" si="0"/>
        <v>Investment costs PVA</v>
      </c>
      <c r="D22" s="308" t="str">
        <f t="shared" si="1"/>
        <v xml:space="preserve">The investment costs include all investment costs required for implementation.  The costs from the current price observation study of the Swiss Federal Office of Energy are used as a guideline.
Additional costs, e.g. for setting up an association for self-consumption, are also credited to the investment costs of the PV system.
"Anyway costs", such as the costs for scaffolding that was necessary for the roof renovation, or costs for the installation of permanent roof security, are deducted from the investment costs before entry.
</v>
      </c>
    </row>
    <row r="23" spans="1:4" ht="86" customHeight="1" x14ac:dyDescent="0.2">
      <c r="A23" s="209" t="s">
        <v>71</v>
      </c>
      <c r="B23" s="204" t="s">
        <v>361</v>
      </c>
      <c r="C23" s="209" t="str">
        <f t="shared" si="0"/>
        <v>Deduction function building envelope</v>
      </c>
      <c r="D23" s="308" t="str">
        <f t="shared" si="1"/>
        <v xml:space="preserve">For integrated solar systems that take over additional functions of the building envelope, the additional function of the solar system can be deducted from the investment costs when calculating profitability. 
In most cases, the costs for an alternative façade or roof covering are calculated and deducted from the total investment of the PV system. Entry is made in CHF/m2. Since PV modules are considered a high-quality material, a high-quality material should also be charged as an alternative.
</v>
      </c>
    </row>
    <row r="24" spans="1:4" ht="84.5" customHeight="1" x14ac:dyDescent="0.2">
      <c r="A24" s="209" t="s">
        <v>255</v>
      </c>
      <c r="B24" s="204" t="s">
        <v>362</v>
      </c>
      <c r="C24" s="209" t="str">
        <f t="shared" si="0"/>
        <v>Investment costs for battery storage systems</v>
      </c>
      <c r="D24" s="308" t="str">
        <f t="shared" si="1"/>
        <v xml:space="preserve">The investment costs include all investment costs required for implementation. 
If the battery storage system is additionally dimensioned larger for backup or emergency power operation, these costs cannot be amortized through the self-consumption optimization operating case. Accordingly, the value of the emergency power function is subtracted from the investment costs to calculate profitability.
</v>
      </c>
    </row>
    <row r="25" spans="1:4" ht="128" x14ac:dyDescent="0.2">
      <c r="A25" s="209" t="s">
        <v>241</v>
      </c>
      <c r="B25" s="204" t="s">
        <v>242</v>
      </c>
      <c r="C25" s="209" t="str">
        <f t="shared" si="0"/>
        <v>Calculation interest rate equity (nominal p.a.)</v>
      </c>
      <c r="D25" s="308" t="str">
        <f t="shared" si="1"/>
        <v xml:space="preserve">With the help of the calculation interest rate, the price for the equity is included in the calculation. The amount of the interest rate corresponds to the return on an alternative financial investment.
p.a.: per annum ("per year")
nominal: The nominal interest rate is the interest you have to pay on a loan or loan. This does not take into account any processing fees or other costs incurred.
</v>
      </c>
    </row>
    <row r="26" spans="1:4" ht="64" x14ac:dyDescent="0.2">
      <c r="A26" s="209" t="s">
        <v>254</v>
      </c>
      <c r="B26" s="204" t="s">
        <v>363</v>
      </c>
      <c r="C26" s="209" t="str">
        <f t="shared" si="0"/>
        <v>Outside capital</v>
      </c>
      <c r="D26" s="308" t="str">
        <f t="shared" si="1"/>
        <v xml:space="preserve">In addition to equity, borrowed capital with different interest rates and maturities can also be taken into account in the profitability calculation.
If debt capital is used, both the project and the return on equity are calculated and displayed in the report. 
</v>
      </c>
    </row>
    <row r="27" spans="1:4" ht="256" x14ac:dyDescent="0.2">
      <c r="A27" s="209" t="s">
        <v>256</v>
      </c>
      <c r="B27" s="204" t="s">
        <v>499</v>
      </c>
      <c r="C27" s="209" t="str">
        <f t="shared" si="0"/>
        <v>Operating and maintenance costs</v>
      </c>
      <c r="D27" s="308" t="str">
        <f t="shared" si="1"/>
        <v xml:space="preserve">Provisions must be made for maintenance, operating and servicing costs. 
Either a fixed amount per kWh produced is taken into account as a provision. To determine the amount, at least the following points must be taken into account.
- General maintenance of the PV system
- Cleaning of the modules
-Remote
- Service and maintenance of the inverters
- If necessary, a service contract
For a more accurate calculation, the individual costs and their regularity can be entered in a maintenance table. in the profitability calculation, the costs are taken into account on the basis of their regularity.
Inverters and battery storage systems have a much shorter service life than the PV system. Accordingly, their replacement must be taken into account in the operating and maintenance costs.
</v>
      </c>
    </row>
    <row r="28" spans="1:4" ht="48" x14ac:dyDescent="0.2">
      <c r="A28" s="209" t="s">
        <v>259</v>
      </c>
      <c r="B28" s="204" t="s">
        <v>364</v>
      </c>
      <c r="C28" s="209" t="str">
        <f t="shared" si="0"/>
        <v>Initial cost</v>
      </c>
      <c r="D28" s="308" t="str">
        <f t="shared" si="1"/>
        <v xml:space="preserve">The production costs are calculated from all costs for capital, operation and maintenance, VAT over the service life of the system, divided by the total energy yield including degradation.
</v>
      </c>
    </row>
    <row r="29" spans="1:4" ht="48" x14ac:dyDescent="0.2">
      <c r="A29" s="209" t="s">
        <v>244</v>
      </c>
      <c r="B29" s="204" t="s">
        <v>365</v>
      </c>
      <c r="C29" s="209" t="str">
        <f t="shared" si="0"/>
        <v>Payback</v>
      </c>
      <c r="D29" s="308" t="str">
        <f t="shared" si="1"/>
        <v xml:space="preserve">The payback period indicates the time after which the capital investment for the investment is recovered from the direct income. The cost of capital is taken into account.
</v>
      </c>
    </row>
    <row r="30" spans="1:4" ht="128" x14ac:dyDescent="0.2">
      <c r="A30" s="209" t="s">
        <v>243</v>
      </c>
      <c r="B30" s="205" t="s">
        <v>500</v>
      </c>
      <c r="C30" s="209" t="str">
        <f t="shared" si="0"/>
        <v>Net Present Value (NPV)</v>
      </c>
      <c r="D30" s="308" t="str">
        <f t="shared" si="1"/>
        <v xml:space="preserve">= Net present value (or net present value, discounted cash flow, net present value, present value of all payments)
The net present value at time 0 is the sum of all payments discounted with the calculation interest rate (deposits and withdrawals). The net present value is used, among other things, to assess investment properties. The calculation interest rate (interest on the investment project) is given in the amount of an alternative investment return. (see Interest Rate Equity)
If the net present value is positive, the investment is very advantageous compared to an alternative investment with the calculation interest rate used.
</v>
      </c>
    </row>
    <row r="31" spans="1:4" ht="80" x14ac:dyDescent="0.2">
      <c r="A31" s="209" t="s">
        <v>239</v>
      </c>
      <c r="B31" s="204" t="s">
        <v>240</v>
      </c>
      <c r="C31" s="209" t="str">
        <f t="shared" si="0"/>
        <v>Annuity</v>
      </c>
      <c r="D31" s="308" t="str">
        <f t="shared" si="1"/>
        <v xml:space="preserve">The annuity (annuity factor) is a calculation value for calculating annual interest and principal payments of the investment and is used to calculate the return on capital.
-&gt; see also repayment, amortization
</v>
      </c>
    </row>
    <row r="32" spans="1:4" ht="48" x14ac:dyDescent="0.2">
      <c r="A32" s="209" t="s">
        <v>260</v>
      </c>
      <c r="B32" s="204" t="s">
        <v>366</v>
      </c>
      <c r="C32" s="209" t="str">
        <f t="shared" si="0"/>
        <v>Project ROI</v>
      </c>
      <c r="D32" s="308" t="str">
        <f t="shared" si="1"/>
        <v xml:space="preserve">The project yield provides information about the project-specific return. This means that this key figure does not take into account the financing structure. 100 percent equity financing is assumed. It is calculated using the internal rate of return (IRR).
</v>
      </c>
    </row>
    <row r="33" spans="1:4" ht="96" x14ac:dyDescent="0.2">
      <c r="A33" s="209" t="s">
        <v>261</v>
      </c>
      <c r="B33" s="204" t="s">
        <v>367</v>
      </c>
      <c r="C33" s="209" t="str">
        <f t="shared" si="0"/>
        <v>Return</v>
      </c>
      <c r="D33" s="308" t="str">
        <f t="shared" si="1"/>
        <v xml:space="preserve">The return on equity shows the return on equity and serves as an indicator of the profitability of one's own investment. The financing structure is taken into account and only the return on one's own capital is calculated.
The so-called leverage effect can result in high returns on equity. However, caution is advised here, as the use of debt capital for financing can also entail a much higher risk.
</v>
      </c>
    </row>
    <row r="34" spans="1:4" ht="32" x14ac:dyDescent="0.2">
      <c r="A34" s="209" t="s">
        <v>258</v>
      </c>
      <c r="B34" s="204" t="s">
        <v>368</v>
      </c>
      <c r="C34" s="209" t="str">
        <f t="shared" si="0"/>
        <v>Ø Net income</v>
      </c>
      <c r="D34" s="308" t="str">
        <f t="shared" si="1"/>
        <v xml:space="preserve">Average income from self-consumption, LEG and purchase remuneration minus capital, operating and maintenance costs.
</v>
      </c>
    </row>
    <row r="35" spans="1:4" ht="64" x14ac:dyDescent="0.2">
      <c r="A35" s="209" t="s">
        <v>247</v>
      </c>
      <c r="B35" s="204" t="s">
        <v>248</v>
      </c>
      <c r="C35" s="209" t="str">
        <f t="shared" si="0"/>
        <v>Repayment, amortization</v>
      </c>
      <c r="D35" s="308" t="str">
        <f t="shared" si="1"/>
        <v xml:space="preserve">Repayment is the repayment of a long-term debt in the form of partial amounts. This profitability calculator is based on the annuity model, in which the sum of interest and principal payments (annuity) remains constant in the individual periods of the term. The amount of the annuity is determined mathematically in such a way that the sum of the repayments and the respective interest on the remaining debt accurately repay the loan over the agreed term.
</v>
      </c>
    </row>
    <row r="36" spans="1:4" ht="112" x14ac:dyDescent="0.2">
      <c r="A36" s="210" t="s">
        <v>249</v>
      </c>
      <c r="B36" s="206" t="s">
        <v>250</v>
      </c>
      <c r="C36" s="209" t="str">
        <f t="shared" si="0"/>
        <v>Interest rate (p.a. nominal)</v>
      </c>
      <c r="D36" s="308" t="str">
        <f t="shared" si="1"/>
        <v xml:space="preserve">The interest rate is the price expressed as a percentage for borrowed capital, i.e. the interest rate as a percentage.
p.a.: per annum ("per year")
nominal: The nominal interest rate is the interest you have to pay on a loan or loan. This does not take into account any processing fees or other costs incurred.
</v>
      </c>
    </row>
    <row r="37" spans="1:4" ht="80" x14ac:dyDescent="0.2">
      <c r="A37" s="210" t="s">
        <v>106</v>
      </c>
      <c r="B37" s="206" t="s">
        <v>369</v>
      </c>
      <c r="C37" s="209" t="str">
        <f t="shared" si="0"/>
        <v>Cash flow plan</v>
      </c>
      <c r="D37" s="308" t="str">
        <f t="shared" si="1"/>
        <v xml:space="preserve">The cash flow plan shows the annual cash flows. Capital flows were made up of income minus expenses. Depending on the intervals in operating and maintenance costs, there may also be years of negative cash flows. 
In addition, the net capital development (cash flow) and the capital development NPV are shown with the stated calculation interest rate of equity.
</v>
      </c>
    </row>
    <row r="38" spans="1:4" ht="90.75" customHeight="1" x14ac:dyDescent="0.2">
      <c r="A38" s="210" t="s">
        <v>262</v>
      </c>
      <c r="B38" s="206" t="s">
        <v>370</v>
      </c>
      <c r="C38" s="209" t="str">
        <f t="shared" si="0"/>
        <v>Sensitivity analysis</v>
      </c>
      <c r="D38" s="308" t="str">
        <f t="shared" si="1"/>
        <v xml:space="preserve">For the sensitivity analyses, two parameters are varied in a matrix and the influence on the return is shown. The profitability calculation is recalculated for each pair of values. 
In a profitability calculation over a long term, certain simplifications are always made and assumptions are made. Sensitivity analysis can be used to identify critical parameters that may need to be analyzed in more detail.
</v>
      </c>
    </row>
  </sheetData>
  <pageMargins left="0.70866141732283472" right="0.70866141732283472" top="0.78740157480314965" bottom="0.78740157480314965" header="0.31496062992125984" footer="0.31496062992125984"/>
  <pageSetup scale="53"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7D81-44A0-4575-94A2-06732AFB6300}">
  <sheetPr>
    <tabColor theme="5" tint="0.79998168889431442"/>
    <pageSetUpPr fitToPage="1"/>
  </sheetPr>
  <dimension ref="A1:E37"/>
  <sheetViews>
    <sheetView view="pageBreakPreview" topLeftCell="A3" zoomScale="115" zoomScaleNormal="100" zoomScaleSheetLayoutView="115" workbookViewId="0">
      <selection activeCell="E16" sqref="E16"/>
    </sheetView>
  </sheetViews>
  <sheetFormatPr baseColWidth="10" defaultRowHeight="15" x14ac:dyDescent="0.2"/>
  <cols>
    <col min="1" max="1" width="16.6640625" customWidth="1"/>
    <col min="2" max="2" width="16.6640625" hidden="1" customWidth="1"/>
    <col min="3" max="3" width="114.1640625" customWidth="1"/>
    <col min="4" max="4" width="16.33203125" customWidth="1"/>
    <col min="5" max="5" width="172" bestFit="1" customWidth="1"/>
  </cols>
  <sheetData>
    <row r="1" spans="1:5" ht="21" x14ac:dyDescent="0.25">
      <c r="A1" s="207" t="s">
        <v>284</v>
      </c>
      <c r="B1" s="213" t="s">
        <v>285</v>
      </c>
    </row>
    <row r="3" spans="1:5" x14ac:dyDescent="0.2">
      <c r="A3" s="1" t="s">
        <v>283</v>
      </c>
      <c r="B3" s="1"/>
      <c r="C3" s="214" t="str" cm="1">
        <f t="array" aca="1" ref="C3" ca="1">INDIRECT("A"&amp;SUM(B6:B37)+5)</f>
        <v>V2.4</v>
      </c>
      <c r="D3" s="214"/>
    </row>
    <row r="5" spans="1:5" ht="16" x14ac:dyDescent="0.2">
      <c r="A5" s="186" t="s">
        <v>281</v>
      </c>
      <c r="B5" s="186"/>
      <c r="C5" s="187" t="s">
        <v>282</v>
      </c>
      <c r="D5" s="187"/>
    </row>
    <row r="6" spans="1:5" ht="15" customHeight="1" x14ac:dyDescent="0.2">
      <c r="A6" s="209" t="s">
        <v>348</v>
      </c>
      <c r="B6" s="211">
        <f t="shared" ref="B6:B37" si="0">IF(A6&lt;&gt;"",1,"")</f>
        <v>1</v>
      </c>
      <c r="C6" s="204" t="s">
        <v>349</v>
      </c>
      <c r="D6" s="238">
        <v>45819</v>
      </c>
      <c r="E6" t="str">
        <f>_xlfn.TRANSLATE(C6,"de","en")</f>
        <v>Publication of new Swissolar profitability calculator</v>
      </c>
    </row>
    <row r="7" spans="1:5" ht="15" customHeight="1" x14ac:dyDescent="0.2">
      <c r="A7" s="209" t="s">
        <v>432</v>
      </c>
      <c r="B7" s="211">
        <f t="shared" si="0"/>
        <v>1</v>
      </c>
      <c r="C7" s="204" t="s">
        <v>433</v>
      </c>
      <c r="D7" s="238">
        <v>45834</v>
      </c>
      <c r="E7" t="str">
        <f t="shared" ref="E7:E10" si="1">_xlfn.TRANSLATE(C7,"de","en")</f>
        <v>Error correction calculation of acceptance remuneration without LEG</v>
      </c>
    </row>
    <row r="8" spans="1:5" ht="15" customHeight="1" x14ac:dyDescent="0.2">
      <c r="A8" s="209" t="s">
        <v>434</v>
      </c>
      <c r="B8" s="211">
        <f t="shared" si="0"/>
        <v>1</v>
      </c>
      <c r="C8" s="204" t="s">
        <v>435</v>
      </c>
      <c r="D8" s="238">
        <v>45838</v>
      </c>
      <c r="E8" t="str">
        <f t="shared" si="1"/>
        <v>Clarification of calculation of maintenance costs, correct display of ZEV and LEG operating costs</v>
      </c>
    </row>
    <row r="9" spans="1:5" ht="15" customHeight="1" x14ac:dyDescent="0.2">
      <c r="A9" s="209" t="s">
        <v>458</v>
      </c>
      <c r="B9" s="211">
        <f t="shared" si="0"/>
        <v>1</v>
      </c>
      <c r="C9" s="204" t="s">
        <v>463</v>
      </c>
      <c r="D9" s="238">
        <v>45846</v>
      </c>
      <c r="E9" t="str">
        <f t="shared" si="1"/>
        <v>Correction of typographical errors and incorrect references</v>
      </c>
    </row>
    <row r="10" spans="1:5" ht="32" x14ac:dyDescent="0.2">
      <c r="A10" s="209" t="s">
        <v>481</v>
      </c>
      <c r="B10" s="211">
        <f t="shared" si="0"/>
        <v>1</v>
      </c>
      <c r="C10" s="204" t="s">
        <v>517</v>
      </c>
      <c r="D10" s="238">
        <v>45855</v>
      </c>
      <c r="E10" t="str">
        <f t="shared" si="1"/>
        <v>Default values BUK price per kWh, insertion of shares of solar power in kWh, update of price observation study, adjustment of presentation ZEV, BUK ZEV and LEG transferred upwards, report optimized for input 0 kWp.</v>
      </c>
    </row>
    <row r="11" spans="1:5" ht="15" customHeight="1" x14ac:dyDescent="0.2">
      <c r="A11" s="209"/>
      <c r="B11" s="211" t="str">
        <f t="shared" si="0"/>
        <v/>
      </c>
      <c r="C11" s="204"/>
      <c r="D11" s="238"/>
    </row>
    <row r="12" spans="1:5" ht="15" customHeight="1" x14ac:dyDescent="0.2">
      <c r="A12" s="209"/>
      <c r="B12" s="211" t="str">
        <f t="shared" si="0"/>
        <v/>
      </c>
      <c r="C12" s="204"/>
      <c r="D12" s="238"/>
    </row>
    <row r="13" spans="1:5" ht="15" customHeight="1" x14ac:dyDescent="0.2">
      <c r="A13" s="209"/>
      <c r="B13" s="211" t="str">
        <f t="shared" si="0"/>
        <v/>
      </c>
      <c r="C13" s="204"/>
      <c r="D13" s="238"/>
    </row>
    <row r="14" spans="1:5" ht="15" customHeight="1" x14ac:dyDescent="0.2">
      <c r="A14" s="209"/>
      <c r="B14" s="211" t="str">
        <f t="shared" si="0"/>
        <v/>
      </c>
      <c r="C14" s="204"/>
      <c r="D14" s="238"/>
    </row>
    <row r="15" spans="1:5" ht="15" customHeight="1" x14ac:dyDescent="0.2">
      <c r="A15" s="209"/>
      <c r="B15" s="211" t="str">
        <f t="shared" si="0"/>
        <v/>
      </c>
      <c r="C15" s="204"/>
      <c r="D15" s="238"/>
    </row>
    <row r="16" spans="1:5" ht="15" customHeight="1" x14ac:dyDescent="0.2">
      <c r="A16" s="209"/>
      <c r="B16" s="211" t="str">
        <f t="shared" si="0"/>
        <v/>
      </c>
      <c r="C16" s="204"/>
      <c r="D16" s="238"/>
    </row>
    <row r="17" spans="1:4" ht="15" customHeight="1" x14ac:dyDescent="0.2">
      <c r="A17" s="209"/>
      <c r="B17" s="211" t="str">
        <f t="shared" si="0"/>
        <v/>
      </c>
      <c r="C17" s="204"/>
      <c r="D17" s="238"/>
    </row>
    <row r="18" spans="1:4" ht="15" customHeight="1" x14ac:dyDescent="0.2">
      <c r="A18" s="209"/>
      <c r="B18" s="211" t="str">
        <f t="shared" si="0"/>
        <v/>
      </c>
      <c r="C18" s="204"/>
      <c r="D18" s="238"/>
    </row>
    <row r="19" spans="1:4" ht="15" customHeight="1" x14ac:dyDescent="0.2">
      <c r="A19" s="209"/>
      <c r="B19" s="211" t="str">
        <f t="shared" si="0"/>
        <v/>
      </c>
      <c r="C19" s="204"/>
      <c r="D19" s="238"/>
    </row>
    <row r="20" spans="1:4" ht="15" customHeight="1" x14ac:dyDescent="0.2">
      <c r="A20" s="209"/>
      <c r="B20" s="211" t="str">
        <f t="shared" si="0"/>
        <v/>
      </c>
      <c r="C20" s="204"/>
      <c r="D20" s="238"/>
    </row>
    <row r="21" spans="1:4" ht="15" customHeight="1" x14ac:dyDescent="0.2">
      <c r="A21" s="209"/>
      <c r="B21" s="211" t="str">
        <f t="shared" si="0"/>
        <v/>
      </c>
      <c r="C21" s="204"/>
      <c r="D21" s="238"/>
    </row>
    <row r="22" spans="1:4" ht="15" customHeight="1" x14ac:dyDescent="0.2">
      <c r="A22" s="209"/>
      <c r="B22" s="211" t="str">
        <f t="shared" si="0"/>
        <v/>
      </c>
      <c r="C22" s="204"/>
      <c r="D22" s="238"/>
    </row>
    <row r="23" spans="1:4" ht="15" customHeight="1" x14ac:dyDescent="0.2">
      <c r="A23" s="209"/>
      <c r="B23" s="211" t="str">
        <f t="shared" si="0"/>
        <v/>
      </c>
      <c r="C23" s="204"/>
      <c r="D23" s="238"/>
    </row>
    <row r="24" spans="1:4" ht="15" customHeight="1" x14ac:dyDescent="0.2">
      <c r="A24" s="209"/>
      <c r="B24" s="211" t="str">
        <f t="shared" si="0"/>
        <v/>
      </c>
      <c r="C24" s="204"/>
      <c r="D24" s="238"/>
    </row>
    <row r="25" spans="1:4" ht="15" customHeight="1" x14ac:dyDescent="0.2">
      <c r="A25" s="209"/>
      <c r="B25" s="211" t="str">
        <f t="shared" si="0"/>
        <v/>
      </c>
      <c r="C25" s="204"/>
      <c r="D25" s="238"/>
    </row>
    <row r="26" spans="1:4" ht="15" customHeight="1" x14ac:dyDescent="0.2">
      <c r="A26" s="209"/>
      <c r="B26" s="211" t="str">
        <f t="shared" si="0"/>
        <v/>
      </c>
      <c r="C26" s="204"/>
      <c r="D26" s="238"/>
    </row>
    <row r="27" spans="1:4" ht="15" customHeight="1" x14ac:dyDescent="0.2">
      <c r="A27" s="209"/>
      <c r="B27" s="211" t="str">
        <f t="shared" si="0"/>
        <v/>
      </c>
      <c r="C27" s="204"/>
      <c r="D27" s="238"/>
    </row>
    <row r="28" spans="1:4" ht="15" customHeight="1" x14ac:dyDescent="0.2">
      <c r="A28" s="209"/>
      <c r="B28" s="211" t="str">
        <f t="shared" si="0"/>
        <v/>
      </c>
      <c r="C28" s="204"/>
      <c r="D28" s="238"/>
    </row>
    <row r="29" spans="1:4" ht="15" customHeight="1" x14ac:dyDescent="0.2">
      <c r="A29" s="209"/>
      <c r="B29" s="211" t="str">
        <f t="shared" si="0"/>
        <v/>
      </c>
      <c r="C29" s="205"/>
      <c r="D29" s="238"/>
    </row>
    <row r="30" spans="1:4" ht="15" customHeight="1" x14ac:dyDescent="0.2">
      <c r="A30" s="209"/>
      <c r="B30" s="211" t="str">
        <f t="shared" si="0"/>
        <v/>
      </c>
      <c r="C30" s="204"/>
      <c r="D30" s="238"/>
    </row>
    <row r="31" spans="1:4" ht="15" customHeight="1" x14ac:dyDescent="0.2">
      <c r="A31" s="209"/>
      <c r="B31" s="211" t="str">
        <f t="shared" si="0"/>
        <v/>
      </c>
      <c r="C31" s="204"/>
      <c r="D31" s="238"/>
    </row>
    <row r="32" spans="1:4" ht="15" customHeight="1" x14ac:dyDescent="0.2">
      <c r="A32" s="209"/>
      <c r="B32" s="211" t="str">
        <f t="shared" si="0"/>
        <v/>
      </c>
      <c r="C32" s="204"/>
      <c r="D32" s="238"/>
    </row>
    <row r="33" spans="1:4" ht="15" customHeight="1" x14ac:dyDescent="0.2">
      <c r="A33" s="209"/>
      <c r="B33" s="211" t="str">
        <f t="shared" si="0"/>
        <v/>
      </c>
      <c r="C33" s="204"/>
      <c r="D33" s="238"/>
    </row>
    <row r="34" spans="1:4" ht="15" customHeight="1" x14ac:dyDescent="0.2">
      <c r="A34" s="209"/>
      <c r="B34" s="211" t="str">
        <f t="shared" si="0"/>
        <v/>
      </c>
      <c r="C34" s="204"/>
      <c r="D34" s="238"/>
    </row>
    <row r="35" spans="1:4" ht="15" customHeight="1" x14ac:dyDescent="0.2">
      <c r="A35" s="210"/>
      <c r="B35" s="212" t="str">
        <f t="shared" si="0"/>
        <v/>
      </c>
      <c r="C35" s="206"/>
      <c r="D35" s="238"/>
    </row>
    <row r="36" spans="1:4" ht="15" customHeight="1" x14ac:dyDescent="0.2">
      <c r="A36" s="210"/>
      <c r="B36" s="212" t="str">
        <f t="shared" si="0"/>
        <v/>
      </c>
      <c r="C36" s="206"/>
      <c r="D36" s="238"/>
    </row>
    <row r="37" spans="1:4" ht="15" customHeight="1" x14ac:dyDescent="0.2">
      <c r="A37" s="210"/>
      <c r="B37" s="212" t="str">
        <f t="shared" si="0"/>
        <v/>
      </c>
      <c r="C37" s="206"/>
      <c r="D37" s="238"/>
    </row>
  </sheetData>
  <pageMargins left="0.70866141732283472" right="0.70866141732283472" top="0.78740157480314965" bottom="0.78740157480314965" header="0.31496062992125984" footer="0.31496062992125984"/>
  <pageSetup scale="71"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G11"/>
  <sheetViews>
    <sheetView workbookViewId="0">
      <selection activeCell="F11" sqref="F11"/>
    </sheetView>
  </sheetViews>
  <sheetFormatPr baseColWidth="10" defaultRowHeight="15" x14ac:dyDescent="0.2"/>
  <cols>
    <col min="1" max="1" width="21.33203125" customWidth="1"/>
    <col min="2" max="2" width="23.6640625" customWidth="1"/>
    <col min="3" max="3" width="19.5" customWidth="1"/>
    <col min="4" max="4" width="18.5" customWidth="1"/>
  </cols>
  <sheetData>
    <row r="1" spans="1:7" x14ac:dyDescent="0.2">
      <c r="A1" s="1" t="s">
        <v>56</v>
      </c>
    </row>
    <row r="3" spans="1:7" x14ac:dyDescent="0.2">
      <c r="A3" s="1" t="s">
        <v>57</v>
      </c>
      <c r="B3" s="1" t="s">
        <v>65</v>
      </c>
      <c r="C3" s="1" t="s">
        <v>8</v>
      </c>
      <c r="D3" s="1" t="s">
        <v>135</v>
      </c>
      <c r="E3" s="1" t="s">
        <v>371</v>
      </c>
      <c r="F3" s="1" t="s">
        <v>202</v>
      </c>
      <c r="G3" s="1" t="s">
        <v>393</v>
      </c>
    </row>
    <row r="4" spans="1:7" x14ac:dyDescent="0.2">
      <c r="A4" t="s">
        <v>58</v>
      </c>
      <c r="B4" t="s">
        <v>64</v>
      </c>
      <c r="C4" t="s">
        <v>341</v>
      </c>
      <c r="D4" t="s">
        <v>137</v>
      </c>
      <c r="E4" t="s">
        <v>126</v>
      </c>
      <c r="F4" t="s">
        <v>373</v>
      </c>
      <c r="G4" t="s">
        <v>385</v>
      </c>
    </row>
    <row r="5" spans="1:7" x14ac:dyDescent="0.2">
      <c r="A5" t="s">
        <v>59</v>
      </c>
      <c r="B5" t="s">
        <v>66</v>
      </c>
      <c r="C5" t="s">
        <v>342</v>
      </c>
      <c r="D5" t="s">
        <v>138</v>
      </c>
      <c r="E5" t="s">
        <v>127</v>
      </c>
      <c r="F5" t="s">
        <v>374</v>
      </c>
      <c r="G5" t="s">
        <v>376</v>
      </c>
    </row>
    <row r="6" spans="1:7" x14ac:dyDescent="0.2">
      <c r="C6" t="s">
        <v>343</v>
      </c>
      <c r="D6" t="s">
        <v>139</v>
      </c>
      <c r="F6" t="s">
        <v>375</v>
      </c>
      <c r="G6" t="s">
        <v>377</v>
      </c>
    </row>
    <row r="7" spans="1:7" x14ac:dyDescent="0.2">
      <c r="C7" t="s">
        <v>344</v>
      </c>
      <c r="D7" t="s">
        <v>140</v>
      </c>
      <c r="G7" t="s">
        <v>378</v>
      </c>
    </row>
    <row r="8" spans="1:7" x14ac:dyDescent="0.2">
      <c r="C8" t="s">
        <v>345</v>
      </c>
      <c r="D8" t="s">
        <v>141</v>
      </c>
      <c r="G8" t="s">
        <v>379</v>
      </c>
    </row>
    <row r="9" spans="1:7" x14ac:dyDescent="0.2">
      <c r="C9" t="s">
        <v>83</v>
      </c>
      <c r="D9" t="s">
        <v>136</v>
      </c>
      <c r="G9" t="s">
        <v>380</v>
      </c>
    </row>
    <row r="10" spans="1:7" x14ac:dyDescent="0.2">
      <c r="G10" t="s">
        <v>396</v>
      </c>
    </row>
    <row r="11" spans="1:7" x14ac:dyDescent="0.2">
      <c r="G11" t="s">
        <v>381</v>
      </c>
    </row>
  </sheetData>
  <phoneticPr fontId="13" type="noConversion"/>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D173E-E596-D042-AC48-158BECAF86D6}">
  <dimension ref="I8:U39"/>
  <sheetViews>
    <sheetView workbookViewId="0">
      <selection activeCell="P40" sqref="P40"/>
    </sheetView>
  </sheetViews>
  <sheetFormatPr baseColWidth="10" defaultRowHeight="15" x14ac:dyDescent="0.2"/>
  <cols>
    <col min="12" max="12" width="41.6640625" customWidth="1"/>
  </cols>
  <sheetData>
    <row r="8" spans="9:21" x14ac:dyDescent="0.2">
      <c r="J8" t="s">
        <v>45</v>
      </c>
      <c r="K8" t="s">
        <v>305</v>
      </c>
      <c r="L8" t="s">
        <v>324</v>
      </c>
      <c r="M8" t="s">
        <v>46</v>
      </c>
      <c r="N8" t="s">
        <v>47</v>
      </c>
      <c r="O8" t="s">
        <v>277</v>
      </c>
      <c r="P8" t="s">
        <v>276</v>
      </c>
      <c r="Q8" t="s">
        <v>48</v>
      </c>
      <c r="R8" t="s">
        <v>49</v>
      </c>
      <c r="S8" t="s">
        <v>50</v>
      </c>
      <c r="T8" t="s">
        <v>215</v>
      </c>
      <c r="U8" t="s">
        <v>406</v>
      </c>
    </row>
    <row r="10" spans="9:21" x14ac:dyDescent="0.2">
      <c r="I10" s="2" t="e">
        <f>Eingaben!#REF!</f>
        <v>#REF!</v>
      </c>
      <c r="L10" t="s">
        <v>41</v>
      </c>
      <c r="M10" t="s">
        <v>42</v>
      </c>
      <c r="N10" t="s">
        <v>43</v>
      </c>
      <c r="O10" t="s">
        <v>44</v>
      </c>
    </row>
    <row r="11" spans="9:21" x14ac:dyDescent="0.2">
      <c r="I11" s="2" t="e">
        <f>Eingaben!#REF!</f>
        <v>#REF!</v>
      </c>
    </row>
    <row r="12" spans="9:21" x14ac:dyDescent="0.2">
      <c r="I12" s="2" t="e">
        <f>Eingaben!#REF!</f>
        <v>#REF!</v>
      </c>
    </row>
    <row r="13" spans="9:21" x14ac:dyDescent="0.2">
      <c r="I13" s="2" t="e">
        <f>Eingaben!#REF!</f>
        <v>#REF!</v>
      </c>
    </row>
    <row r="14" spans="9:21" x14ac:dyDescent="0.2">
      <c r="I14" s="2" t="e">
        <f>Eingaben!#REF!</f>
        <v>#REF!</v>
      </c>
    </row>
    <row r="15" spans="9:21" x14ac:dyDescent="0.2">
      <c r="I15" s="2" t="e">
        <f>Eingaben!#REF!</f>
        <v>#REF!</v>
      </c>
    </row>
    <row r="16" spans="9:21" x14ac:dyDescent="0.2">
      <c r="I16" s="2" t="e">
        <f>Eingaben!#REF!</f>
        <v>#REF!</v>
      </c>
    </row>
    <row r="17" spans="9:16" x14ac:dyDescent="0.2">
      <c r="I17" s="2" t="e">
        <f>Eingaben!#REF!</f>
        <v>#REF!</v>
      </c>
    </row>
    <row r="18" spans="9:16" x14ac:dyDescent="0.2">
      <c r="I18" s="2" t="e">
        <f>Eingaben!#REF!</f>
        <v>#REF!</v>
      </c>
    </row>
    <row r="19" spans="9:16" x14ac:dyDescent="0.2">
      <c r="I19" s="2" t="e">
        <f>Eingaben!#REF!</f>
        <v>#REF!</v>
      </c>
    </row>
    <row r="20" spans="9:16" x14ac:dyDescent="0.2">
      <c r="I20" s="2" t="e">
        <f>Eingaben!#REF!</f>
        <v>#REF!</v>
      </c>
    </row>
    <row r="21" spans="9:16" x14ac:dyDescent="0.2">
      <c r="I21" s="2" t="e">
        <f>Eingaben!#REF!</f>
        <v>#REF!</v>
      </c>
      <c r="K21" t="s">
        <v>529</v>
      </c>
      <c r="L21" t="s">
        <v>41</v>
      </c>
    </row>
    <row r="22" spans="9:16" x14ac:dyDescent="0.2">
      <c r="K22" t="s">
        <v>530</v>
      </c>
      <c r="L22" t="s">
        <v>42</v>
      </c>
    </row>
    <row r="23" spans="9:16" x14ac:dyDescent="0.2">
      <c r="K23" t="s">
        <v>531</v>
      </c>
      <c r="L23" t="s">
        <v>43</v>
      </c>
    </row>
    <row r="24" spans="9:16" x14ac:dyDescent="0.2">
      <c r="K24" t="s">
        <v>532</v>
      </c>
      <c r="L24" t="s">
        <v>44</v>
      </c>
    </row>
    <row r="25" spans="9:16" x14ac:dyDescent="0.2">
      <c r="K25" t="s">
        <v>533</v>
      </c>
      <c r="L25" t="s">
        <v>45</v>
      </c>
    </row>
    <row r="26" spans="9:16" x14ac:dyDescent="0.2">
      <c r="K26" t="s">
        <v>534</v>
      </c>
      <c r="L26" t="s">
        <v>305</v>
      </c>
    </row>
    <row r="27" spans="9:16" x14ac:dyDescent="0.2">
      <c r="K27" t="s">
        <v>535</v>
      </c>
      <c r="L27" t="s">
        <v>324</v>
      </c>
    </row>
    <row r="28" spans="9:16" x14ac:dyDescent="0.2">
      <c r="K28" t="s">
        <v>536</v>
      </c>
      <c r="L28" t="s">
        <v>46</v>
      </c>
    </row>
    <row r="29" spans="9:16" x14ac:dyDescent="0.2">
      <c r="K29" t="s">
        <v>537</v>
      </c>
      <c r="L29" t="s">
        <v>47</v>
      </c>
    </row>
    <row r="30" spans="9:16" x14ac:dyDescent="0.2">
      <c r="K30" t="s">
        <v>538</v>
      </c>
      <c r="L30" t="s">
        <v>277</v>
      </c>
    </row>
    <row r="31" spans="9:16" x14ac:dyDescent="0.2">
      <c r="K31" t="s">
        <v>539</v>
      </c>
      <c r="L31" t="s">
        <v>276</v>
      </c>
    </row>
    <row r="32" spans="9:16" x14ac:dyDescent="0.2">
      <c r="K32" t="s">
        <v>540</v>
      </c>
      <c r="L32" t="s">
        <v>48</v>
      </c>
      <c r="P32">
        <v>5665</v>
      </c>
    </row>
    <row r="33" spans="11:16" x14ac:dyDescent="0.2">
      <c r="K33" t="s">
        <v>541</v>
      </c>
      <c r="L33" t="s">
        <v>49</v>
      </c>
      <c r="P33">
        <v>0</v>
      </c>
    </row>
    <row r="34" spans="11:16" x14ac:dyDescent="0.2">
      <c r="K34" t="s">
        <v>542</v>
      </c>
      <c r="L34" t="s">
        <v>50</v>
      </c>
      <c r="P34">
        <v>1670</v>
      </c>
    </row>
    <row r="35" spans="11:16" x14ac:dyDescent="0.2">
      <c r="K35" t="s">
        <v>543</v>
      </c>
      <c r="L35" t="s">
        <v>215</v>
      </c>
      <c r="P35">
        <v>247</v>
      </c>
    </row>
    <row r="36" spans="11:16" x14ac:dyDescent="0.2">
      <c r="K36" t="s">
        <v>544</v>
      </c>
      <c r="L36" t="s">
        <v>406</v>
      </c>
      <c r="P36">
        <v>-640</v>
      </c>
    </row>
    <row r="37" spans="11:16" x14ac:dyDescent="0.2">
      <c r="P37">
        <v>0</v>
      </c>
    </row>
    <row r="38" spans="11:16" x14ac:dyDescent="0.2">
      <c r="P38">
        <v>0</v>
      </c>
    </row>
    <row r="39" spans="11:16" x14ac:dyDescent="0.2">
      <c r="P39">
        <f>SUM(P32:P38)</f>
        <v>6942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88398db-6a81-4dea-85da-b1d36c96a0b4" xsi:nil="true"/>
    <lcf76f155ced4ddcb4097134ff3c332f xmlns="879df3a1-2398-4b4c-ad56-788806d2950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A01D2D52C780D449CD903A879BDEDCE" ma:contentTypeVersion="13" ma:contentTypeDescription="Create a new document." ma:contentTypeScope="" ma:versionID="5ad759e89105bc23c54d205254bc0a3e">
  <xsd:schema xmlns:xsd="http://www.w3.org/2001/XMLSchema" xmlns:xs="http://www.w3.org/2001/XMLSchema" xmlns:p="http://schemas.microsoft.com/office/2006/metadata/properties" xmlns:ns2="879df3a1-2398-4b4c-ad56-788806d2950c" xmlns:ns3="988398db-6a81-4dea-85da-b1d36c96a0b4" targetNamespace="http://schemas.microsoft.com/office/2006/metadata/properties" ma:root="true" ma:fieldsID="64e8b69a7f4390fda227fc74347eb646" ns2:_="" ns3:_="">
    <xsd:import namespace="879df3a1-2398-4b4c-ad56-788806d2950c"/>
    <xsd:import namespace="988398db-6a81-4dea-85da-b1d36c96a0b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9df3a1-2398-4b4c-ad56-788806d295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4d9c2d5-c5c3-4c7a-85a4-91095d1af47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88398db-6a81-4dea-85da-b1d36c96a0b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f8f189c-bcbd-440c-b78a-28f37c0c721e}" ma:internalName="TaxCatchAll" ma:showField="CatchAllData" ma:web="988398db-6a81-4dea-85da-b1d36c96a0b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2664CB-37BA-41D0-9F33-B6B6F71EAEC4}">
  <ds:schemaRefs>
    <ds:schemaRef ds:uri="http://purl.org/dc/dcmitype/"/>
    <ds:schemaRef ds:uri="http://www.w3.org/XML/1998/namespace"/>
    <ds:schemaRef ds:uri="http://schemas.openxmlformats.org/package/2006/metadata/core-properties"/>
    <ds:schemaRef ds:uri="http://schemas.microsoft.com/office/2006/documentManagement/types"/>
    <ds:schemaRef ds:uri="http://purl.org/dc/elements/1.1/"/>
    <ds:schemaRef ds:uri="http://purl.org/dc/terms/"/>
    <ds:schemaRef ds:uri="879df3a1-2398-4b4c-ad56-788806d2950c"/>
    <ds:schemaRef ds:uri="988398db-6a81-4dea-85da-b1d36c96a0b4"/>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089D73F4-E6D9-4DC3-A4DE-3F879EF8977D}">
  <ds:schemaRefs>
    <ds:schemaRef ds:uri="http://schemas.microsoft.com/sharepoint/v3/contenttype/forms"/>
  </ds:schemaRefs>
</ds:datastoreItem>
</file>

<file path=customXml/itemProps3.xml><?xml version="1.0" encoding="utf-8"?>
<ds:datastoreItem xmlns:ds="http://schemas.openxmlformats.org/officeDocument/2006/customXml" ds:itemID="{B4A47010-62A1-4A2E-B76A-0E40302272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9df3a1-2398-4b4c-ad56-788806d2950c"/>
    <ds:schemaRef ds:uri="988398db-6a81-4dea-85da-b1d36c96a0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8</vt:i4>
      </vt:variant>
      <vt:variant>
        <vt:lpstr>Named Ranges</vt:lpstr>
      </vt:variant>
      <vt:variant>
        <vt:i4>156</vt:i4>
      </vt:variant>
    </vt:vector>
  </HeadingPairs>
  <TitlesOfParts>
    <vt:vector size="164" baseType="lpstr">
      <vt:lpstr>Bericht</vt:lpstr>
      <vt:lpstr>Details</vt:lpstr>
      <vt:lpstr>Eingaben</vt:lpstr>
      <vt:lpstr>Berechnungen</vt:lpstr>
      <vt:lpstr>Erläuterungen</vt:lpstr>
      <vt:lpstr>Versionierung</vt:lpstr>
      <vt:lpstr>Listen</vt:lpstr>
      <vt:lpstr>Sheet1</vt:lpstr>
      <vt:lpstr>_Abrechnungstarif_LEG</vt:lpstr>
      <vt:lpstr>_Abzug_Funktion_GH</vt:lpstr>
      <vt:lpstr>_Abzug_Funktion_Notstrom</vt:lpstr>
      <vt:lpstr>_Amortisationszeit</vt:lpstr>
      <vt:lpstr>_Amortisationszeit_Batterie</vt:lpstr>
      <vt:lpstr>_Amortisationszeit_PVA_Batterie</vt:lpstr>
      <vt:lpstr>_Anlagekategorie</vt:lpstr>
      <vt:lpstr>_Anlagenlebensdauer</vt:lpstr>
      <vt:lpstr>_Anlagenleistung</vt:lpstr>
      <vt:lpstr>_Anteil_LEG</vt:lpstr>
      <vt:lpstr>_Anzahl_Verbraucher</vt:lpstr>
      <vt:lpstr>_Batterie</vt:lpstr>
      <vt:lpstr>_Bemerkungen</vt:lpstr>
      <vt:lpstr>_Berechnungsart_Unterhaltskosten</vt:lpstr>
      <vt:lpstr>_Betreiber</vt:lpstr>
      <vt:lpstr>_Dach_angebaut</vt:lpstr>
      <vt:lpstr>_Dach_integriert</vt:lpstr>
      <vt:lpstr>_Debug_Modus</vt:lpstr>
      <vt:lpstr>_Degradation</vt:lpstr>
      <vt:lpstr>_Degradation_Speicher_Jahr</vt:lpstr>
      <vt:lpstr>_direkteFörderung</vt:lpstr>
      <vt:lpstr>_durchschnittlich_Energie_eingelagert</vt:lpstr>
      <vt:lpstr>_Durchschnittliche_Betriebskosten_LEG</vt:lpstr>
      <vt:lpstr>_Durchschnittliche_Betriebskosten_ZEV</vt:lpstr>
      <vt:lpstr>_Durchschnittliche_Eigenkapitalkosten</vt:lpstr>
      <vt:lpstr>_Durchschnittliche_Eigenkapitalkosten_Batterie</vt:lpstr>
      <vt:lpstr>_durchschnittliche_Einsparung_Leistung</vt:lpstr>
      <vt:lpstr>_durchschnittliche_Einsparung_Leistung_Batterie</vt:lpstr>
      <vt:lpstr>_Durchschnittliche_Kost_Ersatz_Batterie</vt:lpstr>
      <vt:lpstr>_durchschnittliche_Kosten_Energie_Speicher</vt:lpstr>
      <vt:lpstr>_Durchschnittliche_Umsatzsteuer</vt:lpstr>
      <vt:lpstr>_Durchschnittliche_Unterhaltskosten</vt:lpstr>
      <vt:lpstr>_Durchschnittliche_Unterhaltskosten_Batterie</vt:lpstr>
      <vt:lpstr>_Durchschnittliche_Vergütung_Rücklieferung</vt:lpstr>
      <vt:lpstr>_Durchschnittliche_Vorsteuer_Batterieersatz</vt:lpstr>
      <vt:lpstr>_Durchschnittliche_Vorsteuer_Unterhalt</vt:lpstr>
      <vt:lpstr>_Durchschnittlicher_Abrechnungsgebühren_ZEV</vt:lpstr>
      <vt:lpstr>_Durchschnittlicher_Energieertrag</vt:lpstr>
      <vt:lpstr>_Durchschnittlicher_Speichermenge</vt:lpstr>
      <vt:lpstr>_Durchschnittlicher_Verkauf_Batteriestrom</vt:lpstr>
      <vt:lpstr>_durchschnittlicher_Verkauf_LEG</vt:lpstr>
      <vt:lpstr>_Durchschnittlicher_Verkauf_Solarstrom</vt:lpstr>
      <vt:lpstr>_Durchschnittlicher_Zins_FK_Batterie</vt:lpstr>
      <vt:lpstr>_Durchschnittlicher_Zins_FK1</vt:lpstr>
      <vt:lpstr>_Durchschnittlicher_Zins_FK2</vt:lpstr>
      <vt:lpstr>_Eigenkapital</vt:lpstr>
      <vt:lpstr>_Eigenkapital_Batterie</vt:lpstr>
      <vt:lpstr>_Eigenkapitalrendite</vt:lpstr>
      <vt:lpstr>_Eigennutzungsgrad</vt:lpstr>
      <vt:lpstr>_Eigennutzungsgrad_Batterie</vt:lpstr>
      <vt:lpstr>_Einmalvergütung</vt:lpstr>
      <vt:lpstr>_Erhöhung_Eigennutzungsgrad_Speicher</vt:lpstr>
      <vt:lpstr>_ersetzterBezugstarifZEV</vt:lpstr>
      <vt:lpstr>_Fassade_angebaut</vt:lpstr>
      <vt:lpstr>_Fassade_integriert</vt:lpstr>
      <vt:lpstr>_Fassadenbonus</vt:lpstr>
      <vt:lpstr>_Förderung_Batterie</vt:lpstr>
      <vt:lpstr>_freistehend</vt:lpstr>
      <vt:lpstr>_Fremdkapital_Batterie</vt:lpstr>
      <vt:lpstr>_Fremdkapital1</vt:lpstr>
      <vt:lpstr>_Fremdkapital2</vt:lpstr>
      <vt:lpstr>_Gesamtenergieertrag</vt:lpstr>
      <vt:lpstr>_Gesamtspeichermenge</vt:lpstr>
      <vt:lpstr>_Gesamtverbrauch</vt:lpstr>
      <vt:lpstr>_Grundkosten_Abrechnung_ZEV</vt:lpstr>
      <vt:lpstr>_Herkunftsnachweis</vt:lpstr>
      <vt:lpstr>_Höhenbonus</vt:lpstr>
      <vt:lpstr>_IBNJahr</vt:lpstr>
      <vt:lpstr>_Investition_netto</vt:lpstr>
      <vt:lpstr>_Investition_netto_Batterie</vt:lpstr>
      <vt:lpstr>_Investition_ZEV</vt:lpstr>
      <vt:lpstr>_Investitionssumme</vt:lpstr>
      <vt:lpstr>_Investitionssumme_Batterie</vt:lpstr>
      <vt:lpstr>_JA</vt:lpstr>
      <vt:lpstr>_Jahr_Ersatz_Speicher</vt:lpstr>
      <vt:lpstr>_kombiniert</vt:lpstr>
      <vt:lpstr>_Kosten_Ersatz_Speicher</vt:lpstr>
      <vt:lpstr>_Kosten_Funktion_GH</vt:lpstr>
      <vt:lpstr>_Laufzeit_Fremdkapital_Batterie</vt:lpstr>
      <vt:lpstr>_Laufzeit_Fremdkapital1</vt:lpstr>
      <vt:lpstr>_Laufzeit_Fremdkapital2</vt:lpstr>
      <vt:lpstr>_Lebensdauer_Speicher</vt:lpstr>
      <vt:lpstr>_LEG</vt:lpstr>
      <vt:lpstr>_Leistungskosten_ZEV</vt:lpstr>
      <vt:lpstr>_mit_LEG</vt:lpstr>
      <vt:lpstr>_mit_ZEV</vt:lpstr>
      <vt:lpstr>_MWStPflicht</vt:lpstr>
      <vt:lpstr>_MWStpflichtig</vt:lpstr>
      <vt:lpstr>_MWStSatz</vt:lpstr>
      <vt:lpstr>_NEIN</vt:lpstr>
      <vt:lpstr>_nichtMWStpflichtig</vt:lpstr>
      <vt:lpstr>_NPV</vt:lpstr>
      <vt:lpstr>_NPV_Batterie</vt:lpstr>
      <vt:lpstr>_NPV_PVA_Batterie</vt:lpstr>
      <vt:lpstr>_ohne_LEG</vt:lpstr>
      <vt:lpstr>_ohne_ZEV</vt:lpstr>
      <vt:lpstr>_Parkflächenbonus</vt:lpstr>
      <vt:lpstr>_Projektbezeichnung</vt:lpstr>
      <vt:lpstr>_Projektleiter</vt:lpstr>
      <vt:lpstr>_Projektnummer</vt:lpstr>
      <vt:lpstr>_Projektrendite</vt:lpstr>
      <vt:lpstr>_Projektrendite_mit_Batterie</vt:lpstr>
      <vt:lpstr>_Projektrendite_nur_Batterie</vt:lpstr>
      <vt:lpstr>_PV_Fläche</vt:lpstr>
      <vt:lpstr>_PV_Tarif_LEG</vt:lpstr>
      <vt:lpstr>_Reduktion_Leistungsspitzen</vt:lpstr>
      <vt:lpstr>_Reduktion_Leistungsspitzen_Batterie</vt:lpstr>
      <vt:lpstr>_relevante_Investitionskosten</vt:lpstr>
      <vt:lpstr>_relevante_Investitionskosten_Batterie</vt:lpstr>
      <vt:lpstr>_Rückliefertarif</vt:lpstr>
      <vt:lpstr>_Rückliefertarif_Energie</vt:lpstr>
      <vt:lpstr>_sonstige_Aufwände</vt:lpstr>
      <vt:lpstr>_sonstige_Aufwände_Batterie</vt:lpstr>
      <vt:lpstr>_Speicher_Wirkungsgrad</vt:lpstr>
      <vt:lpstr>_Speicherkapazität</vt:lpstr>
      <vt:lpstr>_Speichertechnologie</vt:lpstr>
      <vt:lpstr>_spez_Jahresenergieertrag</vt:lpstr>
      <vt:lpstr>_spez_Unterhaltskosten</vt:lpstr>
      <vt:lpstr>_Standort</vt:lpstr>
      <vt:lpstr>_Steuereinsparung</vt:lpstr>
      <vt:lpstr>_Summe_Betrieb_Unterhalt</vt:lpstr>
      <vt:lpstr>_Summe_Betrieb_Unterhalt_Batterie</vt:lpstr>
      <vt:lpstr>_Summe_Eigenkapital</vt:lpstr>
      <vt:lpstr>_Summe_Eigenkapital_Batterie</vt:lpstr>
      <vt:lpstr>_Summe_FK1</vt:lpstr>
      <vt:lpstr>_Summe_FK1_Batterie</vt:lpstr>
      <vt:lpstr>_Summe_FK2</vt:lpstr>
      <vt:lpstr>_Summe_Leistungsspitzen</vt:lpstr>
      <vt:lpstr>_Summe_MWSt_Betrieb_Unterhalt</vt:lpstr>
      <vt:lpstr>_Summe_MWSt_Betrieb_Unterhalt_Batterie</vt:lpstr>
      <vt:lpstr>_Summe_MWSt_Umsatz</vt:lpstr>
      <vt:lpstr>_Summe_Vergütung</vt:lpstr>
      <vt:lpstr>_Tarif_Abrechnung_ZEV</vt:lpstr>
      <vt:lpstr>_Tarif_LEG</vt:lpstr>
      <vt:lpstr>_Teuerungsrate</vt:lpstr>
      <vt:lpstr>_Unterhalt_Preis_pro_kWh</vt:lpstr>
      <vt:lpstr>_Unterhalt_Wartungstabelle</vt:lpstr>
      <vt:lpstr>_Unterhaltskosten_Durchschnittlich</vt:lpstr>
      <vt:lpstr>_Unterhaltskosten_Durschschnittlich_Batterie</vt:lpstr>
      <vt:lpstr>_Version</vt:lpstr>
      <vt:lpstr>_Vorabzug_Investitionskosten_Batterie</vt:lpstr>
      <vt:lpstr>_Vorsteuerabzug_Investitionskosten</vt:lpstr>
      <vt:lpstr>_ZahlungsfristEIVFB</vt:lpstr>
      <vt:lpstr>_ZEV</vt:lpstr>
      <vt:lpstr>_Zins_Eigenkapital</vt:lpstr>
      <vt:lpstr>_Zins_Eigenkapital_Batterie</vt:lpstr>
      <vt:lpstr>_Zins_Fremdkapital_Batterie</vt:lpstr>
      <vt:lpstr>_Zins_Fremdkapital1</vt:lpstr>
      <vt:lpstr>_Zins_Fremdkapital2</vt:lpstr>
      <vt:lpstr>Berechnungen!Print_Area</vt:lpstr>
      <vt:lpstr>Bericht!Print_Area</vt:lpstr>
      <vt:lpstr>Details!Print_Area</vt:lpstr>
      <vt:lpstr>Eingaben!Print_Area</vt:lpstr>
      <vt:lpstr>Erläuterungen!Print_Area</vt:lpstr>
      <vt:lpstr>Versionierung!Print_Area</vt:lpstr>
      <vt:lpstr>Bericht!Print_Titles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2025-11-12T15:02:47Z</cp:lastPrinted>
  <dcterms:created xsi:type="dcterms:W3CDTF">2025-11-02T08:42:54Z</dcterms:created>
  <dcterms:modified xsi:type="dcterms:W3CDTF">2025-12-27T05:21:32Z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0x0101006A01D2D52C780D449CD903A879BDEDCE</vt:lpwstr>
  </property>
</Properties>
</file>